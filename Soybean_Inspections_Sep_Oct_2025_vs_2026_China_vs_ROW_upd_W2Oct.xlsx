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China vs RoW" sheetId="1" state="visible" r:id="rId3"/>
    <sheet name="September" sheetId="2" state="visible" r:id="rId4"/>
    <sheet name="Week 1 October" sheetId="3" state="visible" r:id="rId5"/>
    <sheet name="Week 2 Octob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<sst xmlns="http://schemas.openxmlformats.org/spreadsheetml/2006/main" count="158" uniqueCount="70">
  <si>
    <t xml:space="preserve">US Soybean Export Inspections — China vs Rest of World (weekly-report basis)</t>
  </si>
  <si>
    <t xml:space="preserve">All figures link to the period tabs. Soybean meal is not covered: FGIS inspection data include grains/oilseeds only.</t>
  </si>
  <si>
    <t xml:space="preserve">Period</t>
  </si>
  <si>
    <t xml:space="preserve">Group</t>
  </si>
  <si>
    <t xml:space="preserve">MT 2025</t>
  </si>
  <si>
    <t xml:space="preserve">MT 2026</t>
  </si>
  <si>
    <t xml:space="preserve">Δ MT</t>
  </si>
  <si>
    <t xml:space="preserve">Δ %</t>
  </si>
  <si>
    <t xml:space="preserve"># Insp 2025</t>
  </si>
  <si>
    <t xml:space="preserve"># Insp 2026</t>
  </si>
  <si>
    <t xml:space="preserve">Δ Insp</t>
  </si>
  <si>
    <t xml:space="preserve">Share of MT 2025</t>
  </si>
  <si>
    <t xml:space="preserve">Share of MT 2026</t>
  </si>
  <si>
    <t xml:space="preserve">September</t>
  </si>
  <si>
    <t xml:space="preserve">China</t>
  </si>
  <si>
    <t xml:space="preserve">Rest of World excl. China</t>
  </si>
  <si>
    <t xml:space="preserve">Total</t>
  </si>
  <si>
    <t xml:space="preserve">Week 1 October</t>
  </si>
  <si>
    <t xml:space="preserve">Week 2 October</t>
  </si>
  <si>
    <t xml:space="preserve">Sept + Oct (Wk 1–2)</t>
  </si>
  <si>
    <t xml:space="preserve">Revision note (CY2026 file, wk ending 8 Oct 2026 vs previous version of this workbook):</t>
  </si>
  <si>
    <t xml:space="preserve">September 2026: 3,070,755 MT / 718 insp. previously → now 3,071,514 MT / 721 insp. (+759 MT, all RoW; China unchanged).</t>
  </si>
  <si>
    <t xml:space="preserve">Week 1 Oct 2026: 1,138,416 MT / 126 insp. previously → now 1,199,430 MT / 142 insp. (+61,014 MT, all RoW; China unchanged). 2025 figures unchanged.</t>
  </si>
  <si>
    <t xml:space="preserve">US Soybean Export Inspections — weeks ending Thu 4/11/18/25 Sep 2025 vs Thu 3/10/17/24 Sep 2026 (weekly-report basis)</t>
  </si>
  <si>
    <t xml:space="preserve">Source: USDA AMS/FGIS export grain inspections, CY2025 and CY2026 files (Grain = SOYBEANS, grouped by "Thursday" week-ending date). CY2026 data as of file dated wk ending 8 Oct 2026, incl. revisions.</t>
  </si>
  <si>
    <t xml:space="preserve">Destination</t>
  </si>
  <si>
    <t xml:space="preserve">Metric tons</t>
  </si>
  <si>
    <t xml:space="preserve">Number of inspections</t>
  </si>
  <si>
    <t xml:space="preserve">2025</t>
  </si>
  <si>
    <t xml:space="preserve">2026</t>
  </si>
  <si>
    <t xml:space="preserve">Δ</t>
  </si>
  <si>
    <t xml:space="preserve">CHINA</t>
  </si>
  <si>
    <t xml:space="preserve">EGYPT</t>
  </si>
  <si>
    <t xml:space="preserve">MEXICO</t>
  </si>
  <si>
    <t xml:space="preserve">JAPAN</t>
  </si>
  <si>
    <t xml:space="preserve">ITALY</t>
  </si>
  <si>
    <t xml:space="preserve">INDONESIA</t>
  </si>
  <si>
    <t xml:space="preserve">ALGERIA</t>
  </si>
  <si>
    <t xml:space="preserve">BANGLADESH</t>
  </si>
  <si>
    <t xml:space="preserve">NETHERLANDS</t>
  </si>
  <si>
    <t xml:space="preserve">GERMANY</t>
  </si>
  <si>
    <t xml:space="preserve">VIETNAM</t>
  </si>
  <si>
    <t xml:space="preserve">COLOMBIA</t>
  </si>
  <si>
    <t xml:space="preserve">TAIWAN</t>
  </si>
  <si>
    <t xml:space="preserve">MALAYSIA</t>
  </si>
  <si>
    <t xml:space="preserve">COSTA RICA</t>
  </si>
  <si>
    <t xml:space="preserve">SAUDI ARABIA</t>
  </si>
  <si>
    <t xml:space="preserve">CANADA</t>
  </si>
  <si>
    <t xml:space="preserve">PHILIPPINES</t>
  </si>
  <si>
    <t xml:space="preserve">PANAMA</t>
  </si>
  <si>
    <t xml:space="preserve">THAILAND</t>
  </si>
  <si>
    <t xml:space="preserve">KOREA REP</t>
  </si>
  <si>
    <t xml:space="preserve">CAMBODIA</t>
  </si>
  <si>
    <t xml:space="preserve">SINGAPORE</t>
  </si>
  <si>
    <t xml:space="preserve">TURKEY</t>
  </si>
  <si>
    <t xml:space="preserve">UN KINGDOM</t>
  </si>
  <si>
    <t xml:space="preserve">PAKISTAN</t>
  </si>
  <si>
    <t xml:space="preserve">IRAQ</t>
  </si>
  <si>
    <t xml:space="preserve">SPAIN</t>
  </si>
  <si>
    <t xml:space="preserve">TUNISIA</t>
  </si>
  <si>
    <t xml:space="preserve">VENEZUELA</t>
  </si>
  <si>
    <t xml:space="preserve">NEPAL</t>
  </si>
  <si>
    <t xml:space="preserve">GRENADA</t>
  </si>
  <si>
    <t xml:space="preserve">TOTAL</t>
  </si>
  <si>
    <t xml:space="preserve">US Soybean Export Inspections — week ending Thu 2 Oct 2025 (26 Sep–2 Oct) vs week ending Thu 1 Oct 2026 (25 Sep–1 Oct) (weekly-report basis)</t>
  </si>
  <si>
    <t xml:space="preserve">PORTUGAL</t>
  </si>
  <si>
    <t xml:space="preserve">DOMINICN REP</t>
  </si>
  <si>
    <t xml:space="preserve">SRI LANKA</t>
  </si>
  <si>
    <t xml:space="preserve">US Soybean Export Inspections — week ending Thu 9 Oct 2025 (3–9 Oct) vs week ending Thu 8 Oct 2026 (2–8 Oct) (weekly-report basis)</t>
  </si>
  <si>
    <t xml:space="preserve">SENEGAL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</si>
</sst>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-#,##0;\-"/>
    <numFmt numFmtId="166" formatCode="\+0.0%;\-0.0%;0.0%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9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color rgb="FF007A33"/>
      </font>
    </dxf>
    <dxf>
      <font>
        <name val="Calibri"/>
        <charset val="1"/>
        <family val="0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11" min="3" style="0" width="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5" t="s">
        <v>14</v>
      </c>
      <c r="C5" s="6" t="n">
        <f aca="false">September!B39</f>
        <v>0</v>
      </c>
      <c r="D5" s="6" t="n">
        <f aca="false">September!C39</f>
        <v>1581810</v>
      </c>
      <c r="E5" s="6" t="n">
        <f aca="false">D5-C5</f>
        <v>1581810</v>
      </c>
      <c r="F5" s="7" t="str">
        <f aca="false">IF(C5=0,IF(D5=0,0,"new"),D5/C5-1)</f>
        <v>new</v>
      </c>
      <c r="G5" s="6" t="n">
        <f aca="false">September!F39</f>
        <v>0</v>
      </c>
      <c r="H5" s="6" t="n">
        <f aca="false">September!G39</f>
        <v>24</v>
      </c>
      <c r="I5" s="6" t="n">
        <f aca="false">H5-G5</f>
        <v>24</v>
      </c>
      <c r="J5" s="8" t="n">
        <f aca="false">IF(C$7=0,0,C5/C$7)</f>
        <v>0</v>
      </c>
      <c r="K5" s="8" t="n">
        <f aca="false">IF(D$7=0,0,D5/D$7)</f>
        <v>0.514993582969181</v>
      </c>
    </row>
    <row r="6" customFormat="false" ht="15" hidden="false" customHeight="false" outlineLevel="0" collapsed="false">
      <c r="A6" s="4"/>
      <c r="B6" s="5" t="s">
        <v>15</v>
      </c>
      <c r="C6" s="6" t="n">
        <f aca="false">September!B40</f>
        <v>2466553</v>
      </c>
      <c r="D6" s="6" t="n">
        <f aca="false">September!C40</f>
        <v>1489704</v>
      </c>
      <c r="E6" s="6" t="n">
        <f aca="false">D6-C6</f>
        <v>-976849</v>
      </c>
      <c r="F6" s="7" t="n">
        <f aca="false">IF(C6=0,IF(D6=0,0,"new"),D6/C6-1)</f>
        <v>-0.396038114729341</v>
      </c>
      <c r="G6" s="6" t="n">
        <f aca="false">September!F40</f>
        <v>892</v>
      </c>
      <c r="H6" s="6" t="n">
        <f aca="false">September!G40</f>
        <v>697</v>
      </c>
      <c r="I6" s="6" t="n">
        <f aca="false">H6-G6</f>
        <v>-195</v>
      </c>
      <c r="J6" s="8" t="n">
        <f aca="false">IF(C$7=0,0,C6/C$7)</f>
        <v>1</v>
      </c>
      <c r="K6" s="8" t="n">
        <f aca="false">IF(D$7=0,0,D6/D$7)</f>
        <v>0.485006417030819</v>
      </c>
    </row>
    <row r="7" customFormat="false" ht="15" hidden="false" customHeight="false" outlineLevel="0" collapsed="false">
      <c r="A7" s="4"/>
      <c r="B7" s="9" t="s">
        <v>16</v>
      </c>
      <c r="C7" s="10" t="n">
        <f aca="false">September!B38</f>
        <v>2466553</v>
      </c>
      <c r="D7" s="10" t="n">
        <f aca="false">September!C38</f>
        <v>3071514</v>
      </c>
      <c r="E7" s="10" t="n">
        <f aca="false">D7-C7</f>
        <v>604961</v>
      </c>
      <c r="F7" s="11" t="n">
        <f aca="false">IF(C7=0,IF(D7=0,0,"new"),D7/C7-1)</f>
        <v>0.245265761570905</v>
      </c>
      <c r="G7" s="10" t="n">
        <f aca="false">September!F38</f>
        <v>892</v>
      </c>
      <c r="H7" s="10" t="n">
        <f aca="false">September!G38</f>
        <v>721</v>
      </c>
      <c r="I7" s="10" t="n">
        <f aca="false">H7-G7</f>
        <v>-171</v>
      </c>
      <c r="J7" s="12" t="n">
        <f aca="false">IF(C$7=0,0,C7/C$7)</f>
        <v>1</v>
      </c>
      <c r="K7" s="12" t="n">
        <f aca="false">IF(D$7=0,0,D7/D$7)</f>
        <v>1</v>
      </c>
    </row>
    <row r="8" customFormat="false" ht="15" hidden="false" customHeight="false" outlineLevel="0" collapsed="false">
      <c r="A8" s="4" t="s">
        <v>17</v>
      </c>
      <c r="B8" s="5" t="s">
        <v>14</v>
      </c>
      <c r="C8" s="6" t="n">
        <f aca="false">'Week 1 October'!B31</f>
        <v>0</v>
      </c>
      <c r="D8" s="6" t="n">
        <f aca="false">'Week 1 October'!C31</f>
        <v>756492</v>
      </c>
      <c r="E8" s="6" t="n">
        <f aca="false">D8-C8</f>
        <v>756492</v>
      </c>
      <c r="F8" s="7" t="str">
        <f aca="false">IF(C8=0,IF(D8=0,0,"new"),D8/C8-1)</f>
        <v>new</v>
      </c>
      <c r="G8" s="6" t="n">
        <f aca="false">'Week 1 October'!F31</f>
        <v>0</v>
      </c>
      <c r="H8" s="6" t="n">
        <f aca="false">'Week 1 October'!G31</f>
        <v>12</v>
      </c>
      <c r="I8" s="6" t="n">
        <f aca="false">H8-G8</f>
        <v>12</v>
      </c>
      <c r="J8" s="8" t="n">
        <f aca="false">IF(C$10=0,0,C8/C$10)</f>
        <v>0</v>
      </c>
      <c r="K8" s="8" t="n">
        <f aca="false">IF(D$10=0,0,D8/D$10)</f>
        <v>0.630709587053851</v>
      </c>
    </row>
    <row r="9" customFormat="false" ht="15" hidden="false" customHeight="false" outlineLevel="0" collapsed="false">
      <c r="A9" s="4"/>
      <c r="B9" s="5" t="s">
        <v>15</v>
      </c>
      <c r="C9" s="6" t="n">
        <f aca="false">'Week 1 October'!B32</f>
        <v>783495</v>
      </c>
      <c r="D9" s="6" t="n">
        <f aca="false">'Week 1 October'!C32</f>
        <v>442938</v>
      </c>
      <c r="E9" s="6" t="n">
        <f aca="false">D9-C9</f>
        <v>-340557</v>
      </c>
      <c r="F9" s="7" t="n">
        <f aca="false">IF(C9=0,IF(D9=0,0,"new"),D9/C9-1)</f>
        <v>-0.434663909788831</v>
      </c>
      <c r="G9" s="6" t="n">
        <f aca="false">'Week 1 October'!F32</f>
        <v>313</v>
      </c>
      <c r="H9" s="6" t="n">
        <f aca="false">'Week 1 October'!G32</f>
        <v>130</v>
      </c>
      <c r="I9" s="6" t="n">
        <f aca="false">H9-G9</f>
        <v>-183</v>
      </c>
      <c r="J9" s="8" t="n">
        <f aca="false">IF(C$10=0,0,C9/C$10)</f>
        <v>1</v>
      </c>
      <c r="K9" s="8" t="n">
        <f aca="false">IF(D$10=0,0,D9/D$10)</f>
        <v>0.369290412946149</v>
      </c>
    </row>
    <row r="10" customFormat="false" ht="15" hidden="false" customHeight="false" outlineLevel="0" collapsed="false">
      <c r="A10" s="4"/>
      <c r="B10" s="9" t="s">
        <v>16</v>
      </c>
      <c r="C10" s="10" t="n">
        <f aca="false">'Week 1 October'!B30</f>
        <v>783495</v>
      </c>
      <c r="D10" s="10" t="n">
        <f aca="false">'Week 1 October'!C30</f>
        <v>1199430</v>
      </c>
      <c r="E10" s="10" t="n">
        <f aca="false">D10-C10</f>
        <v>415935</v>
      </c>
      <c r="F10" s="11" t="n">
        <f aca="false">IF(C10=0,IF(D10=0,0,"new"),D10/C10-1)</f>
        <v>0.530871288266039</v>
      </c>
      <c r="G10" s="10" t="n">
        <f aca="false">'Week 1 October'!F30</f>
        <v>313</v>
      </c>
      <c r="H10" s="10" t="n">
        <f aca="false">'Week 1 October'!G30</f>
        <v>142</v>
      </c>
      <c r="I10" s="10" t="n">
        <f aca="false">H10-G10</f>
        <v>-171</v>
      </c>
      <c r="J10" s="12" t="n">
        <f aca="false">IF(C$10=0,0,C10/C$10)</f>
        <v>1</v>
      </c>
      <c r="K10" s="12" t="n">
        <f aca="false">IF(D$10=0,0,D10/D$10)</f>
        <v>1</v>
      </c>
    </row>
    <row r="11" customFormat="false" ht="15" hidden="false" customHeight="false" outlineLevel="0" collapsed="false">
      <c r="A11" s="4" t="s">
        <v>18</v>
      </c>
      <c r="B11" s="5" t="s">
        <v>14</v>
      </c>
      <c r="C11" s="6" t="n">
        <f aca="false">'Week 2 October'!B32</f>
        <v>0</v>
      </c>
      <c r="D11" s="6" t="n">
        <f aca="false">'Week 2 October'!C32</f>
        <v>649252</v>
      </c>
      <c r="E11" s="6" t="n">
        <f aca="false">D11-C11</f>
        <v>649252</v>
      </c>
      <c r="F11" s="7" t="str">
        <f aca="false">IF(C11=0,IF(D11=0,0,"new"),D11/C11-1)</f>
        <v>new</v>
      </c>
      <c r="G11" s="6" t="n">
        <f aca="false">'Week 2 October'!F32</f>
        <v>0</v>
      </c>
      <c r="H11" s="6" t="n">
        <f aca="false">'Week 2 October'!G32</f>
        <v>10</v>
      </c>
      <c r="I11" s="6" t="n">
        <f aca="false">H11-G11</f>
        <v>10</v>
      </c>
      <c r="J11" s="8" t="n">
        <f aca="false">IF(C$13=0,0,C11/C$13)</f>
        <v>0</v>
      </c>
      <c r="K11" s="8" t="n">
        <f aca="false">IF(D$13=0,0,D11/D$13)</f>
        <v>0.592083388430129</v>
      </c>
    </row>
    <row r="12" customFormat="false" ht="15" hidden="false" customHeight="false" outlineLevel="0" collapsed="false">
      <c r="A12" s="4"/>
      <c r="B12" s="5" t="s">
        <v>15</v>
      </c>
      <c r="C12" s="6" t="n">
        <f aca="false">'Week 2 October'!B33</f>
        <v>1017196</v>
      </c>
      <c r="D12" s="6" t="n">
        <f aca="false">'Week 2 October'!C33</f>
        <v>447303</v>
      </c>
      <c r="E12" s="6" t="n">
        <f aca="false">D12-C12</f>
        <v>-569893</v>
      </c>
      <c r="F12" s="7" t="n">
        <f aca="false">IF(C12=0,IF(D12=0,0,"new"),D12/C12-1)</f>
        <v>-0.560258789849744</v>
      </c>
      <c r="G12" s="6" t="n">
        <f aca="false">'Week 2 October'!F33</f>
        <v>411</v>
      </c>
      <c r="H12" s="6" t="n">
        <f aca="false">'Week 2 October'!G33</f>
        <v>181</v>
      </c>
      <c r="I12" s="6" t="n">
        <f aca="false">H12-G12</f>
        <v>-230</v>
      </c>
      <c r="J12" s="8" t="n">
        <f aca="false">IF(C$13=0,0,C12/C$13)</f>
        <v>1</v>
      </c>
      <c r="K12" s="8" t="n">
        <f aca="false">IF(D$13=0,0,D12/D$13)</f>
        <v>0.407916611569871</v>
      </c>
    </row>
    <row r="13" customFormat="false" ht="15" hidden="false" customHeight="false" outlineLevel="0" collapsed="false">
      <c r="A13" s="4"/>
      <c r="B13" s="9" t="s">
        <v>16</v>
      </c>
      <c r="C13" s="10" t="n">
        <f aca="false">'Week 2 October'!B31</f>
        <v>1017196</v>
      </c>
      <c r="D13" s="10" t="n">
        <f aca="false">'Week 2 October'!C31</f>
        <v>1096555</v>
      </c>
      <c r="E13" s="10" t="n">
        <f aca="false">D13-C13</f>
        <v>79359</v>
      </c>
      <c r="F13" s="11" t="n">
        <f aca="false">IF(C13=0,IF(D13=0,0,"new"),D13/C13-1)</f>
        <v>0.0780174125733881</v>
      </c>
      <c r="G13" s="10" t="n">
        <f aca="false">'Week 2 October'!F31</f>
        <v>411</v>
      </c>
      <c r="H13" s="10" t="n">
        <f aca="false">'Week 2 October'!G31</f>
        <v>191</v>
      </c>
      <c r="I13" s="10" t="n">
        <f aca="false">H13-G13</f>
        <v>-220</v>
      </c>
      <c r="J13" s="12" t="n">
        <f aca="false">IF(C$13=0,0,C13/C$13)</f>
        <v>1</v>
      </c>
      <c r="K13" s="12" t="n">
        <f aca="false">IF(D$13=0,0,D13/D$13)</f>
        <v>1</v>
      </c>
    </row>
    <row r="14" customFormat="false" ht="15" hidden="false" customHeight="false" outlineLevel="0" collapsed="false">
      <c r="A14" s="4" t="s">
        <v>19</v>
      </c>
      <c r="B14" s="5" t="s">
        <v>14</v>
      </c>
      <c r="C14" s="6" t="n">
        <f aca="false">C5+C8+C11</f>
        <v>0</v>
      </c>
      <c r="D14" s="6" t="n">
        <f aca="false">D5+D8+D11</f>
        <v>2987554</v>
      </c>
      <c r="E14" s="6" t="n">
        <f aca="false">D14-C14</f>
        <v>2987554</v>
      </c>
      <c r="F14" s="7" t="str">
        <f aca="false">IF(C14=0,IF(D14=0,0,"new"),D14/C14-1)</f>
        <v>new</v>
      </c>
      <c r="G14" s="6" t="n">
        <f aca="false">G5+G8+G11</f>
        <v>0</v>
      </c>
      <c r="H14" s="6" t="n">
        <f aca="false">H5+H8+H11</f>
        <v>46</v>
      </c>
      <c r="I14" s="6" t="n">
        <f aca="false">H14-G14</f>
        <v>46</v>
      </c>
      <c r="J14" s="8" t="n">
        <f aca="false">IF(C$16=0,0,C14/C$16)</f>
        <v>0</v>
      </c>
      <c r="K14" s="8" t="n">
        <f aca="false">IF(D$16=0,0,D14/D$16)</f>
        <v>0.556600755770984</v>
      </c>
    </row>
    <row r="15" customFormat="false" ht="15" hidden="false" customHeight="false" outlineLevel="0" collapsed="false">
      <c r="A15" s="4"/>
      <c r="B15" s="5" t="s">
        <v>15</v>
      </c>
      <c r="C15" s="6" t="n">
        <f aca="false">C6+C9+C12</f>
        <v>4267244</v>
      </c>
      <c r="D15" s="6" t="n">
        <f aca="false">D6+D9+D12</f>
        <v>2379945</v>
      </c>
      <c r="E15" s="6" t="n">
        <f aca="false">D15-C15</f>
        <v>-1887299</v>
      </c>
      <c r="F15" s="7" t="n">
        <f aca="false">IF(C15=0,IF(D15=0,0,"new"),D15/C15-1)</f>
        <v>-0.442275857673009</v>
      </c>
      <c r="G15" s="6" t="n">
        <f aca="false">G6+G9+G12</f>
        <v>1616</v>
      </c>
      <c r="H15" s="6" t="n">
        <f aca="false">H6+H9+H12</f>
        <v>1008</v>
      </c>
      <c r="I15" s="6" t="n">
        <f aca="false">H15-G15</f>
        <v>-608</v>
      </c>
      <c r="J15" s="8" t="n">
        <f aca="false">IF(C$16=0,0,C15/C$16)</f>
        <v>1</v>
      </c>
      <c r="K15" s="8" t="n">
        <f aca="false">IF(D$16=0,0,D15/D$16)</f>
        <v>0.443399244229016</v>
      </c>
    </row>
    <row r="16" customFormat="false" ht="15" hidden="false" customHeight="false" outlineLevel="0" collapsed="false">
      <c r="A16" s="4"/>
      <c r="B16" s="9" t="s">
        <v>16</v>
      </c>
      <c r="C16" s="10" t="n">
        <f aca="false">C7+C10+C13</f>
        <v>4267244</v>
      </c>
      <c r="D16" s="10" t="n">
        <f aca="false">D7+D10+D13</f>
        <v>5367499</v>
      </c>
      <c r="E16" s="10" t="n">
        <f aca="false">D16-C16</f>
        <v>1100255</v>
      </c>
      <c r="F16" s="11" t="n">
        <f aca="false">IF(C16=0,IF(D16=0,0,"new"),D16/C16-1)</f>
        <v>0.257837377004924</v>
      </c>
      <c r="G16" s="10" t="n">
        <f aca="false">G7+G10+G13</f>
        <v>1616</v>
      </c>
      <c r="H16" s="10" t="n">
        <f aca="false">H7+H10+H13</f>
        <v>1054</v>
      </c>
      <c r="I16" s="10" t="n">
        <f aca="false">H16-G16</f>
        <v>-562</v>
      </c>
      <c r="J16" s="12" t="n">
        <f aca="false">IF(C$16=0,0,C16/C$16)</f>
        <v>1</v>
      </c>
      <c r="K16" s="12" t="n">
        <f aca="false">IF(D$16=0,0,D16/D$16)</f>
        <v>1</v>
      </c>
    </row>
    <row r="18" customFormat="false" ht="15" hidden="false" customHeight="false" outlineLevel="0" collapsed="false">
      <c r="A18" s="4" t="s">
        <v>20</v>
      </c>
    </row>
    <row r="19" customFormat="false" ht="15" hidden="false" customHeight="false" outlineLevel="0" collapsed="false">
      <c r="A19" s="13" t="s">
        <v>21</v>
      </c>
    </row>
    <row r="20" customFormat="false" ht="15" hidden="false" customHeight="false" outlineLevel="0" collapsed="false">
      <c r="A20" s="13" t="s">
        <v>22</v>
      </c>
    </row>
  </sheetData>
  <conditionalFormatting sqref="E5:F16">
    <cfRule type="expression" priority="2" aboveAverage="0" equalAverage="0" bottom="0" percent="0" rank="0" text="" dxfId="0">
      <formula>AND(ISNUMBER(E5),E5&gt;0)</formula>
    </cfRule>
    <cfRule type="expression" priority="3" aboveAverage="0" equalAverage="0" bottom="0" percent="0" rank="0" text="" dxfId="1">
      <formula>AND(ISNUMBER(E5),E5&lt;0)</formula>
    </cfRule>
  </conditionalFormatting>
  <conditionalFormatting sqref="I5:I16">
    <cfRule type="expression" priority="4" aboveAverage="0" equalAverage="0" bottom="0" percent="0" rank="0" text="" dxfId="0">
      <formula>AND(ISNUMBER(I5),I5&gt;0)</formula>
    </cfRule>
    <cfRule type="expression" priority="5" aboveAverage="0" equalAverage="0" bottom="0" percent="0" rank="0" text="" dxfId="1">
      <formula>AND(ISNUMBER(I5),I5&lt;0)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15" hidden="false" customHeight="false" outlineLevel="0" collapsed="false">
      <c r="A4" s="14" t="s">
        <v>25</v>
      </c>
      <c r="B4" s="14" t="s">
        <v>26</v>
      </c>
      <c r="C4" s="14"/>
      <c r="D4" s="14"/>
      <c r="E4" s="14"/>
      <c r="F4" s="14" t="s">
        <v>27</v>
      </c>
      <c r="G4" s="14"/>
      <c r="H4" s="14"/>
    </row>
    <row r="5" customFormat="false" ht="15" hidden="false" customHeight="false" outlineLevel="0" collapsed="false">
      <c r="A5" s="14"/>
      <c r="B5" s="15" t="s">
        <v>28</v>
      </c>
      <c r="C5" s="15" t="s">
        <v>29</v>
      </c>
      <c r="D5" s="15" t="s">
        <v>6</v>
      </c>
      <c r="E5" s="15" t="s">
        <v>7</v>
      </c>
      <c r="F5" s="15" t="s">
        <v>28</v>
      </c>
      <c r="G5" s="15" t="s">
        <v>29</v>
      </c>
      <c r="H5" s="15" t="s">
        <v>30</v>
      </c>
    </row>
    <row r="6" customFormat="false" ht="15" hidden="false" customHeight="false" outlineLevel="0" collapsed="false">
      <c r="A6" s="5" t="s">
        <v>31</v>
      </c>
      <c r="B6" s="6" t="n">
        <v>0</v>
      </c>
      <c r="C6" s="6" t="n">
        <v>1581810</v>
      </c>
      <c r="D6" s="6" t="n">
        <f aca="false">C6-B6</f>
        <v>1581810</v>
      </c>
      <c r="E6" s="7" t="str">
        <f aca="false">IF(B6=0,IF(C6=0,0,"new"),C6/B6-1)</f>
        <v>new</v>
      </c>
      <c r="F6" s="6" t="n">
        <v>0</v>
      </c>
      <c r="G6" s="6" t="n">
        <v>24</v>
      </c>
      <c r="H6" s="6" t="n">
        <f aca="false">G6-F6</f>
        <v>24</v>
      </c>
    </row>
    <row r="7" customFormat="false" ht="15" hidden="false" customHeight="false" outlineLevel="0" collapsed="false">
      <c r="A7" s="5" t="s">
        <v>32</v>
      </c>
      <c r="B7" s="6" t="n">
        <v>392308</v>
      </c>
      <c r="C7" s="6" t="n">
        <v>287000</v>
      </c>
      <c r="D7" s="6" t="n">
        <f aca="false">C7-B7</f>
        <v>-105308</v>
      </c>
      <c r="E7" s="7" t="n">
        <f aca="false">IF(B7=0,IF(C7=0,0,"new"),C7/B7-1)</f>
        <v>-0.268431946327885</v>
      </c>
      <c r="F7" s="6" t="n">
        <v>7</v>
      </c>
      <c r="G7" s="6" t="n">
        <v>5</v>
      </c>
      <c r="H7" s="6" t="n">
        <f aca="false">G7-F7</f>
        <v>-2</v>
      </c>
    </row>
    <row r="8" customFormat="false" ht="15" hidden="false" customHeight="false" outlineLevel="0" collapsed="false">
      <c r="A8" s="5" t="s">
        <v>33</v>
      </c>
      <c r="B8" s="6" t="n">
        <v>332913</v>
      </c>
      <c r="C8" s="6" t="n">
        <v>196733</v>
      </c>
      <c r="D8" s="6" t="n">
        <f aca="false">C8-B8</f>
        <v>-136180</v>
      </c>
      <c r="E8" s="7" t="n">
        <f aca="false">IF(B8=0,IF(C8=0,0,"new"),C8/B8-1)</f>
        <v>-0.409055819388249</v>
      </c>
      <c r="F8" s="6" t="n">
        <v>39</v>
      </c>
      <c r="G8" s="6" t="n">
        <v>36</v>
      </c>
      <c r="H8" s="6" t="n">
        <f aca="false">G8-F8</f>
        <v>-3</v>
      </c>
    </row>
    <row r="9" customFormat="false" ht="15" hidden="false" customHeight="false" outlineLevel="0" collapsed="false">
      <c r="A9" s="5" t="s">
        <v>34</v>
      </c>
      <c r="B9" s="6" t="n">
        <v>257479</v>
      </c>
      <c r="C9" s="6" t="n">
        <v>170766</v>
      </c>
      <c r="D9" s="6" t="n">
        <f aca="false">C9-B9</f>
        <v>-86713</v>
      </c>
      <c r="E9" s="7" t="n">
        <f aca="false">IF(B9=0,IF(C9=0,0,"new"),C9/B9-1)</f>
        <v>-0.336776979870203</v>
      </c>
      <c r="F9" s="6" t="n">
        <v>19</v>
      </c>
      <c r="G9" s="6" t="n">
        <v>31</v>
      </c>
      <c r="H9" s="6" t="n">
        <f aca="false">G9-F9</f>
        <v>12</v>
      </c>
    </row>
    <row r="10" customFormat="false" ht="15" hidden="false" customHeight="false" outlineLevel="0" collapsed="false">
      <c r="A10" s="5" t="s">
        <v>35</v>
      </c>
      <c r="B10" s="6" t="n">
        <v>185744</v>
      </c>
      <c r="C10" s="6" t="n">
        <v>162784</v>
      </c>
      <c r="D10" s="6" t="n">
        <f aca="false">C10-B10</f>
        <v>-22960</v>
      </c>
      <c r="E10" s="7" t="n">
        <f aca="false">IF(B10=0,IF(C10=0,0,"new"),C10/B10-1)</f>
        <v>-0.123610991472134</v>
      </c>
      <c r="F10" s="6" t="n">
        <v>3</v>
      </c>
      <c r="G10" s="6" t="n">
        <v>3</v>
      </c>
      <c r="H10" s="6" t="n">
        <f aca="false">G10-F10</f>
        <v>0</v>
      </c>
    </row>
    <row r="11" customFormat="false" ht="15" hidden="false" customHeight="false" outlineLevel="0" collapsed="false">
      <c r="A11" s="5" t="s">
        <v>36</v>
      </c>
      <c r="B11" s="6" t="n">
        <v>188108</v>
      </c>
      <c r="C11" s="6" t="n">
        <v>133674</v>
      </c>
      <c r="D11" s="6" t="n">
        <f aca="false">C11-B11</f>
        <v>-54434</v>
      </c>
      <c r="E11" s="7" t="n">
        <f aca="false">IF(B11=0,IF(C11=0,0,"new"),C11/B11-1)</f>
        <v>-0.289376315733515</v>
      </c>
      <c r="F11" s="6" t="n">
        <v>212</v>
      </c>
      <c r="G11" s="6" t="n">
        <v>231</v>
      </c>
      <c r="H11" s="6" t="n">
        <f aca="false">G11-F11</f>
        <v>19</v>
      </c>
    </row>
    <row r="12" customFormat="false" ht="15" hidden="false" customHeight="false" outlineLevel="0" collapsed="false">
      <c r="A12" s="5" t="s">
        <v>37</v>
      </c>
      <c r="B12" s="6" t="n">
        <v>88670</v>
      </c>
      <c r="C12" s="6" t="n">
        <v>128695</v>
      </c>
      <c r="D12" s="6" t="n">
        <f aca="false">C12-B12</f>
        <v>40025</v>
      </c>
      <c r="E12" s="7" t="n">
        <f aca="false">IF(B12=0,IF(C12=0,0,"new"),C12/B12-1)</f>
        <v>0.451392804781775</v>
      </c>
      <c r="F12" s="6" t="n">
        <v>2</v>
      </c>
      <c r="G12" s="6" t="n">
        <v>3</v>
      </c>
      <c r="H12" s="6" t="n">
        <f aca="false">G12-F12</f>
        <v>1</v>
      </c>
    </row>
    <row r="13" customFormat="false" ht="15" hidden="false" customHeight="false" outlineLevel="0" collapsed="false">
      <c r="A13" s="5" t="s">
        <v>38</v>
      </c>
      <c r="B13" s="6" t="n">
        <v>169531</v>
      </c>
      <c r="C13" s="6" t="n">
        <v>114598</v>
      </c>
      <c r="D13" s="6" t="n">
        <f aca="false">C13-B13</f>
        <v>-54933</v>
      </c>
      <c r="E13" s="7" t="n">
        <f aca="false">IF(B13=0,IF(C13=0,0,"new"),C13/B13-1)</f>
        <v>-0.324029233591497</v>
      </c>
      <c r="F13" s="6" t="n">
        <v>3</v>
      </c>
      <c r="G13" s="6" t="n">
        <v>2</v>
      </c>
      <c r="H13" s="6" t="n">
        <f aca="false">G13-F13</f>
        <v>-1</v>
      </c>
    </row>
    <row r="14" customFormat="false" ht="15" hidden="false" customHeight="false" outlineLevel="0" collapsed="false">
      <c r="A14" s="5" t="s">
        <v>39</v>
      </c>
      <c r="B14" s="6" t="n">
        <v>69088</v>
      </c>
      <c r="C14" s="6" t="n">
        <v>59652</v>
      </c>
      <c r="D14" s="6" t="n">
        <f aca="false">C14-B14</f>
        <v>-9436</v>
      </c>
      <c r="E14" s="7" t="n">
        <f aca="false">IF(B14=0,IF(C14=0,0,"new"),C14/B14-1)</f>
        <v>-0.136579434923576</v>
      </c>
      <c r="F14" s="6" t="n">
        <v>1</v>
      </c>
      <c r="G14" s="6" t="n">
        <v>1</v>
      </c>
      <c r="H14" s="6" t="n">
        <f aca="false">G14-F14</f>
        <v>0</v>
      </c>
    </row>
    <row r="15" customFormat="false" ht="15" hidden="false" customHeight="false" outlineLevel="0" collapsed="false">
      <c r="A15" s="5" t="s">
        <v>40</v>
      </c>
      <c r="B15" s="6" t="n">
        <v>128961</v>
      </c>
      <c r="C15" s="6" t="n">
        <v>58374</v>
      </c>
      <c r="D15" s="6" t="n">
        <f aca="false">C15-B15</f>
        <v>-70587</v>
      </c>
      <c r="E15" s="7" t="n">
        <f aca="false">IF(B15=0,IF(C15=0,0,"new"),C15/B15-1)</f>
        <v>-0.547351524879615</v>
      </c>
      <c r="F15" s="6" t="n">
        <v>2</v>
      </c>
      <c r="G15" s="6" t="n">
        <v>1</v>
      </c>
      <c r="H15" s="6" t="n">
        <f aca="false">G15-F15</f>
        <v>-1</v>
      </c>
    </row>
    <row r="16" customFormat="false" ht="15" hidden="false" customHeight="false" outlineLevel="0" collapsed="false">
      <c r="A16" s="5" t="s">
        <v>41</v>
      </c>
      <c r="B16" s="6" t="n">
        <v>30794</v>
      </c>
      <c r="C16" s="6" t="n">
        <v>40096</v>
      </c>
      <c r="D16" s="6" t="n">
        <f aca="false">C16-B16</f>
        <v>9302</v>
      </c>
      <c r="E16" s="7" t="n">
        <f aca="false">IF(B16=0,IF(C16=0,0,"new"),C16/B16-1)</f>
        <v>0.302071832175099</v>
      </c>
      <c r="F16" s="6" t="n">
        <v>118</v>
      </c>
      <c r="G16" s="6" t="n">
        <v>162</v>
      </c>
      <c r="H16" s="6" t="n">
        <f aca="false">G16-F16</f>
        <v>44</v>
      </c>
    </row>
    <row r="17" customFormat="false" ht="15" hidden="false" customHeight="false" outlineLevel="0" collapsed="false">
      <c r="A17" s="5" t="s">
        <v>42</v>
      </c>
      <c r="B17" s="6" t="n">
        <v>27740</v>
      </c>
      <c r="C17" s="6" t="n">
        <v>33430</v>
      </c>
      <c r="D17" s="6" t="n">
        <f aca="false">C17-B17</f>
        <v>5690</v>
      </c>
      <c r="E17" s="7" t="n">
        <f aca="false">IF(B17=0,IF(C17=0,0,"new"),C17/B17-1)</f>
        <v>0.205118961788032</v>
      </c>
      <c r="F17" s="6" t="n">
        <v>3</v>
      </c>
      <c r="G17" s="6" t="n">
        <v>4</v>
      </c>
      <c r="H17" s="6" t="n">
        <f aca="false">G17-F17</f>
        <v>1</v>
      </c>
    </row>
    <row r="18" customFormat="false" ht="15" hidden="false" customHeight="false" outlineLevel="0" collapsed="false">
      <c r="A18" s="5" t="s">
        <v>43</v>
      </c>
      <c r="B18" s="6" t="n">
        <v>85344</v>
      </c>
      <c r="C18" s="6" t="n">
        <v>32370</v>
      </c>
      <c r="D18" s="6" t="n">
        <f aca="false">C18-B18</f>
        <v>-52974</v>
      </c>
      <c r="E18" s="7" t="n">
        <f aca="false">IF(B18=0,IF(C18=0,0,"new"),C18/B18-1)</f>
        <v>-0.620711473565804</v>
      </c>
      <c r="F18" s="6" t="n">
        <v>233</v>
      </c>
      <c r="G18" s="6" t="n">
        <v>96</v>
      </c>
      <c r="H18" s="6" t="n">
        <f aca="false">G18-F18</f>
        <v>-137</v>
      </c>
    </row>
    <row r="19" customFormat="false" ht="15" hidden="false" customHeight="false" outlineLevel="0" collapsed="false">
      <c r="A19" s="5" t="s">
        <v>44</v>
      </c>
      <c r="B19" s="6" t="n">
        <v>43375</v>
      </c>
      <c r="C19" s="6" t="n">
        <v>23412</v>
      </c>
      <c r="D19" s="6" t="n">
        <f aca="false">C19-B19</f>
        <v>-19963</v>
      </c>
      <c r="E19" s="7" t="n">
        <f aca="false">IF(B19=0,IF(C19=0,0,"new"),C19/B19-1)</f>
        <v>-0.460242074927954</v>
      </c>
      <c r="F19" s="6" t="n">
        <v>117</v>
      </c>
      <c r="G19" s="6" t="n">
        <v>63</v>
      </c>
      <c r="H19" s="6" t="n">
        <f aca="false">G19-F19</f>
        <v>-54</v>
      </c>
    </row>
    <row r="20" customFormat="false" ht="15" hidden="false" customHeight="false" outlineLevel="0" collapsed="false">
      <c r="A20" s="5" t="s">
        <v>45</v>
      </c>
      <c r="B20" s="6" t="n">
        <v>25355</v>
      </c>
      <c r="C20" s="6" t="n">
        <v>12500</v>
      </c>
      <c r="D20" s="6" t="n">
        <f aca="false">C20-B20</f>
        <v>-12855</v>
      </c>
      <c r="E20" s="7" t="n">
        <f aca="false">IF(B20=0,IF(C20=0,0,"new"),C20/B20-1)</f>
        <v>-0.50700059159929</v>
      </c>
      <c r="F20" s="6" t="n">
        <v>2</v>
      </c>
      <c r="G20" s="6" t="n">
        <v>1</v>
      </c>
      <c r="H20" s="6" t="n">
        <f aca="false">G20-F20</f>
        <v>-1</v>
      </c>
    </row>
    <row r="21" customFormat="false" ht="15" hidden="false" customHeight="false" outlineLevel="0" collapsed="false">
      <c r="A21" s="5" t="s">
        <v>46</v>
      </c>
      <c r="B21" s="6" t="n">
        <v>0</v>
      </c>
      <c r="C21" s="6" t="n">
        <v>9853</v>
      </c>
      <c r="D21" s="6" t="n">
        <f aca="false">C21-B21</f>
        <v>9853</v>
      </c>
      <c r="E21" s="7" t="str">
        <f aca="false">IF(B21=0,IF(C21=0,0,"new"),C21/B21-1)</f>
        <v>new</v>
      </c>
      <c r="F21" s="6" t="n">
        <v>0</v>
      </c>
      <c r="G21" s="6" t="n">
        <v>1</v>
      </c>
      <c r="H21" s="6" t="n">
        <f aca="false">G21-F21</f>
        <v>1</v>
      </c>
    </row>
    <row r="22" customFormat="false" ht="15" hidden="false" customHeight="false" outlineLevel="0" collapsed="false">
      <c r="A22" s="5" t="s">
        <v>47</v>
      </c>
      <c r="B22" s="6" t="n">
        <v>1996</v>
      </c>
      <c r="C22" s="6" t="n">
        <v>7963</v>
      </c>
      <c r="D22" s="6" t="n">
        <f aca="false">C22-B22</f>
        <v>5967</v>
      </c>
      <c r="E22" s="7" t="n">
        <f aca="false">IF(B22=0,IF(C22=0,0,"new"),C22/B22-1)</f>
        <v>2.98947895791583</v>
      </c>
      <c r="F22" s="6" t="n">
        <v>2</v>
      </c>
      <c r="G22" s="6" t="n">
        <v>1</v>
      </c>
      <c r="H22" s="6" t="n">
        <f aca="false">G22-F22</f>
        <v>-1</v>
      </c>
    </row>
    <row r="23" customFormat="false" ht="15" hidden="false" customHeight="false" outlineLevel="0" collapsed="false">
      <c r="A23" s="5" t="s">
        <v>48</v>
      </c>
      <c r="B23" s="6" t="n">
        <v>11038</v>
      </c>
      <c r="C23" s="6" t="n">
        <v>6656</v>
      </c>
      <c r="D23" s="6" t="n">
        <f aca="false">C23-B23</f>
        <v>-4382</v>
      </c>
      <c r="E23" s="7" t="n">
        <f aca="false">IF(B23=0,IF(C23=0,0,"new"),C23/B23-1)</f>
        <v>-0.396992208733466</v>
      </c>
      <c r="F23" s="6" t="n">
        <v>40</v>
      </c>
      <c r="G23" s="6" t="n">
        <v>26</v>
      </c>
      <c r="H23" s="6" t="n">
        <f aca="false">G23-F23</f>
        <v>-14</v>
      </c>
    </row>
    <row r="24" customFormat="false" ht="15" hidden="false" customHeight="false" outlineLevel="0" collapsed="false">
      <c r="A24" s="5" t="s">
        <v>49</v>
      </c>
      <c r="B24" s="6" t="n">
        <v>0</v>
      </c>
      <c r="C24" s="6" t="n">
        <v>4001</v>
      </c>
      <c r="D24" s="6" t="n">
        <f aca="false">C24-B24</f>
        <v>4001</v>
      </c>
      <c r="E24" s="7" t="str">
        <f aca="false">IF(B24=0,IF(C24=0,0,"new"),C24/B24-1)</f>
        <v>new</v>
      </c>
      <c r="F24" s="6" t="n">
        <v>0</v>
      </c>
      <c r="G24" s="6" t="n">
        <v>1</v>
      </c>
      <c r="H24" s="6" t="n">
        <f aca="false">G24-F24</f>
        <v>1</v>
      </c>
    </row>
    <row r="25" customFormat="false" ht="15" hidden="false" customHeight="false" outlineLevel="0" collapsed="false">
      <c r="A25" s="5" t="s">
        <v>50</v>
      </c>
      <c r="B25" s="6" t="n">
        <v>17262</v>
      </c>
      <c r="C25" s="6" t="n">
        <v>3992</v>
      </c>
      <c r="D25" s="6" t="n">
        <f aca="false">C25-B25</f>
        <v>-13270</v>
      </c>
      <c r="E25" s="7" t="n">
        <f aca="false">IF(B25=0,IF(C25=0,0,"new"),C25/B25-1)</f>
        <v>-0.768740586258835</v>
      </c>
      <c r="F25" s="6" t="n">
        <v>60</v>
      </c>
      <c r="G25" s="6" t="n">
        <v>11</v>
      </c>
      <c r="H25" s="6" t="n">
        <f aca="false">G25-F25</f>
        <v>-49</v>
      </c>
    </row>
    <row r="26" customFormat="false" ht="15" hidden="false" customHeight="false" outlineLevel="0" collapsed="false">
      <c r="A26" s="5" t="s">
        <v>51</v>
      </c>
      <c r="B26" s="6" t="n">
        <v>342</v>
      </c>
      <c r="C26" s="6" t="n">
        <v>1685</v>
      </c>
      <c r="D26" s="6" t="n">
        <f aca="false">C26-B26</f>
        <v>1343</v>
      </c>
      <c r="E26" s="7" t="n">
        <f aca="false">IF(B26=0,IF(C26=0,0,"new"),C26/B26-1)</f>
        <v>3.92690058479532</v>
      </c>
      <c r="F26" s="6" t="n">
        <v>3</v>
      </c>
      <c r="G26" s="6" t="n">
        <v>12</v>
      </c>
      <c r="H26" s="6" t="n">
        <f aca="false">G26-F26</f>
        <v>9</v>
      </c>
    </row>
    <row r="27" customFormat="false" ht="15" hidden="false" customHeight="false" outlineLevel="0" collapsed="false">
      <c r="A27" s="5" t="s">
        <v>52</v>
      </c>
      <c r="B27" s="6" t="n">
        <v>2347</v>
      </c>
      <c r="C27" s="6" t="n">
        <v>1225</v>
      </c>
      <c r="D27" s="6" t="n">
        <f aca="false">C27-B27</f>
        <v>-1122</v>
      </c>
      <c r="E27" s="7" t="n">
        <f aca="false">IF(B27=0,IF(C27=0,0,"new"),C27/B27-1)</f>
        <v>-0.478057094162761</v>
      </c>
      <c r="F27" s="6" t="n">
        <v>13</v>
      </c>
      <c r="G27" s="6" t="n">
        <v>5</v>
      </c>
      <c r="H27" s="6" t="n">
        <f aca="false">G27-F27</f>
        <v>-8</v>
      </c>
    </row>
    <row r="28" customFormat="false" ht="15" hidden="false" customHeight="false" outlineLevel="0" collapsed="false">
      <c r="A28" s="5" t="s">
        <v>53</v>
      </c>
      <c r="B28" s="6" t="n">
        <v>0</v>
      </c>
      <c r="C28" s="6" t="n">
        <v>245</v>
      </c>
      <c r="D28" s="6" t="n">
        <f aca="false">C28-B28</f>
        <v>245</v>
      </c>
      <c r="E28" s="7" t="str">
        <f aca="false">IF(B28=0,IF(C28=0,0,"new"),C28/B28-1)</f>
        <v>new</v>
      </c>
      <c r="F28" s="6" t="n">
        <v>0</v>
      </c>
      <c r="G28" s="6" t="n">
        <v>1</v>
      </c>
      <c r="H28" s="6" t="n">
        <f aca="false">G28-F28</f>
        <v>1</v>
      </c>
    </row>
    <row r="29" customFormat="false" ht="15" hidden="false" customHeight="false" outlineLevel="0" collapsed="false">
      <c r="A29" s="5" t="s">
        <v>54</v>
      </c>
      <c r="B29" s="6" t="n">
        <v>140323</v>
      </c>
      <c r="C29" s="6" t="n">
        <v>0</v>
      </c>
      <c r="D29" s="6" t="n">
        <f aca="false">C29-B29</f>
        <v>-140323</v>
      </c>
      <c r="E29" s="7" t="n">
        <f aca="false">IF(B29=0,IF(C29=0,0,"new"),C29/B29-1)</f>
        <v>-1</v>
      </c>
      <c r="F29" s="6" t="n">
        <v>2</v>
      </c>
      <c r="G29" s="6" t="n">
        <v>0</v>
      </c>
      <c r="H29" s="6" t="n">
        <f aca="false">G29-F29</f>
        <v>-2</v>
      </c>
    </row>
    <row r="30" customFormat="false" ht="15" hidden="false" customHeight="false" outlineLevel="0" collapsed="false">
      <c r="A30" s="5" t="s">
        <v>55</v>
      </c>
      <c r="B30" s="6" t="n">
        <v>67129</v>
      </c>
      <c r="C30" s="6" t="n">
        <v>0</v>
      </c>
      <c r="D30" s="6" t="n">
        <f aca="false">C30-B30</f>
        <v>-67129</v>
      </c>
      <c r="E30" s="7" t="n">
        <f aca="false">IF(B30=0,IF(C30=0,0,"new"),C30/B30-1)</f>
        <v>-1</v>
      </c>
      <c r="F30" s="6" t="n">
        <v>1</v>
      </c>
      <c r="G30" s="6" t="n">
        <v>0</v>
      </c>
      <c r="H30" s="6" t="n">
        <f aca="false">G30-F30</f>
        <v>-1</v>
      </c>
    </row>
    <row r="31" customFormat="false" ht="15" hidden="false" customHeight="false" outlineLevel="0" collapsed="false">
      <c r="A31" s="5" t="s">
        <v>56</v>
      </c>
      <c r="B31" s="6" t="n">
        <v>58648</v>
      </c>
      <c r="C31" s="6" t="n">
        <v>0</v>
      </c>
      <c r="D31" s="6" t="n">
        <f aca="false">C31-B31</f>
        <v>-58648</v>
      </c>
      <c r="E31" s="7" t="n">
        <f aca="false">IF(B31=0,IF(C31=0,0,"new"),C31/B31-1)</f>
        <v>-1</v>
      </c>
      <c r="F31" s="6" t="n">
        <v>1</v>
      </c>
      <c r="G31" s="6" t="n">
        <v>0</v>
      </c>
      <c r="H31" s="6" t="n">
        <f aca="false">G31-F31</f>
        <v>-1</v>
      </c>
    </row>
    <row r="32" customFormat="false" ht="15" hidden="false" customHeight="false" outlineLevel="0" collapsed="false">
      <c r="A32" s="5" t="s">
        <v>57</v>
      </c>
      <c r="B32" s="6" t="n">
        <v>52418</v>
      </c>
      <c r="C32" s="6" t="n">
        <v>0</v>
      </c>
      <c r="D32" s="6" t="n">
        <f aca="false">C32-B32</f>
        <v>-52418</v>
      </c>
      <c r="E32" s="7" t="n">
        <f aca="false">IF(B32=0,IF(C32=0,0,"new"),C32/B32-1)</f>
        <v>-1</v>
      </c>
      <c r="F32" s="6" t="n">
        <v>1</v>
      </c>
      <c r="G32" s="6" t="n">
        <v>0</v>
      </c>
      <c r="H32" s="6" t="n">
        <f aca="false">G32-F32</f>
        <v>-1</v>
      </c>
    </row>
    <row r="33" customFormat="false" ht="15" hidden="false" customHeight="false" outlineLevel="0" collapsed="false">
      <c r="A33" s="5" t="s">
        <v>58</v>
      </c>
      <c r="B33" s="6" t="n">
        <v>50899</v>
      </c>
      <c r="C33" s="6" t="n">
        <v>0</v>
      </c>
      <c r="D33" s="6" t="n">
        <f aca="false">C33-B33</f>
        <v>-50899</v>
      </c>
      <c r="E33" s="7" t="n">
        <f aca="false">IF(B33=0,IF(C33=0,0,"new"),C33/B33-1)</f>
        <v>-1</v>
      </c>
      <c r="F33" s="6" t="n">
        <v>1</v>
      </c>
      <c r="G33" s="6" t="n">
        <v>0</v>
      </c>
      <c r="H33" s="6" t="n">
        <f aca="false">G33-F33</f>
        <v>-1</v>
      </c>
    </row>
    <row r="34" customFormat="false" ht="15" hidden="false" customHeight="false" outlineLevel="0" collapsed="false">
      <c r="A34" s="5" t="s">
        <v>59</v>
      </c>
      <c r="B34" s="6" t="n">
        <v>29189</v>
      </c>
      <c r="C34" s="6" t="n">
        <v>0</v>
      </c>
      <c r="D34" s="6" t="n">
        <f aca="false">C34-B34</f>
        <v>-29189</v>
      </c>
      <c r="E34" s="7" t="n">
        <f aca="false">IF(B34=0,IF(C34=0,0,"new"),C34/B34-1)</f>
        <v>-1</v>
      </c>
      <c r="F34" s="6" t="n">
        <v>1</v>
      </c>
      <c r="G34" s="6" t="n">
        <v>0</v>
      </c>
      <c r="H34" s="6" t="n">
        <f aca="false">G34-F34</f>
        <v>-1</v>
      </c>
    </row>
    <row r="35" customFormat="false" ht="15" hidden="false" customHeight="false" outlineLevel="0" collapsed="false">
      <c r="A35" s="5" t="s">
        <v>60</v>
      </c>
      <c r="B35" s="6" t="n">
        <v>7205</v>
      </c>
      <c r="C35" s="6" t="n">
        <v>0</v>
      </c>
      <c r="D35" s="6" t="n">
        <f aca="false">C35-B35</f>
        <v>-7205</v>
      </c>
      <c r="E35" s="7" t="n">
        <f aca="false">IF(B35=0,IF(C35=0,0,"new"),C35/B35-1)</f>
        <v>-1</v>
      </c>
      <c r="F35" s="6" t="n">
        <v>1</v>
      </c>
      <c r="G35" s="6" t="n">
        <v>0</v>
      </c>
      <c r="H35" s="6" t="n">
        <f aca="false">G35-F35</f>
        <v>-1</v>
      </c>
    </row>
    <row r="36" customFormat="false" ht="15" hidden="false" customHeight="false" outlineLevel="0" collapsed="false">
      <c r="A36" s="5" t="s">
        <v>61</v>
      </c>
      <c r="B36" s="6" t="n">
        <v>1347</v>
      </c>
      <c r="C36" s="6" t="n">
        <v>0</v>
      </c>
      <c r="D36" s="6" t="n">
        <f aca="false">C36-B36</f>
        <v>-1347</v>
      </c>
      <c r="E36" s="7" t="n">
        <f aca="false">IF(B36=0,IF(C36=0,0,"new"),C36/B36-1)</f>
        <v>-1</v>
      </c>
      <c r="F36" s="6" t="n">
        <v>4</v>
      </c>
      <c r="G36" s="6" t="n">
        <v>0</v>
      </c>
      <c r="H36" s="6" t="n">
        <f aca="false">G36-F36</f>
        <v>-4</v>
      </c>
    </row>
    <row r="37" customFormat="false" ht="15" hidden="false" customHeight="false" outlineLevel="0" collapsed="false">
      <c r="A37" s="5" t="s">
        <v>62</v>
      </c>
      <c r="B37" s="6" t="n">
        <v>1000</v>
      </c>
      <c r="C37" s="6" t="n">
        <v>0</v>
      </c>
      <c r="D37" s="6" t="n">
        <f aca="false">C37-B37</f>
        <v>-1000</v>
      </c>
      <c r="E37" s="7" t="n">
        <f aca="false">IF(B37=0,IF(C37=0,0,"new"),C37/B37-1)</f>
        <v>-1</v>
      </c>
      <c r="F37" s="6" t="n">
        <v>1</v>
      </c>
      <c r="G37" s="6" t="n">
        <v>0</v>
      </c>
      <c r="H37" s="6" t="n">
        <f aca="false">G37-F37</f>
        <v>-1</v>
      </c>
    </row>
    <row r="38" customFormat="false" ht="15" hidden="false" customHeight="false" outlineLevel="0" collapsed="false">
      <c r="A38" s="9" t="s">
        <v>63</v>
      </c>
      <c r="B38" s="10" t="n">
        <f aca="false">SUM(B6:B37)</f>
        <v>2466553</v>
      </c>
      <c r="C38" s="10" t="n">
        <f aca="false">SUM(C6:C37)</f>
        <v>3071514</v>
      </c>
      <c r="D38" s="10" t="n">
        <f aca="false">C38-B38</f>
        <v>604961</v>
      </c>
      <c r="E38" s="11" t="n">
        <f aca="false">IF(B38=0,IF(C38=0,0,"new"),C38/B38-1)</f>
        <v>0.245265761570905</v>
      </c>
      <c r="F38" s="10" t="n">
        <f aca="false">SUM(F6:F37)</f>
        <v>892</v>
      </c>
      <c r="G38" s="10" t="n">
        <f aca="false">SUM(G6:G37)</f>
        <v>721</v>
      </c>
      <c r="H38" s="10" t="n">
        <f aca="false">G38-F38</f>
        <v>-171</v>
      </c>
    </row>
    <row r="39" customFormat="false" ht="15" hidden="false" customHeight="false" outlineLevel="0" collapsed="false">
      <c r="A39" s="4" t="s">
        <v>14</v>
      </c>
      <c r="B39" s="16" t="n">
        <f aca="false">SUMIF($A$6:$A$37,"CHINA",B6:B37)</f>
        <v>0</v>
      </c>
      <c r="C39" s="16" t="n">
        <f aca="false">SUMIF($A$6:$A$37,"CHINA",C6:C37)</f>
        <v>1581810</v>
      </c>
      <c r="D39" s="16" t="n">
        <f aca="false">C39-B39</f>
        <v>1581810</v>
      </c>
      <c r="E39" s="17" t="str">
        <f aca="false">IF(B39=0,IF(C39=0,0,"new"),C39/B39-1)</f>
        <v>new</v>
      </c>
      <c r="F39" s="16" t="n">
        <f aca="false">SUMIF($A$6:$A$37,"CHINA",F6:F37)</f>
        <v>0</v>
      </c>
      <c r="G39" s="16" t="n">
        <f aca="false">SUMIF($A$6:$A$37,"CHINA",G6:G37)</f>
        <v>24</v>
      </c>
      <c r="H39" s="16" t="n">
        <f aca="false">G39-F39</f>
        <v>24</v>
      </c>
    </row>
    <row r="40" customFormat="false" ht="15" hidden="false" customHeight="false" outlineLevel="0" collapsed="false">
      <c r="A40" s="4" t="s">
        <v>15</v>
      </c>
      <c r="B40" s="16" t="n">
        <f aca="false">B38-B39</f>
        <v>2466553</v>
      </c>
      <c r="C40" s="16" t="n">
        <f aca="false">C38-C39</f>
        <v>1489704</v>
      </c>
      <c r="D40" s="16" t="n">
        <f aca="false">C40-B40</f>
        <v>-976849</v>
      </c>
      <c r="E40" s="17" t="n">
        <f aca="false">IF(B40=0,IF(C40=0,0,"new"),C40/B40-1)</f>
        <v>-0.396038114729341</v>
      </c>
      <c r="F40" s="16" t="n">
        <f aca="false">F38-F39</f>
        <v>892</v>
      </c>
      <c r="G40" s="16" t="n">
        <f aca="false">G38-G39</f>
        <v>697</v>
      </c>
      <c r="H40" s="16" t="n">
        <f aca="false">G40-F40</f>
        <v>-195</v>
      </c>
    </row>
  </sheetData>
  <mergeCells count="3">
    <mergeCell ref="A4:A5"/>
    <mergeCell ref="B4:E4"/>
    <mergeCell ref="F4:H4"/>
  </mergeCells>
  <conditionalFormatting sqref="D6:E40">
    <cfRule type="expression" priority="2" aboveAverage="0" equalAverage="0" bottom="0" percent="0" rank="0" text="" dxfId="0">
      <formula>AND(ISNUMBER(D6),D6&gt;0)</formula>
    </cfRule>
    <cfRule type="expression" priority="3" aboveAverage="0" equalAverage="0" bottom="0" percent="0" rank="0" text="" dxfId="1">
      <formula>AND(ISNUMBER(D6),D6&lt;0)</formula>
    </cfRule>
  </conditionalFormatting>
  <conditionalFormatting sqref="H6:H40">
    <cfRule type="expression" priority="4" aboveAverage="0" equalAverage="0" bottom="0" percent="0" rank="0" text="" dxfId="0">
      <formula>AND(ISNUMBER(H6),H6&gt;0)</formula>
    </cfRule>
    <cfRule type="expression" priority="5" aboveAverage="0" equalAverage="0" bottom="0" percent="0" rank="0" text="" dxfId="1">
      <formula>AND(ISNUMBER(H6),H6&lt;0)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24</v>
      </c>
    </row>
    <row r="4" customFormat="false" ht="15" hidden="false" customHeight="false" outlineLevel="0" collapsed="false">
      <c r="A4" s="14" t="s">
        <v>25</v>
      </c>
      <c r="B4" s="14" t="s">
        <v>26</v>
      </c>
      <c r="C4" s="14"/>
      <c r="D4" s="14"/>
      <c r="E4" s="14"/>
      <c r="F4" s="14" t="s">
        <v>27</v>
      </c>
      <c r="G4" s="14"/>
      <c r="H4" s="14"/>
    </row>
    <row r="5" customFormat="false" ht="15" hidden="false" customHeight="false" outlineLevel="0" collapsed="false">
      <c r="A5" s="14"/>
      <c r="B5" s="15" t="s">
        <v>28</v>
      </c>
      <c r="C5" s="15" t="s">
        <v>29</v>
      </c>
      <c r="D5" s="15" t="s">
        <v>6</v>
      </c>
      <c r="E5" s="15" t="s">
        <v>7</v>
      </c>
      <c r="F5" s="15" t="s">
        <v>28</v>
      </c>
      <c r="G5" s="15" t="s">
        <v>29</v>
      </c>
      <c r="H5" s="15" t="s">
        <v>30</v>
      </c>
    </row>
    <row r="6" customFormat="false" ht="15" hidden="false" customHeight="false" outlineLevel="0" collapsed="false">
      <c r="A6" s="5" t="s">
        <v>31</v>
      </c>
      <c r="B6" s="6" t="n">
        <v>0</v>
      </c>
      <c r="C6" s="6" t="n">
        <v>756492</v>
      </c>
      <c r="D6" s="6" t="n">
        <f aca="false">C6-B6</f>
        <v>756492</v>
      </c>
      <c r="E6" s="7" t="str">
        <f aca="false">IF(B6=0,IF(C6=0,0,"new"),C6/B6-1)</f>
        <v>new</v>
      </c>
      <c r="F6" s="6" t="n">
        <v>0</v>
      </c>
      <c r="G6" s="6" t="n">
        <v>12</v>
      </c>
      <c r="H6" s="6" t="n">
        <f aca="false">G6-F6</f>
        <v>12</v>
      </c>
    </row>
    <row r="7" customFormat="false" ht="15" hidden="false" customHeight="false" outlineLevel="0" collapsed="false">
      <c r="A7" s="5" t="s">
        <v>37</v>
      </c>
      <c r="B7" s="6" t="n">
        <v>0</v>
      </c>
      <c r="C7" s="6" t="n">
        <v>126680</v>
      </c>
      <c r="D7" s="6" t="n">
        <f aca="false">C7-B7</f>
        <v>126680</v>
      </c>
      <c r="E7" s="7" t="str">
        <f aca="false">IF(B7=0,IF(C7=0,0,"new"),C7/B7-1)</f>
        <v>new</v>
      </c>
      <c r="F7" s="6" t="n">
        <v>0</v>
      </c>
      <c r="G7" s="6" t="n">
        <v>3</v>
      </c>
      <c r="H7" s="6" t="n">
        <f aca="false">G7-F7</f>
        <v>3</v>
      </c>
    </row>
    <row r="8" customFormat="false" ht="15" hidden="false" customHeight="false" outlineLevel="0" collapsed="false">
      <c r="A8" s="5" t="s">
        <v>38</v>
      </c>
      <c r="B8" s="6" t="n">
        <v>0</v>
      </c>
      <c r="C8" s="6" t="n">
        <v>59219</v>
      </c>
      <c r="D8" s="6" t="n">
        <f aca="false">C8-B8</f>
        <v>59219</v>
      </c>
      <c r="E8" s="7" t="str">
        <f aca="false">IF(B8=0,IF(C8=0,0,"new"),C8/B8-1)</f>
        <v>new</v>
      </c>
      <c r="F8" s="6" t="n">
        <v>0</v>
      </c>
      <c r="G8" s="6" t="n">
        <v>1</v>
      </c>
      <c r="H8" s="6" t="n">
        <f aca="false">G8-F8</f>
        <v>1</v>
      </c>
    </row>
    <row r="9" customFormat="false" ht="15" hidden="false" customHeight="false" outlineLevel="0" collapsed="false">
      <c r="A9" s="5" t="s">
        <v>40</v>
      </c>
      <c r="B9" s="6" t="n">
        <v>0</v>
      </c>
      <c r="C9" s="6" t="n">
        <v>58993</v>
      </c>
      <c r="D9" s="6" t="n">
        <f aca="false">C9-B9</f>
        <v>58993</v>
      </c>
      <c r="E9" s="7" t="str">
        <f aca="false">IF(B9=0,IF(C9=0,0,"new"),C9/B9-1)</f>
        <v>new</v>
      </c>
      <c r="F9" s="6" t="n">
        <v>0</v>
      </c>
      <c r="G9" s="6" t="n">
        <v>1</v>
      </c>
      <c r="H9" s="6" t="n">
        <f aca="false">G9-F9</f>
        <v>1</v>
      </c>
    </row>
    <row r="10" customFormat="false" ht="15" hidden="false" customHeight="false" outlineLevel="0" collapsed="false">
      <c r="A10" s="5" t="s">
        <v>54</v>
      </c>
      <c r="B10" s="6" t="n">
        <v>69297</v>
      </c>
      <c r="C10" s="6" t="n">
        <v>57366</v>
      </c>
      <c r="D10" s="6" t="n">
        <f aca="false">C10-B10</f>
        <v>-11931</v>
      </c>
      <c r="E10" s="7" t="n">
        <f aca="false">IF(B10=0,IF(C10=0,0,"new"),C10/B10-1)</f>
        <v>-0.172171955495909</v>
      </c>
      <c r="F10" s="6" t="n">
        <v>1</v>
      </c>
      <c r="G10" s="6" t="n">
        <v>1</v>
      </c>
      <c r="H10" s="6" t="n">
        <f aca="false">G10-F10</f>
        <v>0</v>
      </c>
    </row>
    <row r="11" customFormat="false" ht="15" hidden="false" customHeight="false" outlineLevel="0" collapsed="false">
      <c r="A11" s="5" t="s">
        <v>65</v>
      </c>
      <c r="B11" s="6" t="n">
        <v>0</v>
      </c>
      <c r="C11" s="6" t="n">
        <v>35887</v>
      </c>
      <c r="D11" s="6" t="n">
        <f aca="false">C11-B11</f>
        <v>35887</v>
      </c>
      <c r="E11" s="7" t="str">
        <f aca="false">IF(B11=0,IF(C11=0,0,"new"),C11/B11-1)</f>
        <v>new</v>
      </c>
      <c r="F11" s="6" t="n">
        <v>0</v>
      </c>
      <c r="G11" s="6" t="n">
        <v>1</v>
      </c>
      <c r="H11" s="6" t="n">
        <f aca="false">G11-F11</f>
        <v>1</v>
      </c>
    </row>
    <row r="12" customFormat="false" ht="15" hidden="false" customHeight="false" outlineLevel="0" collapsed="false">
      <c r="A12" s="5" t="s">
        <v>33</v>
      </c>
      <c r="B12" s="6" t="n">
        <v>217595</v>
      </c>
      <c r="C12" s="6" t="n">
        <v>32033</v>
      </c>
      <c r="D12" s="6" t="n">
        <f aca="false">C12-B12</f>
        <v>-185562</v>
      </c>
      <c r="E12" s="7" t="n">
        <f aca="false">IF(B12=0,IF(C12=0,0,"new"),C12/B12-1)</f>
        <v>-0.852786139387394</v>
      </c>
      <c r="F12" s="6" t="n">
        <v>15</v>
      </c>
      <c r="G12" s="6" t="n">
        <v>6</v>
      </c>
      <c r="H12" s="6" t="n">
        <f aca="false">G12-F12</f>
        <v>-9</v>
      </c>
    </row>
    <row r="13" customFormat="false" ht="15" hidden="false" customHeight="false" outlineLevel="0" collapsed="false">
      <c r="A13" s="5" t="s">
        <v>34</v>
      </c>
      <c r="B13" s="6" t="n">
        <v>10429</v>
      </c>
      <c r="C13" s="6" t="n">
        <v>21886</v>
      </c>
      <c r="D13" s="6" t="n">
        <f aca="false">C13-B13</f>
        <v>11457</v>
      </c>
      <c r="E13" s="7" t="n">
        <f aca="false">IF(B13=0,IF(C13=0,0,"new"),C13/B13-1)</f>
        <v>1.09857129159076</v>
      </c>
      <c r="F13" s="6" t="n">
        <v>6</v>
      </c>
      <c r="G13" s="6" t="n">
        <v>4</v>
      </c>
      <c r="H13" s="6" t="n">
        <f aca="false">G13-F13</f>
        <v>-2</v>
      </c>
    </row>
    <row r="14" customFormat="false" ht="15" hidden="false" customHeight="false" outlineLevel="0" collapsed="false">
      <c r="A14" s="5" t="s">
        <v>41</v>
      </c>
      <c r="B14" s="6" t="n">
        <v>12194</v>
      </c>
      <c r="C14" s="6" t="n">
        <v>11555</v>
      </c>
      <c r="D14" s="6" t="n">
        <f aca="false">C14-B14</f>
        <v>-639</v>
      </c>
      <c r="E14" s="7" t="n">
        <f aca="false">IF(B14=0,IF(C14=0,0,"new"),C14/B14-1)</f>
        <v>-0.0524028210595375</v>
      </c>
      <c r="F14" s="6" t="n">
        <v>39</v>
      </c>
      <c r="G14" s="6" t="n">
        <v>45</v>
      </c>
      <c r="H14" s="6" t="n">
        <f aca="false">G14-F14</f>
        <v>6</v>
      </c>
    </row>
    <row r="15" customFormat="false" ht="15" hidden="false" customHeight="false" outlineLevel="0" collapsed="false">
      <c r="A15" s="5" t="s">
        <v>42</v>
      </c>
      <c r="B15" s="6" t="n">
        <v>6285</v>
      </c>
      <c r="C15" s="6" t="n">
        <v>10628</v>
      </c>
      <c r="D15" s="6" t="n">
        <f aca="false">C15-B15</f>
        <v>4343</v>
      </c>
      <c r="E15" s="7" t="n">
        <f aca="false">IF(B15=0,IF(C15=0,0,"new"),C15/B15-1)</f>
        <v>0.691010342084328</v>
      </c>
      <c r="F15" s="6" t="n">
        <v>1</v>
      </c>
      <c r="G15" s="6" t="n">
        <v>1</v>
      </c>
      <c r="H15" s="6" t="n">
        <f aca="false">G15-F15</f>
        <v>0</v>
      </c>
    </row>
    <row r="16" customFormat="false" ht="15" hidden="false" customHeight="false" outlineLevel="0" collapsed="false">
      <c r="A16" s="5" t="s">
        <v>36</v>
      </c>
      <c r="B16" s="6" t="n">
        <v>44171</v>
      </c>
      <c r="C16" s="6" t="n">
        <v>9034</v>
      </c>
      <c r="D16" s="6" t="n">
        <f aca="false">C16-B16</f>
        <v>-35137</v>
      </c>
      <c r="E16" s="7" t="n">
        <f aca="false">IF(B16=0,IF(C16=0,0,"new"),C16/B16-1)</f>
        <v>-0.795476670213489</v>
      </c>
      <c r="F16" s="6" t="n">
        <v>128</v>
      </c>
      <c r="G16" s="6" t="n">
        <v>28</v>
      </c>
      <c r="H16" s="6" t="n">
        <f aca="false">G16-F16</f>
        <v>-100</v>
      </c>
    </row>
    <row r="17" customFormat="false" ht="15" hidden="false" customHeight="false" outlineLevel="0" collapsed="false">
      <c r="A17" s="5" t="s">
        <v>45</v>
      </c>
      <c r="B17" s="6" t="n">
        <v>12285</v>
      </c>
      <c r="C17" s="6" t="n">
        <v>7196</v>
      </c>
      <c r="D17" s="6" t="n">
        <f aca="false">C17-B17</f>
        <v>-5089</v>
      </c>
      <c r="E17" s="7" t="n">
        <f aca="false">IF(B17=0,IF(C17=0,0,"new"),C17/B17-1)</f>
        <v>-0.414245014245014</v>
      </c>
      <c r="F17" s="6" t="n">
        <v>1</v>
      </c>
      <c r="G17" s="6" t="n">
        <v>1</v>
      </c>
      <c r="H17" s="6" t="n">
        <f aca="false">G17-F17</f>
        <v>0</v>
      </c>
    </row>
    <row r="18" customFormat="false" ht="15" hidden="false" customHeight="false" outlineLevel="0" collapsed="false">
      <c r="A18" s="5" t="s">
        <v>43</v>
      </c>
      <c r="B18" s="6" t="n">
        <v>28900</v>
      </c>
      <c r="C18" s="6" t="n">
        <v>5777</v>
      </c>
      <c r="D18" s="6" t="n">
        <f aca="false">C18-B18</f>
        <v>-23123</v>
      </c>
      <c r="E18" s="7" t="n">
        <f aca="false">IF(B18=0,IF(C18=0,0,"new"),C18/B18-1)</f>
        <v>-0.800103806228374</v>
      </c>
      <c r="F18" s="6" t="n">
        <v>75</v>
      </c>
      <c r="G18" s="6" t="n">
        <v>17</v>
      </c>
      <c r="H18" s="6" t="n">
        <f aca="false">G18-F18</f>
        <v>-58</v>
      </c>
    </row>
    <row r="19" customFormat="false" ht="15" hidden="false" customHeight="false" outlineLevel="0" collapsed="false">
      <c r="A19" s="5" t="s">
        <v>44</v>
      </c>
      <c r="B19" s="6" t="n">
        <v>6244</v>
      </c>
      <c r="C19" s="6" t="n">
        <v>3967</v>
      </c>
      <c r="D19" s="6" t="n">
        <f aca="false">C19-B19</f>
        <v>-2277</v>
      </c>
      <c r="E19" s="7" t="n">
        <f aca="false">IF(B19=0,IF(C19=0,0,"new"),C19/B19-1)</f>
        <v>-0.364670083279949</v>
      </c>
      <c r="F19" s="6" t="n">
        <v>15</v>
      </c>
      <c r="G19" s="6" t="n">
        <v>11</v>
      </c>
      <c r="H19" s="6" t="n">
        <f aca="false">G19-F19</f>
        <v>-4</v>
      </c>
    </row>
    <row r="20" customFormat="false" ht="15" hidden="false" customHeight="false" outlineLevel="0" collapsed="false">
      <c r="A20" s="5" t="s">
        <v>48</v>
      </c>
      <c r="B20" s="6" t="n">
        <v>171</v>
      </c>
      <c r="C20" s="6" t="n">
        <v>1150</v>
      </c>
      <c r="D20" s="6" t="n">
        <f aca="false">C20-B20</f>
        <v>979</v>
      </c>
      <c r="E20" s="7" t="n">
        <f aca="false">IF(B20=0,IF(C20=0,0,"new"),C20/B20-1)</f>
        <v>5.72514619883041</v>
      </c>
      <c r="F20" s="6" t="n">
        <v>2</v>
      </c>
      <c r="G20" s="6" t="n">
        <v>5</v>
      </c>
      <c r="H20" s="6" t="n">
        <f aca="false">G20-F20</f>
        <v>3</v>
      </c>
    </row>
    <row r="21" customFormat="false" ht="15" hidden="false" customHeight="false" outlineLevel="0" collapsed="false">
      <c r="A21" s="5" t="s">
        <v>50</v>
      </c>
      <c r="B21" s="6" t="n">
        <v>5142</v>
      </c>
      <c r="C21" s="6" t="n">
        <v>979</v>
      </c>
      <c r="D21" s="6" t="n">
        <f aca="false">C21-B21</f>
        <v>-4163</v>
      </c>
      <c r="E21" s="7" t="n">
        <f aca="false">IF(B21=0,IF(C21=0,0,"new"),C21/B21-1)</f>
        <v>-0.809607156748347</v>
      </c>
      <c r="F21" s="6" t="n">
        <v>16</v>
      </c>
      <c r="G21" s="6" t="n">
        <v>3</v>
      </c>
      <c r="H21" s="6" t="n">
        <f aca="false">G21-F21</f>
        <v>-13</v>
      </c>
    </row>
    <row r="22" customFormat="false" ht="15" hidden="false" customHeight="false" outlineLevel="0" collapsed="false">
      <c r="A22" s="5" t="s">
        <v>51</v>
      </c>
      <c r="B22" s="6" t="n">
        <v>538</v>
      </c>
      <c r="C22" s="6" t="n">
        <v>343</v>
      </c>
      <c r="D22" s="6" t="n">
        <f aca="false">C22-B22</f>
        <v>-195</v>
      </c>
      <c r="E22" s="7" t="n">
        <f aca="false">IF(B22=0,IF(C22=0,0,"new"),C22/B22-1)</f>
        <v>-0.362453531598513</v>
      </c>
      <c r="F22" s="6" t="n">
        <v>2</v>
      </c>
      <c r="G22" s="6" t="n">
        <v>1</v>
      </c>
      <c r="H22" s="6" t="n">
        <f aca="false">G22-F22</f>
        <v>-1</v>
      </c>
    </row>
    <row r="23" customFormat="false" ht="15" hidden="false" customHeight="false" outlineLevel="0" collapsed="false">
      <c r="A23" s="5" t="s">
        <v>52</v>
      </c>
      <c r="B23" s="6" t="n">
        <v>612</v>
      </c>
      <c r="C23" s="6" t="n">
        <v>245</v>
      </c>
      <c r="D23" s="6" t="n">
        <f aca="false">C23-B23</f>
        <v>-367</v>
      </c>
      <c r="E23" s="7" t="n">
        <f aca="false">IF(B23=0,IF(C23=0,0,"new"),C23/B23-1)</f>
        <v>-0.599673202614379</v>
      </c>
      <c r="F23" s="6" t="n">
        <v>3</v>
      </c>
      <c r="G23" s="6" t="n">
        <v>1</v>
      </c>
      <c r="H23" s="6" t="n">
        <f aca="false">G23-F23</f>
        <v>-2</v>
      </c>
    </row>
    <row r="24" customFormat="false" ht="15" hidden="false" customHeight="false" outlineLevel="0" collapsed="false">
      <c r="A24" s="5" t="s">
        <v>32</v>
      </c>
      <c r="B24" s="6" t="n">
        <v>181571</v>
      </c>
      <c r="C24" s="6" t="n">
        <v>0</v>
      </c>
      <c r="D24" s="6" t="n">
        <f aca="false">C24-B24</f>
        <v>-181571</v>
      </c>
      <c r="E24" s="7" t="n">
        <f aca="false">IF(B24=0,IF(C24=0,0,"new"),C24/B24-1)</f>
        <v>-1</v>
      </c>
      <c r="F24" s="6" t="n">
        <v>3</v>
      </c>
      <c r="G24" s="6" t="n">
        <v>0</v>
      </c>
      <c r="H24" s="6" t="n">
        <f aca="false">G24-F24</f>
        <v>-3</v>
      </c>
    </row>
    <row r="25" customFormat="false" ht="15" hidden="false" customHeight="false" outlineLevel="0" collapsed="false">
      <c r="A25" s="5" t="s">
        <v>56</v>
      </c>
      <c r="B25" s="6" t="n">
        <v>115038</v>
      </c>
      <c r="C25" s="6" t="n">
        <v>0</v>
      </c>
      <c r="D25" s="6" t="n">
        <f aca="false">C25-B25</f>
        <v>-115038</v>
      </c>
      <c r="E25" s="7" t="n">
        <f aca="false">IF(B25=0,IF(C25=0,0,"new"),C25/B25-1)</f>
        <v>-1</v>
      </c>
      <c r="F25" s="6" t="n">
        <v>2</v>
      </c>
      <c r="G25" s="6" t="n">
        <v>0</v>
      </c>
      <c r="H25" s="6" t="n">
        <f aca="false">G25-F25</f>
        <v>-2</v>
      </c>
    </row>
    <row r="26" customFormat="false" ht="15" hidden="false" customHeight="false" outlineLevel="0" collapsed="false">
      <c r="A26" s="5" t="s">
        <v>35</v>
      </c>
      <c r="B26" s="6" t="n">
        <v>45900</v>
      </c>
      <c r="C26" s="6" t="n">
        <v>0</v>
      </c>
      <c r="D26" s="6" t="n">
        <f aca="false">C26-B26</f>
        <v>-45900</v>
      </c>
      <c r="E26" s="7" t="n">
        <f aca="false">IF(B26=0,IF(C26=0,0,"new"),C26/B26-1)</f>
        <v>-1</v>
      </c>
      <c r="F26" s="6" t="n">
        <v>1</v>
      </c>
      <c r="G26" s="6" t="n">
        <v>0</v>
      </c>
      <c r="H26" s="6" t="n">
        <f aca="false">G26-F26</f>
        <v>-1</v>
      </c>
    </row>
    <row r="27" customFormat="false" ht="15" hidden="false" customHeight="false" outlineLevel="0" collapsed="false">
      <c r="A27" s="5" t="s">
        <v>46</v>
      </c>
      <c r="B27" s="6" t="n">
        <v>21871</v>
      </c>
      <c r="C27" s="6" t="n">
        <v>0</v>
      </c>
      <c r="D27" s="6" t="n">
        <f aca="false">C27-B27</f>
        <v>-21871</v>
      </c>
      <c r="E27" s="7" t="n">
        <f aca="false">IF(B27=0,IF(C27=0,0,"new"),C27/B27-1)</f>
        <v>-1</v>
      </c>
      <c r="F27" s="6" t="n">
        <v>1</v>
      </c>
      <c r="G27" s="6" t="n">
        <v>0</v>
      </c>
      <c r="H27" s="6" t="n">
        <f aca="false">G27-F27</f>
        <v>-1</v>
      </c>
    </row>
    <row r="28" customFormat="false" ht="15" hidden="false" customHeight="false" outlineLevel="0" collapsed="false">
      <c r="A28" s="5" t="s">
        <v>66</v>
      </c>
      <c r="B28" s="6" t="n">
        <v>4958</v>
      </c>
      <c r="C28" s="6" t="n">
        <v>0</v>
      </c>
      <c r="D28" s="6" t="n">
        <f aca="false">C28-B28</f>
        <v>-4958</v>
      </c>
      <c r="E28" s="7" t="n">
        <f aca="false">IF(B28=0,IF(C28=0,0,"new"),C28/B28-1)</f>
        <v>-1</v>
      </c>
      <c r="F28" s="6" t="n">
        <v>1</v>
      </c>
      <c r="G28" s="6" t="n">
        <v>0</v>
      </c>
      <c r="H28" s="6" t="n">
        <f aca="false">G28-F28</f>
        <v>-1</v>
      </c>
    </row>
    <row r="29" customFormat="false" ht="15" hidden="false" customHeight="false" outlineLevel="0" collapsed="false">
      <c r="A29" s="5" t="s">
        <v>67</v>
      </c>
      <c r="B29" s="6" t="n">
        <v>294</v>
      </c>
      <c r="C29" s="6" t="n">
        <v>0</v>
      </c>
      <c r="D29" s="6" t="n">
        <f aca="false">C29-B29</f>
        <v>-294</v>
      </c>
      <c r="E29" s="7" t="n">
        <f aca="false">IF(B29=0,IF(C29=0,0,"new"),C29/B29-1)</f>
        <v>-1</v>
      </c>
      <c r="F29" s="6" t="n">
        <v>1</v>
      </c>
      <c r="G29" s="6" t="n">
        <v>0</v>
      </c>
      <c r="H29" s="6" t="n">
        <f aca="false">G29-F29</f>
        <v>-1</v>
      </c>
    </row>
    <row r="30" customFormat="false" ht="15" hidden="false" customHeight="false" outlineLevel="0" collapsed="false">
      <c r="A30" s="9" t="s">
        <v>63</v>
      </c>
      <c r="B30" s="10" t="n">
        <f aca="false">SUM(B6:B29)</f>
        <v>783495</v>
      </c>
      <c r="C30" s="10" t="n">
        <f aca="false">SUM(C6:C29)</f>
        <v>1199430</v>
      </c>
      <c r="D30" s="10" t="n">
        <f aca="false">C30-B30</f>
        <v>415935</v>
      </c>
      <c r="E30" s="11" t="n">
        <f aca="false">IF(B30=0,IF(C30=0,0,"new"),C30/B30-1)</f>
        <v>0.530871288266039</v>
      </c>
      <c r="F30" s="10" t="n">
        <f aca="false">SUM(F6:F29)</f>
        <v>313</v>
      </c>
      <c r="G30" s="10" t="n">
        <f aca="false">SUM(G6:G29)</f>
        <v>142</v>
      </c>
      <c r="H30" s="10" t="n">
        <f aca="false">G30-F30</f>
        <v>-171</v>
      </c>
    </row>
    <row r="31" customFormat="false" ht="15" hidden="false" customHeight="false" outlineLevel="0" collapsed="false">
      <c r="A31" s="4" t="s">
        <v>14</v>
      </c>
      <c r="B31" s="16" t="n">
        <f aca="false">SUMIF($A$6:$A$29,"CHINA",B6:B29)</f>
        <v>0</v>
      </c>
      <c r="C31" s="16" t="n">
        <f aca="false">SUMIF($A$6:$A$29,"CHINA",C6:C29)</f>
        <v>756492</v>
      </c>
      <c r="D31" s="16" t="n">
        <f aca="false">C31-B31</f>
        <v>756492</v>
      </c>
      <c r="E31" s="17" t="str">
        <f aca="false">IF(B31=0,IF(C31=0,0,"new"),C31/B31-1)</f>
        <v>new</v>
      </c>
      <c r="F31" s="16" t="n">
        <f aca="false">SUMIF($A$6:$A$29,"CHINA",F6:F29)</f>
        <v>0</v>
      </c>
      <c r="G31" s="16" t="n">
        <f aca="false">SUMIF($A$6:$A$29,"CHINA",G6:G29)</f>
        <v>12</v>
      </c>
      <c r="H31" s="16" t="n">
        <f aca="false">G31-F31</f>
        <v>12</v>
      </c>
    </row>
    <row r="32" customFormat="false" ht="15" hidden="false" customHeight="false" outlineLevel="0" collapsed="false">
      <c r="A32" s="4" t="s">
        <v>15</v>
      </c>
      <c r="B32" s="16" t="n">
        <f aca="false">B30-B31</f>
        <v>783495</v>
      </c>
      <c r="C32" s="16" t="n">
        <f aca="false">C30-C31</f>
        <v>442938</v>
      </c>
      <c r="D32" s="16" t="n">
        <f aca="false">C32-B32</f>
        <v>-340557</v>
      </c>
      <c r="E32" s="17" t="n">
        <f aca="false">IF(B32=0,IF(C32=0,0,"new"),C32/B32-1)</f>
        <v>-0.434663909788831</v>
      </c>
      <c r="F32" s="16" t="n">
        <f aca="false">F30-F31</f>
        <v>313</v>
      </c>
      <c r="G32" s="16" t="n">
        <f aca="false">G30-G31</f>
        <v>130</v>
      </c>
      <c r="H32" s="16" t="n">
        <f aca="false">G32-F32</f>
        <v>-183</v>
      </c>
    </row>
  </sheetData>
  <mergeCells count="3">
    <mergeCell ref="A4:A5"/>
    <mergeCell ref="B4:E4"/>
    <mergeCell ref="F4:H4"/>
  </mergeCells>
  <conditionalFormatting sqref="D6:E32">
    <cfRule type="expression" priority="2" aboveAverage="0" equalAverage="0" bottom="0" percent="0" rank="0" text="" dxfId="0">
      <formula>AND(ISNUMBER(D6),D6&gt;0)</formula>
    </cfRule>
    <cfRule type="expression" priority="3" aboveAverage="0" equalAverage="0" bottom="0" percent="0" rank="0" text="" dxfId="1">
      <formula>AND(ISNUMBER(D6),D6&lt;0)</formula>
    </cfRule>
  </conditionalFormatting>
  <conditionalFormatting sqref="H6:H32">
    <cfRule type="expression" priority="4" aboveAverage="0" equalAverage="0" bottom="0" percent="0" rank="0" text="" dxfId="0">
      <formula>AND(ISNUMBER(H6),H6&gt;0)</formula>
    </cfRule>
    <cfRule type="expression" priority="5" aboveAverage="0" equalAverage="0" bottom="0" percent="0" rank="0" text="" dxfId="1">
      <formula>AND(ISNUMBER(H6),H6&lt;0)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24</v>
      </c>
    </row>
    <row r="4" customFormat="false" ht="15" hidden="false" customHeight="false" outlineLevel="0" collapsed="false">
      <c r="A4" s="14" t="s">
        <v>25</v>
      </c>
      <c r="B4" s="14" t="s">
        <v>26</v>
      </c>
      <c r="C4" s="14"/>
      <c r="D4" s="14"/>
      <c r="E4" s="14"/>
      <c r="F4" s="14" t="s">
        <v>27</v>
      </c>
      <c r="G4" s="14"/>
      <c r="H4" s="14"/>
    </row>
    <row r="5" customFormat="false" ht="15" hidden="false" customHeight="false" outlineLevel="0" collapsed="false">
      <c r="A5" s="14"/>
      <c r="B5" s="15" t="s">
        <v>28</v>
      </c>
      <c r="C5" s="15" t="s">
        <v>29</v>
      </c>
      <c r="D5" s="15" t="s">
        <v>6</v>
      </c>
      <c r="E5" s="15" t="s">
        <v>7</v>
      </c>
      <c r="F5" s="15" t="s">
        <v>28</v>
      </c>
      <c r="G5" s="15" t="s">
        <v>29</v>
      </c>
      <c r="H5" s="15" t="s">
        <v>30</v>
      </c>
    </row>
    <row r="6" customFormat="false" ht="15" hidden="false" customHeight="false" outlineLevel="0" collapsed="false">
      <c r="A6" s="5" t="s">
        <v>31</v>
      </c>
      <c r="B6" s="6" t="n">
        <v>0</v>
      </c>
      <c r="C6" s="6" t="n">
        <v>649252</v>
      </c>
      <c r="D6" s="6" t="n">
        <f aca="false">C6-B6</f>
        <v>649252</v>
      </c>
      <c r="E6" s="7" t="str">
        <f aca="false">IF(B6=0,IF(C6=0,0,"new"),C6/B6-1)</f>
        <v>new</v>
      </c>
      <c r="F6" s="6" t="n">
        <v>0</v>
      </c>
      <c r="G6" s="6" t="n">
        <v>10</v>
      </c>
      <c r="H6" s="6" t="n">
        <f aca="false">G6-F6</f>
        <v>10</v>
      </c>
    </row>
    <row r="7" customFormat="false" ht="15" hidden="false" customHeight="false" outlineLevel="0" collapsed="false">
      <c r="A7" s="5" t="s">
        <v>33</v>
      </c>
      <c r="B7" s="6" t="n">
        <v>195947</v>
      </c>
      <c r="C7" s="6" t="n">
        <v>99486</v>
      </c>
      <c r="D7" s="6" t="n">
        <f aca="false">C7-B7</f>
        <v>-96461</v>
      </c>
      <c r="E7" s="7" t="n">
        <f aca="false">IF(B7=0,IF(C7=0,0,"new"),C7/B7-1)</f>
        <v>-0.492281076005246</v>
      </c>
      <c r="F7" s="6" t="n">
        <v>44</v>
      </c>
      <c r="G7" s="6" t="n">
        <v>9</v>
      </c>
      <c r="H7" s="6" t="n">
        <f aca="false">G7-F7</f>
        <v>-35</v>
      </c>
    </row>
    <row r="8" customFormat="false" ht="15" hidden="false" customHeight="false" outlineLevel="0" collapsed="false">
      <c r="A8" s="5" t="s">
        <v>32</v>
      </c>
      <c r="B8" s="6" t="n">
        <v>0</v>
      </c>
      <c r="C8" s="6" t="n">
        <v>79022</v>
      </c>
      <c r="D8" s="6" t="n">
        <f aca="false">C8-B8</f>
        <v>79022</v>
      </c>
      <c r="E8" s="7" t="str">
        <f aca="false">IF(B8=0,IF(C8=0,0,"new"),C8/B8-1)</f>
        <v>new</v>
      </c>
      <c r="F8" s="6" t="n">
        <v>0</v>
      </c>
      <c r="G8" s="6" t="n">
        <v>2</v>
      </c>
      <c r="H8" s="6" t="n">
        <f aca="false">G8-F8</f>
        <v>2</v>
      </c>
    </row>
    <row r="9" customFormat="false" ht="15" hidden="false" customHeight="false" outlineLevel="0" collapsed="false">
      <c r="A9" s="5" t="s">
        <v>41</v>
      </c>
      <c r="B9" s="6" t="n">
        <v>19441</v>
      </c>
      <c r="C9" s="6" t="n">
        <v>70336</v>
      </c>
      <c r="D9" s="6" t="n">
        <f aca="false">C9-B9</f>
        <v>50895</v>
      </c>
      <c r="E9" s="7" t="n">
        <f aca="false">IF(B9=0,IF(C9=0,0,"new"),C9/B9-1)</f>
        <v>2.61792088884317</v>
      </c>
      <c r="F9" s="6" t="n">
        <v>62</v>
      </c>
      <c r="G9" s="6" t="n">
        <v>39</v>
      </c>
      <c r="H9" s="6" t="n">
        <f aca="false">G9-F9</f>
        <v>-23</v>
      </c>
    </row>
    <row r="10" customFormat="false" ht="15" hidden="false" customHeight="false" outlineLevel="0" collapsed="false">
      <c r="A10" s="5" t="s">
        <v>34</v>
      </c>
      <c r="B10" s="6" t="n">
        <v>19882</v>
      </c>
      <c r="C10" s="6" t="n">
        <v>58266</v>
      </c>
      <c r="D10" s="6" t="n">
        <f aca="false">C10-B10</f>
        <v>38384</v>
      </c>
      <c r="E10" s="7" t="n">
        <f aca="false">IF(B10=0,IF(C10=0,0,"new"),C10/B10-1)</f>
        <v>1.93059048385474</v>
      </c>
      <c r="F10" s="6" t="n">
        <v>4</v>
      </c>
      <c r="G10" s="6" t="n">
        <v>10</v>
      </c>
      <c r="H10" s="6" t="n">
        <f aca="false">G10-F10</f>
        <v>6</v>
      </c>
    </row>
    <row r="11" customFormat="false" ht="15" hidden="false" customHeight="false" outlineLevel="0" collapsed="false">
      <c r="A11" s="5" t="s">
        <v>40</v>
      </c>
      <c r="B11" s="6" t="n">
        <v>52471</v>
      </c>
      <c r="C11" s="6" t="n">
        <v>56965</v>
      </c>
      <c r="D11" s="6" t="n">
        <f aca="false">C11-B11</f>
        <v>4494</v>
      </c>
      <c r="E11" s="7" t="n">
        <f aca="false">IF(B11=0,IF(C11=0,0,"new"),C11/B11-1)</f>
        <v>0.0856473099426349</v>
      </c>
      <c r="F11" s="6" t="n">
        <v>1</v>
      </c>
      <c r="G11" s="6" t="n">
        <v>1</v>
      </c>
      <c r="H11" s="6" t="n">
        <f aca="false">G11-F11</f>
        <v>0</v>
      </c>
    </row>
    <row r="12" customFormat="false" ht="15" hidden="false" customHeight="false" outlineLevel="0" collapsed="false">
      <c r="A12" s="5" t="s">
        <v>37</v>
      </c>
      <c r="B12" s="6" t="n">
        <v>44999</v>
      </c>
      <c r="C12" s="6" t="n">
        <v>44003</v>
      </c>
      <c r="D12" s="6" t="n">
        <f aca="false">C12-B12</f>
        <v>-996</v>
      </c>
      <c r="E12" s="7" t="n">
        <f aca="false">IF(B12=0,IF(C12=0,0,"new"),C12/B12-1)</f>
        <v>-0.0221338251961155</v>
      </c>
      <c r="F12" s="6" t="n">
        <v>1</v>
      </c>
      <c r="G12" s="6" t="n">
        <v>1</v>
      </c>
      <c r="H12" s="6" t="n">
        <f aca="false">G12-F12</f>
        <v>0</v>
      </c>
    </row>
    <row r="13" customFormat="false" ht="15" hidden="false" customHeight="false" outlineLevel="0" collapsed="false">
      <c r="A13" s="5" t="s">
        <v>36</v>
      </c>
      <c r="B13" s="6" t="n">
        <v>44470</v>
      </c>
      <c r="C13" s="6" t="n">
        <v>15671</v>
      </c>
      <c r="D13" s="6" t="n">
        <f aca="false">C13-B13</f>
        <v>-28799</v>
      </c>
      <c r="E13" s="7" t="n">
        <f aca="false">IF(B13=0,IF(C13=0,0,"new"),C13/B13-1)</f>
        <v>-0.647605127051945</v>
      </c>
      <c r="F13" s="6" t="n">
        <v>131</v>
      </c>
      <c r="G13" s="6" t="n">
        <v>49</v>
      </c>
      <c r="H13" s="6" t="n">
        <f aca="false">G13-F13</f>
        <v>-82</v>
      </c>
    </row>
    <row r="14" customFormat="false" ht="15" hidden="false" customHeight="false" outlineLevel="0" collapsed="false">
      <c r="A14" s="5" t="s">
        <v>43</v>
      </c>
      <c r="B14" s="6" t="n">
        <v>44471</v>
      </c>
      <c r="C14" s="6" t="n">
        <v>9840</v>
      </c>
      <c r="D14" s="6" t="n">
        <f aca="false">C14-B14</f>
        <v>-34631</v>
      </c>
      <c r="E14" s="7" t="n">
        <f aca="false">IF(B14=0,IF(C14=0,0,"new"),C14/B14-1)</f>
        <v>-0.778732207506015</v>
      </c>
      <c r="F14" s="6" t="n">
        <v>124</v>
      </c>
      <c r="G14" s="6" t="n">
        <v>30</v>
      </c>
      <c r="H14" s="6" t="n">
        <f aca="false">G14-F14</f>
        <v>-94</v>
      </c>
    </row>
    <row r="15" customFormat="false" ht="15" hidden="false" customHeight="false" outlineLevel="0" collapsed="false">
      <c r="A15" s="5" t="s">
        <v>44</v>
      </c>
      <c r="B15" s="6" t="n">
        <v>5193</v>
      </c>
      <c r="C15" s="6" t="n">
        <v>6270</v>
      </c>
      <c r="D15" s="6" t="n">
        <f aca="false">C15-B15</f>
        <v>1077</v>
      </c>
      <c r="E15" s="7" t="n">
        <f aca="false">IF(B15=0,IF(C15=0,0,"new"),C15/B15-1)</f>
        <v>0.20739456961294</v>
      </c>
      <c r="F15" s="6" t="n">
        <v>12</v>
      </c>
      <c r="G15" s="6" t="n">
        <v>17</v>
      </c>
      <c r="H15" s="6" t="n">
        <f aca="false">G15-F15</f>
        <v>5</v>
      </c>
    </row>
    <row r="16" customFormat="false" ht="15" hidden="false" customHeight="false" outlineLevel="0" collapsed="false">
      <c r="A16" s="5" t="s">
        <v>50</v>
      </c>
      <c r="B16" s="6" t="n">
        <v>3967</v>
      </c>
      <c r="C16" s="6" t="n">
        <v>5193</v>
      </c>
      <c r="D16" s="6" t="n">
        <f aca="false">C16-B16</f>
        <v>1226</v>
      </c>
      <c r="E16" s="7" t="n">
        <f aca="false">IF(B16=0,IF(C16=0,0,"new"),C16/B16-1)</f>
        <v>0.309049659692463</v>
      </c>
      <c r="F16" s="6" t="n">
        <v>11</v>
      </c>
      <c r="G16" s="6" t="n">
        <v>13</v>
      </c>
      <c r="H16" s="6" t="n">
        <f aca="false">G16-F16</f>
        <v>2</v>
      </c>
    </row>
    <row r="17" customFormat="false" ht="15" hidden="false" customHeight="false" outlineLevel="0" collapsed="false">
      <c r="A17" s="5" t="s">
        <v>48</v>
      </c>
      <c r="B17" s="6" t="n">
        <v>1445</v>
      </c>
      <c r="C17" s="6" t="n">
        <v>1811</v>
      </c>
      <c r="D17" s="6" t="n">
        <f aca="false">C17-B17</f>
        <v>366</v>
      </c>
      <c r="E17" s="7" t="n">
        <f aca="false">IF(B17=0,IF(C17=0,0,"new"),C17/B17-1)</f>
        <v>0.253287197231834</v>
      </c>
      <c r="F17" s="6" t="n">
        <v>6</v>
      </c>
      <c r="G17" s="6" t="n">
        <v>6</v>
      </c>
      <c r="H17" s="6" t="n">
        <f aca="false">G17-F17</f>
        <v>0</v>
      </c>
    </row>
    <row r="18" customFormat="false" ht="15" hidden="false" customHeight="false" outlineLevel="0" collapsed="false">
      <c r="A18" s="5" t="s">
        <v>51</v>
      </c>
      <c r="B18" s="6" t="n">
        <v>59567</v>
      </c>
      <c r="C18" s="6" t="n">
        <v>220</v>
      </c>
      <c r="D18" s="6" t="n">
        <f aca="false">C18-B18</f>
        <v>-59347</v>
      </c>
      <c r="E18" s="7" t="n">
        <f aca="false">IF(B18=0,IF(C18=0,0,"new"),C18/B18-1)</f>
        <v>-0.996306679873084</v>
      </c>
      <c r="F18" s="6" t="n">
        <v>2</v>
      </c>
      <c r="G18" s="6" t="n">
        <v>2</v>
      </c>
      <c r="H18" s="6" t="n">
        <f aca="false">G18-F18</f>
        <v>0</v>
      </c>
    </row>
    <row r="19" customFormat="false" ht="15" hidden="false" customHeight="false" outlineLevel="0" collapsed="false">
      <c r="A19" s="5" t="s">
        <v>60</v>
      </c>
      <c r="B19" s="6" t="n">
        <v>0</v>
      </c>
      <c r="C19" s="6" t="n">
        <v>171</v>
      </c>
      <c r="D19" s="6" t="n">
        <f aca="false">C19-B19</f>
        <v>171</v>
      </c>
      <c r="E19" s="7" t="str">
        <f aca="false">IF(B19=0,IF(C19=0,0,"new"),C19/B19-1)</f>
        <v>new</v>
      </c>
      <c r="F19" s="6" t="n">
        <v>0</v>
      </c>
      <c r="G19" s="6" t="n">
        <v>1</v>
      </c>
      <c r="H19" s="6" t="n">
        <f aca="false">G19-F19</f>
        <v>1</v>
      </c>
    </row>
    <row r="20" customFormat="false" ht="15" hidden="false" customHeight="false" outlineLevel="0" collapsed="false">
      <c r="A20" s="5" t="s">
        <v>69</v>
      </c>
      <c r="B20" s="6" t="n">
        <v>0</v>
      </c>
      <c r="C20" s="6" t="n">
        <v>49</v>
      </c>
      <c r="D20" s="6" t="n">
        <f aca="false">C20-B20</f>
        <v>49</v>
      </c>
      <c r="E20" s="7" t="str">
        <f aca="false">IF(B20=0,IF(C20=0,0,"new"),C20/B20-1)</f>
        <v>new</v>
      </c>
      <c r="F20" s="6" t="n">
        <v>0</v>
      </c>
      <c r="G20" s="6" t="n">
        <v>1</v>
      </c>
      <c r="H20" s="6" t="n">
        <f aca="false">G20-F20</f>
        <v>1</v>
      </c>
    </row>
    <row r="21" customFormat="false" ht="15" hidden="false" customHeight="false" outlineLevel="0" collapsed="false">
      <c r="A21" s="5" t="s">
        <v>58</v>
      </c>
      <c r="B21" s="6" t="n">
        <v>182090</v>
      </c>
      <c r="C21" s="6" t="n">
        <v>0</v>
      </c>
      <c r="D21" s="6" t="n">
        <f aca="false">C21-B21</f>
        <v>-182090</v>
      </c>
      <c r="E21" s="7" t="n">
        <f aca="false">IF(B21=0,IF(C21=0,0,"new"),C21/B21-1)</f>
        <v>-1</v>
      </c>
      <c r="F21" s="6" t="n">
        <v>3</v>
      </c>
      <c r="G21" s="6" t="n">
        <v>0</v>
      </c>
      <c r="H21" s="6" t="n">
        <f aca="false">G21-F21</f>
        <v>-3</v>
      </c>
    </row>
    <row r="22" customFormat="false" ht="15" hidden="false" customHeight="false" outlineLevel="0" collapsed="false">
      <c r="A22" s="5" t="s">
        <v>38</v>
      </c>
      <c r="B22" s="6" t="n">
        <v>117598</v>
      </c>
      <c r="C22" s="6" t="n">
        <v>0</v>
      </c>
      <c r="D22" s="6" t="n">
        <f aca="false">C22-B22</f>
        <v>-117598</v>
      </c>
      <c r="E22" s="7" t="n">
        <f aca="false">IF(B22=0,IF(C22=0,0,"new"),C22/B22-1)</f>
        <v>-1</v>
      </c>
      <c r="F22" s="6" t="n">
        <v>2</v>
      </c>
      <c r="G22" s="6" t="n">
        <v>0</v>
      </c>
      <c r="H22" s="6" t="n">
        <f aca="false">G22-F22</f>
        <v>-2</v>
      </c>
    </row>
    <row r="23" customFormat="false" ht="15" hidden="false" customHeight="false" outlineLevel="0" collapsed="false">
      <c r="A23" s="5" t="s">
        <v>35</v>
      </c>
      <c r="B23" s="6" t="n">
        <v>72599</v>
      </c>
      <c r="C23" s="6" t="n">
        <v>0</v>
      </c>
      <c r="D23" s="6" t="n">
        <f aca="false">C23-B23</f>
        <v>-72599</v>
      </c>
      <c r="E23" s="7" t="n">
        <f aca="false">IF(B23=0,IF(C23=0,0,"new"),C23/B23-1)</f>
        <v>-1</v>
      </c>
      <c r="F23" s="6" t="n">
        <v>1</v>
      </c>
      <c r="G23" s="6" t="n">
        <v>0</v>
      </c>
      <c r="H23" s="6" t="n">
        <f aca="false">G23-F23</f>
        <v>-1</v>
      </c>
    </row>
    <row r="24" customFormat="false" ht="15" hidden="false" customHeight="false" outlineLevel="0" collapsed="false">
      <c r="A24" s="5" t="s">
        <v>39</v>
      </c>
      <c r="B24" s="6" t="n">
        <v>59208</v>
      </c>
      <c r="C24" s="6" t="n">
        <v>0</v>
      </c>
      <c r="D24" s="6" t="n">
        <f aca="false">C24-B24</f>
        <v>-59208</v>
      </c>
      <c r="E24" s="7" t="n">
        <f aca="false">IF(B24=0,IF(C24=0,0,"new"),C24/B24-1)</f>
        <v>-1</v>
      </c>
      <c r="F24" s="6" t="n">
        <v>1</v>
      </c>
      <c r="G24" s="6" t="n">
        <v>0</v>
      </c>
      <c r="H24" s="6" t="n">
        <f aca="false">G24-F24</f>
        <v>-1</v>
      </c>
    </row>
    <row r="25" customFormat="false" ht="15" hidden="false" customHeight="false" outlineLevel="0" collapsed="false">
      <c r="A25" s="5" t="s">
        <v>56</v>
      </c>
      <c r="B25" s="6" t="n">
        <v>57840</v>
      </c>
      <c r="C25" s="6" t="n">
        <v>0</v>
      </c>
      <c r="D25" s="6" t="n">
        <f aca="false">C25-B25</f>
        <v>-57840</v>
      </c>
      <c r="E25" s="7" t="n">
        <f aca="false">IF(B25=0,IF(C25=0,0,"new"),C25/B25-1)</f>
        <v>-1</v>
      </c>
      <c r="F25" s="6" t="n">
        <v>1</v>
      </c>
      <c r="G25" s="6" t="n">
        <v>0</v>
      </c>
      <c r="H25" s="6" t="n">
        <f aca="false">G25-F25</f>
        <v>-1</v>
      </c>
    </row>
    <row r="26" customFormat="false" ht="15" hidden="false" customHeight="false" outlineLevel="0" collapsed="false">
      <c r="A26" s="5" t="s">
        <v>54</v>
      </c>
      <c r="B26" s="6" t="n">
        <v>21172</v>
      </c>
      <c r="C26" s="6" t="n">
        <v>0</v>
      </c>
      <c r="D26" s="6" t="n">
        <f aca="false">C26-B26</f>
        <v>-21172</v>
      </c>
      <c r="E26" s="7" t="n">
        <f aca="false">IF(B26=0,IF(C26=0,0,"new"),C26/B26-1)</f>
        <v>-1</v>
      </c>
      <c r="F26" s="6" t="n">
        <v>1</v>
      </c>
      <c r="G26" s="6" t="n">
        <v>0</v>
      </c>
      <c r="H26" s="6" t="n">
        <f aca="false">G26-F26</f>
        <v>-1</v>
      </c>
    </row>
    <row r="27" customFormat="false" ht="15" hidden="false" customHeight="false" outlineLevel="0" collapsed="false">
      <c r="A27" s="5" t="s">
        <v>45</v>
      </c>
      <c r="B27" s="6" t="n">
        <v>7274</v>
      </c>
      <c r="C27" s="6" t="n">
        <v>0</v>
      </c>
      <c r="D27" s="6" t="n">
        <f aca="false">C27-B27</f>
        <v>-7274</v>
      </c>
      <c r="E27" s="7" t="n">
        <f aca="false">IF(B27=0,IF(C27=0,0,"new"),C27/B27-1)</f>
        <v>-1</v>
      </c>
      <c r="F27" s="6" t="n">
        <v>1</v>
      </c>
      <c r="G27" s="6" t="n">
        <v>0</v>
      </c>
      <c r="H27" s="6" t="n">
        <f aca="false">G27-F27</f>
        <v>-1</v>
      </c>
    </row>
    <row r="28" customFormat="false" ht="15" hidden="false" customHeight="false" outlineLevel="0" collapsed="false">
      <c r="A28" s="5" t="s">
        <v>42</v>
      </c>
      <c r="B28" s="6" t="n">
        <v>6999</v>
      </c>
      <c r="C28" s="6" t="n">
        <v>0</v>
      </c>
      <c r="D28" s="6" t="n">
        <f aca="false">C28-B28</f>
        <v>-6999</v>
      </c>
      <c r="E28" s="7" t="n">
        <f aca="false">IF(B28=0,IF(C28=0,0,"new"),C28/B28-1)</f>
        <v>-1</v>
      </c>
      <c r="F28" s="6" t="n">
        <v>1</v>
      </c>
      <c r="G28" s="6" t="n">
        <v>0</v>
      </c>
      <c r="H28" s="6" t="n">
        <f aca="false">G28-F28</f>
        <v>-1</v>
      </c>
    </row>
    <row r="29" customFormat="false" ht="15" hidden="false" customHeight="false" outlineLevel="0" collapsed="false">
      <c r="A29" s="5" t="s">
        <v>61</v>
      </c>
      <c r="B29" s="6" t="n">
        <v>490</v>
      </c>
      <c r="C29" s="6" t="n">
        <v>0</v>
      </c>
      <c r="D29" s="6" t="n">
        <f aca="false">C29-B29</f>
        <v>-490</v>
      </c>
      <c r="E29" s="7" t="n">
        <f aca="false">IF(B29=0,IF(C29=0,0,"new"),C29/B29-1)</f>
        <v>-1</v>
      </c>
      <c r="F29" s="6" t="n">
        <v>1</v>
      </c>
      <c r="G29" s="6" t="n">
        <v>0</v>
      </c>
      <c r="H29" s="6" t="n">
        <f aca="false">G29-F29</f>
        <v>-1</v>
      </c>
    </row>
    <row r="30" customFormat="false" ht="15" hidden="false" customHeight="false" outlineLevel="0" collapsed="false">
      <c r="A30" s="5" t="s">
        <v>52</v>
      </c>
      <c r="B30" s="6" t="n">
        <v>73</v>
      </c>
      <c r="C30" s="6" t="n">
        <v>0</v>
      </c>
      <c r="D30" s="6" t="n">
        <f aca="false">C30-B30</f>
        <v>-73</v>
      </c>
      <c r="E30" s="7" t="n">
        <f aca="false">IF(B30=0,IF(C30=0,0,"new"),C30/B30-1)</f>
        <v>-1</v>
      </c>
      <c r="F30" s="6" t="n">
        <v>1</v>
      </c>
      <c r="G30" s="6" t="n">
        <v>0</v>
      </c>
      <c r="H30" s="6" t="n">
        <f aca="false">G30-F30</f>
        <v>-1</v>
      </c>
    </row>
    <row r="31" customFormat="false" ht="15" hidden="false" customHeight="false" outlineLevel="0" collapsed="false">
      <c r="A31" s="9" t="s">
        <v>63</v>
      </c>
      <c r="B31" s="10" t="n">
        <f aca="false">SUM(B6:B30)</f>
        <v>1017196</v>
      </c>
      <c r="C31" s="10" t="n">
        <f aca="false">SUM(C6:C30)</f>
        <v>1096555</v>
      </c>
      <c r="D31" s="10" t="n">
        <f aca="false">C31-B31</f>
        <v>79359</v>
      </c>
      <c r="E31" s="11" t="n">
        <f aca="false">IF(B31=0,IF(C31=0,0,"new"),C31/B31-1)</f>
        <v>0.0780174125733881</v>
      </c>
      <c r="F31" s="10" t="n">
        <f aca="false">SUM(F6:F30)</f>
        <v>411</v>
      </c>
      <c r="G31" s="10" t="n">
        <f aca="false">SUM(G6:G30)</f>
        <v>191</v>
      </c>
      <c r="H31" s="10" t="n">
        <f aca="false">G31-F31</f>
        <v>-220</v>
      </c>
    </row>
    <row r="32" customFormat="false" ht="15" hidden="false" customHeight="false" outlineLevel="0" collapsed="false">
      <c r="A32" s="4" t="s">
        <v>14</v>
      </c>
      <c r="B32" s="16" t="n">
        <f aca="false">SUMIF($A$6:$A$30,"CHINA",B6:B30)</f>
        <v>0</v>
      </c>
      <c r="C32" s="16" t="n">
        <f aca="false">SUMIF($A$6:$A$30,"CHINA",C6:C30)</f>
        <v>649252</v>
      </c>
      <c r="D32" s="16" t="n">
        <f aca="false">C32-B32</f>
        <v>649252</v>
      </c>
      <c r="E32" s="17" t="str">
        <f aca="false">IF(B32=0,IF(C32=0,0,"new"),C32/B32-1)</f>
        <v>new</v>
      </c>
      <c r="F32" s="16" t="n">
        <f aca="false">SUMIF($A$6:$A$30,"CHINA",F6:F30)</f>
        <v>0</v>
      </c>
      <c r="G32" s="16" t="n">
        <f aca="false">SUMIF($A$6:$A$30,"CHINA",G6:G30)</f>
        <v>10</v>
      </c>
      <c r="H32" s="16" t="n">
        <f aca="false">G32-F32</f>
        <v>10</v>
      </c>
    </row>
    <row r="33" customFormat="false" ht="15" hidden="false" customHeight="false" outlineLevel="0" collapsed="false">
      <c r="A33" s="4" t="s">
        <v>15</v>
      </c>
      <c r="B33" s="16" t="n">
        <f aca="false">B31-B32</f>
        <v>1017196</v>
      </c>
      <c r="C33" s="16" t="n">
        <f aca="false">C31-C32</f>
        <v>447303</v>
      </c>
      <c r="D33" s="16" t="n">
        <f aca="false">C33-B33</f>
        <v>-569893</v>
      </c>
      <c r="E33" s="17" t="n">
        <f aca="false">IF(B33=0,IF(C33=0,0,"new"),C33/B33-1)</f>
        <v>-0.560258789849744</v>
      </c>
      <c r="F33" s="16" t="n">
        <f aca="false">F31-F32</f>
        <v>411</v>
      </c>
      <c r="G33" s="16" t="n">
        <f aca="false">G31-G32</f>
        <v>181</v>
      </c>
      <c r="H33" s="16" t="n">
        <f aca="false">G33-F33</f>
        <v>-230</v>
      </c>
    </row>
  </sheetData>
  <mergeCells count="3">
    <mergeCell ref="A4:A5"/>
    <mergeCell ref="B4:E4"/>
    <mergeCell ref="F4:H4"/>
  </mergeCells>
  <conditionalFormatting sqref="D6:E33">
    <cfRule type="expression" priority="2" aboveAverage="0" equalAverage="0" bottom="0" percent="0" rank="0" text="" dxfId="0">
      <formula>AND(ISNUMBER(D6),D6&gt;0)</formula>
    </cfRule>
    <cfRule type="expression" priority="3" aboveAverage="0" equalAverage="0" bottom="0" percent="0" rank="0" text="" dxfId="1">
      <formula>AND(ISNUMBER(D6),D6&lt;0)</formula>
    </cfRule>
  </conditionalFormatting>
  <conditionalFormatting sqref="H6:H33">
    <cfRule type="expression" priority="4" aboveAverage="0" equalAverage="0" bottom="0" percent="0" rank="0" text="" dxfId="0">
      <formula>AND(ISNUMBER(H6),H6&gt;0)</formula>
    </cfRule>
    <cfRule type="expression" priority="5" aboveAverage="0" equalAverage="0" bottom="0" percent="0" rank="0" text="" dxfId="1">
      <formula>AND(ISNUMBER(H6),H6&lt;0)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2026-10-13T15:30:36Z</dcterms:created>
  <dc:creator>openpyxl</dc:creator>
  <dc:description/>
  <dc:language>en-US</dc:language>
  <cp:lastModifiedBy/>
  <dcterms:modified xsi:type="dcterms:W3CDTF">2026-10-13T15:30:36Z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