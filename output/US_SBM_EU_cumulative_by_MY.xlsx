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net sales" sheetId="1" state="visible" r:id="rId3"/>
    <sheet name="Cumulative net sales" sheetId="2" state="visible" r:id="rId4"/>
    <sheet name="Total commitm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<sst xmlns="http://schemas.openxmlformats.org/spreadsheetml/2006/main" count="30" uniqueCount="14">
  <si>
    <t xml:space="preserve">Total EU — weekly net sales, current MY (t)</t>
  </si>
  <si>
    <t xml:space="preserve">Metric tons. Source: USDA FAS Export Sales, European destinations (user download). Marketing year Oct–Sep. Blank = week not yet reported.</t>
  </si>
  <si>
    <t xml:space="preserve">Week</t>
  </si>
  <si>
    <t xml:space="preserve">2020/2021</t>
  </si>
  <si>
    <t xml:space="preserve">2021/2022</t>
  </si>
  <si>
    <t xml:space="preserve">2022/2023</t>
  </si>
  <si>
    <t xml:space="preserve">2023/2024</t>
  </si>
  <si>
    <t xml:space="preserve">2024/2025</t>
  </si>
  <si>
    <t xml:space="preserve">2025/2026</t>
  </si>
  <si>
    <t xml:space="preserve">2026/2027</t>
  </si>
  <si>
    <t xml:space="preserve">Total EU — cumulative net sales since week 1 (t)</t>
  </si>
  <si>
    <t xml:space="preserve">Running sum of "Weekly net sales". Excludes sales booked before Oct 1 for this MY — see "Total commitments".</t>
  </si>
  <si>
    <t xml:space="preserve">Total EU — total commitments (accumulated exports + outstanding sales) (t)</t>
  </si>
  <si>
    <t xml:space="preserve">USDA reported figure. = forward sales booked before the MY started + cumulative net sales. Standard measure of sales progression.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</si>
</sst>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" hidden="false" customHeight="false" outlineLevel="0" collapsed="false">
      <c r="A4" s="4" t="n">
        <v>1</v>
      </c>
      <c r="B4" s="5" t="n">
        <v>10712</v>
      </c>
      <c r="C4" s="5" t="n">
        <v>-62310</v>
      </c>
      <c r="D4" s="5" t="n">
        <v>40257</v>
      </c>
      <c r="E4" s="5" t="n">
        <v>8257</v>
      </c>
      <c r="F4" s="5" t="n">
        <v>15079</v>
      </c>
      <c r="G4" s="5" t="n">
        <v>10590</v>
      </c>
      <c r="H4" s="5" t="n">
        <v>72758</v>
      </c>
    </row>
    <row r="5" customFormat="false" ht="15" hidden="false" customHeight="false" outlineLevel="0" collapsed="false">
      <c r="A5" s="4" t="n">
        <v>2</v>
      </c>
      <c r="B5" s="5" t="n">
        <v>-1891</v>
      </c>
      <c r="C5" s="5" t="n">
        <v>36535</v>
      </c>
      <c r="D5" s="5" t="n">
        <v>72959</v>
      </c>
      <c r="E5" s="5" t="n">
        <v>-555</v>
      </c>
      <c r="F5" s="5" t="n">
        <v>0</v>
      </c>
      <c r="G5" s="5" t="n">
        <v>0</v>
      </c>
      <c r="H5" s="5" t="n">
        <v>36708</v>
      </c>
    </row>
    <row r="6" customFormat="false" ht="15" hidden="false" customHeight="false" outlineLevel="0" collapsed="false">
      <c r="A6" s="4" t="n">
        <v>3</v>
      </c>
      <c r="B6" s="5" t="n">
        <v>-636</v>
      </c>
      <c r="C6" s="5" t="n">
        <v>-129864</v>
      </c>
      <c r="D6" s="5" t="n">
        <v>127</v>
      </c>
      <c r="E6" s="5" t="n">
        <v>3389</v>
      </c>
      <c r="F6" s="5" t="n">
        <v>0</v>
      </c>
      <c r="G6" s="5" t="n">
        <v>5524</v>
      </c>
      <c r="H6" s="5" t="n">
        <v>72500</v>
      </c>
    </row>
    <row r="7" customFormat="false" ht="15" hidden="false" customHeight="false" outlineLevel="0" collapsed="false">
      <c r="A7" s="4" t="n">
        <v>4</v>
      </c>
      <c r="B7" s="5" t="n">
        <v>4675</v>
      </c>
      <c r="C7" s="5" t="n">
        <v>7735</v>
      </c>
      <c r="D7" s="5" t="n">
        <v>-1190</v>
      </c>
      <c r="E7" s="5" t="n">
        <v>3794</v>
      </c>
      <c r="F7" s="5" t="n">
        <v>0</v>
      </c>
      <c r="G7" s="5" t="n">
        <v>0</v>
      </c>
      <c r="H7" s="5"/>
    </row>
    <row r="8" customFormat="false" ht="15" hidden="false" customHeight="false" outlineLevel="0" collapsed="false">
      <c r="A8" s="4" t="n">
        <v>5</v>
      </c>
      <c r="B8" s="5" t="n">
        <v>49717</v>
      </c>
      <c r="C8" s="5" t="n">
        <v>0</v>
      </c>
      <c r="D8" s="5" t="n">
        <v>8000</v>
      </c>
      <c r="E8" s="5" t="n">
        <v>33929</v>
      </c>
      <c r="F8" s="5" t="n">
        <v>52319</v>
      </c>
      <c r="G8" s="5" t="n">
        <v>18207</v>
      </c>
      <c r="H8" s="5"/>
    </row>
    <row r="9" customFormat="false" ht="15" hidden="false" customHeight="false" outlineLevel="0" collapsed="false">
      <c r="A9" s="4" t="n">
        <v>6</v>
      </c>
      <c r="B9" s="5" t="n">
        <v>-1051</v>
      </c>
      <c r="C9" s="5" t="n">
        <v>-1540</v>
      </c>
      <c r="D9" s="5" t="n">
        <v>4628</v>
      </c>
      <c r="E9" s="5" t="n">
        <v>38199</v>
      </c>
      <c r="F9" s="5" t="n">
        <v>-30799</v>
      </c>
      <c r="G9" s="5" t="n">
        <v>-2056</v>
      </c>
      <c r="H9" s="5"/>
    </row>
    <row r="10" customFormat="false" ht="15" hidden="false" customHeight="false" outlineLevel="0" collapsed="false">
      <c r="A10" s="4" t="n">
        <v>7</v>
      </c>
      <c r="B10" s="5" t="n">
        <v>27500</v>
      </c>
      <c r="C10" s="5" t="n">
        <v>-31983</v>
      </c>
      <c r="D10" s="5" t="n">
        <v>-478</v>
      </c>
      <c r="E10" s="5" t="n">
        <v>0</v>
      </c>
      <c r="F10" s="5" t="n">
        <v>62771</v>
      </c>
      <c r="G10" s="5" t="n">
        <v>17815</v>
      </c>
      <c r="H10" s="5"/>
    </row>
    <row r="11" customFormat="false" ht="15" hidden="false" customHeight="false" outlineLevel="0" collapsed="false">
      <c r="A11" s="4" t="n">
        <v>8</v>
      </c>
      <c r="B11" s="5" t="n">
        <v>3124</v>
      </c>
      <c r="C11" s="5" t="n">
        <v>-2103</v>
      </c>
      <c r="D11" s="5" t="n">
        <v>45000</v>
      </c>
      <c r="E11" s="5" t="n">
        <v>1440</v>
      </c>
      <c r="F11" s="5" t="n">
        <v>4335</v>
      </c>
      <c r="G11" s="5" t="n">
        <v>18492</v>
      </c>
      <c r="H11" s="5"/>
    </row>
    <row r="12" customFormat="false" ht="15" hidden="false" customHeight="false" outlineLevel="0" collapsed="false">
      <c r="A12" s="4" t="n">
        <v>9</v>
      </c>
      <c r="B12" s="5" t="n">
        <v>-984</v>
      </c>
      <c r="C12" s="5" t="n">
        <v>7227</v>
      </c>
      <c r="D12" s="5" t="n">
        <v>2276</v>
      </c>
      <c r="E12" s="5" t="n">
        <v>22979</v>
      </c>
      <c r="F12" s="5" t="n">
        <v>4536</v>
      </c>
      <c r="G12" s="5" t="n">
        <v>7762</v>
      </c>
      <c r="H12" s="5"/>
    </row>
    <row r="13" customFormat="false" ht="15" hidden="false" customHeight="false" outlineLevel="0" collapsed="false">
      <c r="A13" s="4" t="n">
        <v>10</v>
      </c>
      <c r="B13" s="5" t="n">
        <v>5080</v>
      </c>
      <c r="C13" s="5" t="n">
        <v>-2687</v>
      </c>
      <c r="D13" s="5" t="n">
        <v>-41481</v>
      </c>
      <c r="E13" s="5" t="n">
        <v>77594</v>
      </c>
      <c r="F13" s="5" t="n">
        <v>37314</v>
      </c>
      <c r="G13" s="5" t="n">
        <v>-1447</v>
      </c>
      <c r="H13" s="5"/>
    </row>
    <row r="14" customFormat="false" ht="15" hidden="false" customHeight="false" outlineLevel="0" collapsed="false">
      <c r="A14" s="4" t="n">
        <v>11</v>
      </c>
      <c r="B14" s="5" t="n">
        <v>7582</v>
      </c>
      <c r="C14" s="5" t="n">
        <v>27106</v>
      </c>
      <c r="D14" s="5" t="n">
        <v>29886</v>
      </c>
      <c r="E14" s="5" t="n">
        <v>10242</v>
      </c>
      <c r="F14" s="5" t="n">
        <v>0</v>
      </c>
      <c r="G14" s="5" t="n">
        <v>224702</v>
      </c>
      <c r="H14" s="5"/>
    </row>
    <row r="15" customFormat="false" ht="15" hidden="false" customHeight="false" outlineLevel="0" collapsed="false">
      <c r="A15" s="4" t="n">
        <v>12</v>
      </c>
      <c r="B15" s="5" t="n">
        <v>-2238</v>
      </c>
      <c r="C15" s="5" t="n">
        <v>3618</v>
      </c>
      <c r="D15" s="5" t="n">
        <v>40500</v>
      </c>
      <c r="E15" s="5" t="n">
        <v>5634</v>
      </c>
      <c r="F15" s="5" t="n">
        <v>0</v>
      </c>
      <c r="G15" s="5" t="n">
        <v>60821</v>
      </c>
      <c r="H15" s="5"/>
    </row>
    <row r="16" customFormat="false" ht="15" hidden="false" customHeight="false" outlineLevel="0" collapsed="false">
      <c r="A16" s="4" t="n">
        <v>13</v>
      </c>
      <c r="B16" s="5" t="n">
        <v>0</v>
      </c>
      <c r="C16" s="5" t="n">
        <v>-1168</v>
      </c>
      <c r="D16" s="5" t="n">
        <v>0</v>
      </c>
      <c r="E16" s="5" t="n">
        <v>0</v>
      </c>
      <c r="F16" s="5" t="n">
        <v>5750</v>
      </c>
      <c r="G16" s="5" t="n">
        <v>10973</v>
      </c>
      <c r="H16" s="5"/>
    </row>
    <row r="17" customFormat="false" ht="15" hidden="false" customHeight="false" outlineLevel="0" collapsed="false">
      <c r="A17" s="4" t="n">
        <v>14</v>
      </c>
      <c r="B17" s="5" t="n">
        <v>4913</v>
      </c>
      <c r="C17" s="5" t="n">
        <v>-1193</v>
      </c>
      <c r="D17" s="5" t="n">
        <v>64749</v>
      </c>
      <c r="E17" s="5" t="n">
        <v>20455</v>
      </c>
      <c r="F17" s="5" t="n">
        <v>249</v>
      </c>
      <c r="G17" s="5" t="n">
        <v>9267</v>
      </c>
      <c r="H17" s="5"/>
    </row>
    <row r="18" customFormat="false" ht="15" hidden="false" customHeight="false" outlineLevel="0" collapsed="false">
      <c r="A18" s="4" t="n">
        <v>15</v>
      </c>
      <c r="B18" s="5" t="n">
        <v>22456</v>
      </c>
      <c r="C18" s="5" t="n">
        <v>1</v>
      </c>
      <c r="D18" s="5" t="n">
        <v>107092</v>
      </c>
      <c r="E18" s="5" t="n">
        <v>46243</v>
      </c>
      <c r="F18" s="5" t="n">
        <v>-3833</v>
      </c>
      <c r="G18" s="5" t="n">
        <v>-24</v>
      </c>
      <c r="H18" s="5"/>
    </row>
    <row r="19" customFormat="false" ht="15" hidden="false" customHeight="false" outlineLevel="0" collapsed="false">
      <c r="A19" s="4" t="n">
        <v>16</v>
      </c>
      <c r="B19" s="5" t="n">
        <v>46312</v>
      </c>
      <c r="C19" s="5" t="n">
        <v>24108</v>
      </c>
      <c r="D19" s="5" t="n">
        <v>-45000</v>
      </c>
      <c r="E19" s="5" t="n">
        <v>962</v>
      </c>
      <c r="F19" s="5" t="n">
        <v>-287</v>
      </c>
      <c r="G19" s="5" t="n">
        <v>6506</v>
      </c>
      <c r="H19" s="5"/>
    </row>
    <row r="20" customFormat="false" ht="15" hidden="false" customHeight="false" outlineLevel="0" collapsed="false">
      <c r="A20" s="4" t="n">
        <v>17</v>
      </c>
      <c r="B20" s="5" t="n">
        <v>4933</v>
      </c>
      <c r="C20" s="5" t="n">
        <v>80708</v>
      </c>
      <c r="D20" s="5" t="n">
        <v>-15145</v>
      </c>
      <c r="E20" s="5" t="n">
        <v>50092</v>
      </c>
      <c r="F20" s="5" t="n">
        <v>2485</v>
      </c>
      <c r="G20" s="5" t="n">
        <v>600</v>
      </c>
      <c r="H20" s="5"/>
    </row>
    <row r="21" customFormat="false" ht="15" hidden="false" customHeight="false" outlineLevel="0" collapsed="false">
      <c r="A21" s="4" t="n">
        <v>18</v>
      </c>
      <c r="B21" s="5" t="n">
        <v>21827</v>
      </c>
      <c r="C21" s="5" t="n">
        <v>-6409</v>
      </c>
      <c r="D21" s="5" t="n">
        <v>1461</v>
      </c>
      <c r="E21" s="5" t="n">
        <v>17815</v>
      </c>
      <c r="F21" s="5" t="n">
        <v>40000</v>
      </c>
      <c r="G21" s="5" t="n">
        <v>8266</v>
      </c>
      <c r="H21" s="5"/>
    </row>
    <row r="22" customFormat="false" ht="15" hidden="false" customHeight="false" outlineLevel="0" collapsed="false">
      <c r="A22" s="4" t="n">
        <v>19</v>
      </c>
      <c r="B22" s="5" t="n">
        <v>-1014</v>
      </c>
      <c r="C22" s="5" t="n">
        <v>-40049</v>
      </c>
      <c r="D22" s="5" t="n">
        <v>37000</v>
      </c>
      <c r="E22" s="5" t="n">
        <v>4856</v>
      </c>
      <c r="F22" s="5" t="n">
        <v>0</v>
      </c>
      <c r="G22" s="5" t="n">
        <v>-2900</v>
      </c>
      <c r="H22" s="5"/>
    </row>
    <row r="23" customFormat="false" ht="15" hidden="false" customHeight="false" outlineLevel="0" collapsed="false">
      <c r="A23" s="4" t="n">
        <v>20</v>
      </c>
      <c r="B23" s="5" t="n">
        <v>31304</v>
      </c>
      <c r="C23" s="5" t="n">
        <v>36836</v>
      </c>
      <c r="D23" s="5" t="n">
        <v>0</v>
      </c>
      <c r="E23" s="5" t="n">
        <v>-12308</v>
      </c>
      <c r="F23" s="5" t="n">
        <v>-4448</v>
      </c>
      <c r="G23" s="5" t="n">
        <v>24388</v>
      </c>
      <c r="H23" s="5"/>
    </row>
    <row r="24" customFormat="false" ht="15" hidden="false" customHeight="false" outlineLevel="0" collapsed="false">
      <c r="A24" s="4" t="n">
        <v>21</v>
      </c>
      <c r="B24" s="5" t="n">
        <v>-52</v>
      </c>
      <c r="C24" s="5" t="n">
        <v>5352</v>
      </c>
      <c r="D24" s="5" t="n">
        <v>-1007</v>
      </c>
      <c r="E24" s="5" t="n">
        <v>21231</v>
      </c>
      <c r="F24" s="5" t="n">
        <v>6642</v>
      </c>
      <c r="G24" s="5" t="n">
        <v>37004</v>
      </c>
      <c r="H24" s="5"/>
    </row>
    <row r="25" customFormat="false" ht="15" hidden="false" customHeight="false" outlineLevel="0" collapsed="false">
      <c r="A25" s="4" t="n">
        <v>22</v>
      </c>
      <c r="B25" s="5" t="n">
        <v>22713</v>
      </c>
      <c r="C25" s="5" t="n">
        <v>-654</v>
      </c>
      <c r="D25" s="5" t="n">
        <v>4717</v>
      </c>
      <c r="E25" s="5" t="n">
        <v>31302</v>
      </c>
      <c r="F25" s="5" t="n">
        <v>22016</v>
      </c>
      <c r="G25" s="5" t="n">
        <v>11771</v>
      </c>
      <c r="H25" s="5"/>
    </row>
    <row r="26" customFormat="false" ht="15" hidden="false" customHeight="false" outlineLevel="0" collapsed="false">
      <c r="A26" s="4" t="n">
        <v>23</v>
      </c>
      <c r="B26" s="5" t="n">
        <v>-1810</v>
      </c>
      <c r="C26" s="5" t="n">
        <v>0</v>
      </c>
      <c r="D26" s="5" t="n">
        <v>-564</v>
      </c>
      <c r="E26" s="5" t="n">
        <v>109409</v>
      </c>
      <c r="F26" s="5" t="n">
        <v>0</v>
      </c>
      <c r="G26" s="5" t="n">
        <v>0</v>
      </c>
      <c r="H26" s="5"/>
    </row>
    <row r="27" customFormat="false" ht="15" hidden="false" customHeight="false" outlineLevel="0" collapsed="false">
      <c r="A27" s="4" t="n">
        <v>24</v>
      </c>
      <c r="B27" s="5" t="n">
        <v>-1649</v>
      </c>
      <c r="C27" s="5" t="n">
        <v>-32192</v>
      </c>
      <c r="D27" s="5" t="n">
        <v>2709</v>
      </c>
      <c r="E27" s="5" t="n">
        <v>-4672</v>
      </c>
      <c r="F27" s="5" t="n">
        <v>-924</v>
      </c>
      <c r="G27" s="5" t="n">
        <v>-1021</v>
      </c>
      <c r="H27" s="5"/>
    </row>
    <row r="28" customFormat="false" ht="15" hidden="false" customHeight="false" outlineLevel="0" collapsed="false">
      <c r="A28" s="4" t="n">
        <v>25</v>
      </c>
      <c r="B28" s="5" t="n">
        <v>-1251</v>
      </c>
      <c r="C28" s="5" t="n">
        <v>881</v>
      </c>
      <c r="D28" s="5" t="n">
        <v>5647</v>
      </c>
      <c r="E28" s="5" t="n">
        <v>5564</v>
      </c>
      <c r="F28" s="5" t="n">
        <v>68653</v>
      </c>
      <c r="G28" s="5" t="n">
        <v>79132</v>
      </c>
      <c r="H28" s="5"/>
    </row>
    <row r="29" customFormat="false" ht="15" hidden="false" customHeight="false" outlineLevel="0" collapsed="false">
      <c r="A29" s="4" t="n">
        <v>26</v>
      </c>
      <c r="B29" s="5" t="n">
        <v>-25</v>
      </c>
      <c r="C29" s="5" t="n">
        <v>0</v>
      </c>
      <c r="D29" s="5" t="n">
        <v>-257</v>
      </c>
      <c r="E29" s="5" t="n">
        <v>-3809</v>
      </c>
      <c r="F29" s="5" t="n">
        <v>5402</v>
      </c>
      <c r="G29" s="5" t="n">
        <v>21934</v>
      </c>
      <c r="H29" s="5"/>
    </row>
    <row r="30" customFormat="false" ht="15" hidden="false" customHeight="false" outlineLevel="0" collapsed="false">
      <c r="A30" s="4" t="n">
        <v>27</v>
      </c>
      <c r="B30" s="5" t="n">
        <v>5897</v>
      </c>
      <c r="C30" s="5" t="n">
        <v>14400</v>
      </c>
      <c r="D30" s="5" t="n">
        <v>-2491</v>
      </c>
      <c r="E30" s="5" t="n">
        <v>120</v>
      </c>
      <c r="F30" s="5" t="n">
        <v>1142</v>
      </c>
      <c r="G30" s="5" t="n">
        <v>2654</v>
      </c>
      <c r="H30" s="5"/>
    </row>
    <row r="31" customFormat="false" ht="15" hidden="false" customHeight="false" outlineLevel="0" collapsed="false">
      <c r="A31" s="4" t="n">
        <v>28</v>
      </c>
      <c r="B31" s="5" t="n">
        <v>-356</v>
      </c>
      <c r="C31" s="5" t="n">
        <v>-12667</v>
      </c>
      <c r="D31" s="5" t="n">
        <v>4498</v>
      </c>
      <c r="E31" s="5" t="n">
        <v>17490</v>
      </c>
      <c r="F31" s="5" t="n">
        <v>7697</v>
      </c>
      <c r="G31" s="5" t="n">
        <v>98888</v>
      </c>
      <c r="H31" s="5"/>
    </row>
    <row r="32" customFormat="false" ht="15" hidden="false" customHeight="false" outlineLevel="0" collapsed="false">
      <c r="A32" s="4" t="n">
        <v>29</v>
      </c>
      <c r="B32" s="5" t="n">
        <v>-1752</v>
      </c>
      <c r="C32" s="5" t="n">
        <v>-2319</v>
      </c>
      <c r="D32" s="5" t="n">
        <v>15150</v>
      </c>
      <c r="E32" s="5" t="n">
        <v>-1194</v>
      </c>
      <c r="F32" s="5" t="n">
        <v>18018</v>
      </c>
      <c r="G32" s="5" t="n">
        <v>23545</v>
      </c>
      <c r="H32" s="5"/>
    </row>
    <row r="33" customFormat="false" ht="15" hidden="false" customHeight="false" outlineLevel="0" collapsed="false">
      <c r="A33" s="4" t="n">
        <v>30</v>
      </c>
      <c r="B33" s="5" t="n">
        <v>4803</v>
      </c>
      <c r="C33" s="5" t="n">
        <v>4899</v>
      </c>
      <c r="D33" s="5" t="n">
        <v>1173</v>
      </c>
      <c r="E33" s="5" t="n">
        <v>3767</v>
      </c>
      <c r="F33" s="5" t="n">
        <v>2089</v>
      </c>
      <c r="G33" s="5" t="n">
        <v>2800</v>
      </c>
      <c r="H33" s="5"/>
    </row>
    <row r="34" customFormat="false" ht="15" hidden="false" customHeight="false" outlineLevel="0" collapsed="false">
      <c r="A34" s="4" t="n">
        <v>31</v>
      </c>
      <c r="B34" s="5" t="n">
        <v>1440</v>
      </c>
      <c r="C34" s="5" t="n">
        <v>-871</v>
      </c>
      <c r="D34" s="5" t="n">
        <v>45605</v>
      </c>
      <c r="E34" s="5" t="n">
        <v>6000</v>
      </c>
      <c r="F34" s="5" t="n">
        <v>-71</v>
      </c>
      <c r="G34" s="5" t="n">
        <v>10952</v>
      </c>
      <c r="H34" s="5"/>
    </row>
    <row r="35" customFormat="false" ht="15" hidden="false" customHeight="false" outlineLevel="0" collapsed="false">
      <c r="A35" s="4" t="n">
        <v>32</v>
      </c>
      <c r="B35" s="5" t="n">
        <v>-497</v>
      </c>
      <c r="C35" s="5" t="n">
        <v>792</v>
      </c>
      <c r="D35" s="5" t="n">
        <v>14334</v>
      </c>
      <c r="E35" s="5" t="n">
        <v>-2517</v>
      </c>
      <c r="F35" s="5" t="n">
        <v>-1262</v>
      </c>
      <c r="G35" s="5" t="n">
        <v>0</v>
      </c>
      <c r="H35" s="5"/>
    </row>
    <row r="36" customFormat="false" ht="15" hidden="false" customHeight="false" outlineLevel="0" collapsed="false">
      <c r="A36" s="4" t="n">
        <v>33</v>
      </c>
      <c r="B36" s="5" t="n">
        <v>200</v>
      </c>
      <c r="C36" s="5" t="n">
        <v>157</v>
      </c>
      <c r="D36" s="5" t="n">
        <v>103610</v>
      </c>
      <c r="E36" s="5" t="n">
        <v>3487</v>
      </c>
      <c r="F36" s="5" t="n">
        <v>-815</v>
      </c>
      <c r="G36" s="5" t="n">
        <v>162380</v>
      </c>
      <c r="H36" s="5"/>
    </row>
    <row r="37" customFormat="false" ht="15" hidden="false" customHeight="false" outlineLevel="0" collapsed="false">
      <c r="A37" s="4" t="n">
        <v>34</v>
      </c>
      <c r="B37" s="5" t="n">
        <v>-3193</v>
      </c>
      <c r="C37" s="5" t="n">
        <v>2722</v>
      </c>
      <c r="D37" s="5" t="n">
        <v>6480</v>
      </c>
      <c r="E37" s="5" t="n">
        <v>-1032</v>
      </c>
      <c r="F37" s="5" t="n">
        <v>0</v>
      </c>
      <c r="G37" s="5" t="n">
        <v>-2159</v>
      </c>
      <c r="H37" s="5"/>
    </row>
    <row r="38" customFormat="false" ht="15" hidden="false" customHeight="false" outlineLevel="0" collapsed="false">
      <c r="A38" s="4" t="n">
        <v>35</v>
      </c>
      <c r="B38" s="5" t="n">
        <v>2688</v>
      </c>
      <c r="C38" s="5" t="n">
        <v>-1921</v>
      </c>
      <c r="D38" s="5" t="n">
        <v>-1318</v>
      </c>
      <c r="E38" s="5" t="n">
        <v>-645</v>
      </c>
      <c r="F38" s="5" t="n">
        <v>1554</v>
      </c>
      <c r="G38" s="5" t="n">
        <v>14396</v>
      </c>
      <c r="H38" s="5"/>
    </row>
    <row r="39" customFormat="false" ht="15" hidden="false" customHeight="false" outlineLevel="0" collapsed="false">
      <c r="A39" s="4" t="n">
        <v>36</v>
      </c>
      <c r="B39" s="5" t="n">
        <v>0</v>
      </c>
      <c r="C39" s="5" t="n">
        <v>-8510</v>
      </c>
      <c r="D39" s="5" t="n">
        <v>1231</v>
      </c>
      <c r="E39" s="5" t="n">
        <v>11624</v>
      </c>
      <c r="F39" s="5" t="n">
        <v>0</v>
      </c>
      <c r="G39" s="5" t="n">
        <v>0</v>
      </c>
      <c r="H39" s="5"/>
    </row>
    <row r="40" customFormat="false" ht="15" hidden="false" customHeight="false" outlineLevel="0" collapsed="false">
      <c r="A40" s="4" t="n">
        <v>37</v>
      </c>
      <c r="B40" s="5" t="n">
        <v>37217</v>
      </c>
      <c r="C40" s="5" t="n">
        <v>-20300</v>
      </c>
      <c r="D40" s="5" t="n">
        <v>28697</v>
      </c>
      <c r="E40" s="5" t="n">
        <v>0</v>
      </c>
      <c r="F40" s="5" t="n">
        <v>-1875</v>
      </c>
      <c r="G40" s="5" t="n">
        <v>-2177</v>
      </c>
      <c r="H40" s="5"/>
    </row>
    <row r="41" customFormat="false" ht="15" hidden="false" customHeight="false" outlineLevel="0" collapsed="false">
      <c r="A41" s="4" t="n">
        <v>38</v>
      </c>
      <c r="B41" s="5" t="n">
        <v>28757</v>
      </c>
      <c r="C41" s="5" t="n">
        <v>-9000</v>
      </c>
      <c r="D41" s="5" t="n">
        <v>2579</v>
      </c>
      <c r="E41" s="5" t="n">
        <v>7610</v>
      </c>
      <c r="F41" s="5" t="n">
        <v>-1446</v>
      </c>
      <c r="G41" s="5" t="n">
        <v>656</v>
      </c>
      <c r="H41" s="5"/>
    </row>
    <row r="42" customFormat="false" ht="15" hidden="false" customHeight="false" outlineLevel="0" collapsed="false">
      <c r="A42" s="4" t="n">
        <v>39</v>
      </c>
      <c r="B42" s="5" t="n">
        <v>104320</v>
      </c>
      <c r="C42" s="5" t="n">
        <v>3876</v>
      </c>
      <c r="D42" s="5" t="n">
        <v>0</v>
      </c>
      <c r="E42" s="5" t="n">
        <v>17447</v>
      </c>
      <c r="F42" s="5" t="n">
        <v>4082</v>
      </c>
      <c r="G42" s="5" t="n">
        <v>-13988</v>
      </c>
      <c r="H42" s="5"/>
    </row>
    <row r="43" customFormat="false" ht="15" hidden="false" customHeight="false" outlineLevel="0" collapsed="false">
      <c r="A43" s="4" t="n">
        <v>40</v>
      </c>
      <c r="B43" s="5" t="n">
        <v>29951</v>
      </c>
      <c r="C43" s="5" t="n">
        <v>1498</v>
      </c>
      <c r="D43" s="5" t="n">
        <v>-2062</v>
      </c>
      <c r="E43" s="5" t="n">
        <v>-1128</v>
      </c>
      <c r="F43" s="5" t="n">
        <v>0</v>
      </c>
      <c r="G43" s="5" t="n">
        <v>23335</v>
      </c>
      <c r="H43" s="5"/>
    </row>
    <row r="44" customFormat="false" ht="15" hidden="false" customHeight="false" outlineLevel="0" collapsed="false">
      <c r="A44" s="4" t="n">
        <v>41</v>
      </c>
      <c r="B44" s="5" t="n">
        <v>-74</v>
      </c>
      <c r="C44" s="5" t="n">
        <v>-1249</v>
      </c>
      <c r="D44" s="5" t="n">
        <v>31500</v>
      </c>
      <c r="E44" s="5" t="n">
        <v>-1846</v>
      </c>
      <c r="F44" s="5" t="n">
        <v>5017</v>
      </c>
      <c r="G44" s="5" t="n">
        <v>-3241</v>
      </c>
      <c r="H44" s="5"/>
    </row>
    <row r="45" customFormat="false" ht="15" hidden="false" customHeight="false" outlineLevel="0" collapsed="false">
      <c r="A45" s="4" t="n">
        <v>42</v>
      </c>
      <c r="B45" s="5" t="n">
        <v>-1505</v>
      </c>
      <c r="C45" s="5" t="n">
        <v>-4297</v>
      </c>
      <c r="D45" s="5" t="n">
        <v>22406</v>
      </c>
      <c r="E45" s="5" t="n">
        <v>0</v>
      </c>
      <c r="F45" s="5" t="n">
        <v>31225</v>
      </c>
      <c r="G45" s="5" t="n">
        <v>362</v>
      </c>
      <c r="H45" s="5"/>
    </row>
    <row r="46" customFormat="false" ht="15" hidden="false" customHeight="false" outlineLevel="0" collapsed="false">
      <c r="A46" s="4" t="n">
        <v>43</v>
      </c>
      <c r="B46" s="5" t="n">
        <v>-38782</v>
      </c>
      <c r="C46" s="5" t="n">
        <v>4750</v>
      </c>
      <c r="D46" s="5" t="n">
        <v>24367</v>
      </c>
      <c r="E46" s="5" t="n">
        <v>1873</v>
      </c>
      <c r="F46" s="5" t="n">
        <v>-2850</v>
      </c>
      <c r="G46" s="5" t="n">
        <v>-2691</v>
      </c>
      <c r="H46" s="5"/>
    </row>
    <row r="47" customFormat="false" ht="15" hidden="false" customHeight="false" outlineLevel="0" collapsed="false">
      <c r="A47" s="4" t="n">
        <v>44</v>
      </c>
      <c r="B47" s="5" t="n">
        <v>158</v>
      </c>
      <c r="C47" s="5" t="n">
        <v>-2586</v>
      </c>
      <c r="D47" s="5" t="n">
        <v>16006</v>
      </c>
      <c r="E47" s="5" t="n">
        <v>-968</v>
      </c>
      <c r="F47" s="5" t="n">
        <v>4536</v>
      </c>
      <c r="G47" s="5" t="n">
        <v>5181</v>
      </c>
      <c r="H47" s="5"/>
    </row>
    <row r="48" customFormat="false" ht="15" hidden="false" customHeight="false" outlineLevel="0" collapsed="false">
      <c r="A48" s="4" t="n">
        <v>45</v>
      </c>
      <c r="B48" s="5" t="n">
        <v>720</v>
      </c>
      <c r="C48" s="5" t="n">
        <v>0</v>
      </c>
      <c r="D48" s="5" t="n">
        <v>29463</v>
      </c>
      <c r="E48" s="5" t="n">
        <v>4833</v>
      </c>
      <c r="F48" s="5" t="n">
        <v>29227</v>
      </c>
      <c r="G48" s="5" t="n">
        <v>-333</v>
      </c>
      <c r="H48" s="5"/>
    </row>
    <row r="49" customFormat="false" ht="15" hidden="false" customHeight="false" outlineLevel="0" collapsed="false">
      <c r="A49" s="4" t="n">
        <v>46</v>
      </c>
      <c r="B49" s="5" t="n">
        <v>212</v>
      </c>
      <c r="C49" s="5" t="n">
        <v>0</v>
      </c>
      <c r="D49" s="5" t="n">
        <v>13480</v>
      </c>
      <c r="E49" s="5" t="n">
        <v>30000</v>
      </c>
      <c r="F49" s="5" t="n">
        <v>-30000</v>
      </c>
      <c r="G49" s="5" t="n">
        <v>59811</v>
      </c>
      <c r="H49" s="5"/>
    </row>
    <row r="50" customFormat="false" ht="15" hidden="false" customHeight="false" outlineLevel="0" collapsed="false">
      <c r="A50" s="4" t="n">
        <v>47</v>
      </c>
      <c r="B50" s="5" t="n">
        <v>-6302</v>
      </c>
      <c r="C50" s="5" t="n">
        <v>6827</v>
      </c>
      <c r="D50" s="5" t="n">
        <v>-20932</v>
      </c>
      <c r="E50" s="5" t="n">
        <v>-30000</v>
      </c>
      <c r="F50" s="5" t="n">
        <v>0</v>
      </c>
      <c r="G50" s="5" t="n">
        <v>29315</v>
      </c>
      <c r="H50" s="5"/>
    </row>
    <row r="51" customFormat="false" ht="15" hidden="false" customHeight="false" outlineLevel="0" collapsed="false">
      <c r="A51" s="4" t="n">
        <v>48</v>
      </c>
      <c r="B51" s="5" t="n">
        <v>-41980</v>
      </c>
      <c r="C51" s="5" t="n">
        <v>-2638</v>
      </c>
      <c r="D51" s="5" t="n">
        <v>80435</v>
      </c>
      <c r="E51" s="5" t="n">
        <v>2722</v>
      </c>
      <c r="F51" s="5" t="n">
        <v>-812</v>
      </c>
      <c r="G51" s="5" t="n">
        <v>4217</v>
      </c>
      <c r="H51" s="5"/>
    </row>
    <row r="52" customFormat="false" ht="15" hidden="false" customHeight="false" outlineLevel="0" collapsed="false">
      <c r="A52" s="4" t="n">
        <v>49</v>
      </c>
      <c r="B52" s="5" t="n">
        <v>931</v>
      </c>
      <c r="C52" s="5" t="n">
        <v>0</v>
      </c>
      <c r="D52" s="5" t="n">
        <v>-57083</v>
      </c>
      <c r="E52" s="5" t="n">
        <v>-2983</v>
      </c>
      <c r="F52" s="5" t="n">
        <v>-3</v>
      </c>
      <c r="G52" s="5" t="n">
        <v>629</v>
      </c>
      <c r="H52" s="5"/>
    </row>
    <row r="53" customFormat="false" ht="15" hidden="false" customHeight="false" outlineLevel="0" collapsed="false">
      <c r="A53" s="4" t="n">
        <v>50</v>
      </c>
      <c r="B53" s="5" t="n">
        <v>-122</v>
      </c>
      <c r="C53" s="5" t="n">
        <v>0</v>
      </c>
      <c r="D53" s="5" t="n">
        <v>-2481</v>
      </c>
      <c r="E53" s="5" t="n">
        <v>14677</v>
      </c>
      <c r="F53" s="5" t="n">
        <v>-2068</v>
      </c>
      <c r="G53" s="5" t="n">
        <v>18860</v>
      </c>
      <c r="H53" s="5"/>
    </row>
    <row r="54" customFormat="false" ht="15" hidden="false" customHeight="false" outlineLevel="0" collapsed="false">
      <c r="A54" s="4" t="n">
        <v>51</v>
      </c>
      <c r="B54" s="5" t="n">
        <v>0</v>
      </c>
      <c r="C54" s="5" t="n">
        <v>27485</v>
      </c>
      <c r="D54" s="5" t="n">
        <v>5644</v>
      </c>
      <c r="E54" s="5" t="n">
        <v>3224</v>
      </c>
      <c r="F54" s="5" t="n">
        <v>-910</v>
      </c>
      <c r="G54" s="5" t="n">
        <v>32210</v>
      </c>
      <c r="H54" s="5"/>
    </row>
    <row r="55" customFormat="false" ht="15" hidden="false" customHeight="false" outlineLevel="0" collapsed="false">
      <c r="A55" s="4" t="n">
        <v>52</v>
      </c>
      <c r="B55" s="5" t="n">
        <v>1884</v>
      </c>
      <c r="C55" s="5" t="n">
        <v>123</v>
      </c>
      <c r="D55" s="5" t="n">
        <v>29412</v>
      </c>
      <c r="E55" s="5" t="n">
        <v>-261</v>
      </c>
      <c r="F55" s="5" t="n">
        <v>2513</v>
      </c>
      <c r="G55" s="5" t="n">
        <v>0</v>
      </c>
      <c r="H55" s="5"/>
    </row>
    <row r="56" customFormat="false" ht="15" hidden="false" customHeight="false" outlineLevel="0" collapsed="false">
      <c r="A56" s="4" t="n">
        <v>53</v>
      </c>
      <c r="B56" s="5" t="n">
        <v>-826</v>
      </c>
      <c r="C56" s="5" t="n">
        <v>0</v>
      </c>
      <c r="D56" s="5" t="n">
        <v>2500</v>
      </c>
      <c r="E56" s="5" t="n">
        <v>-7</v>
      </c>
      <c r="F56" s="5" t="n">
        <v>-785</v>
      </c>
      <c r="G56" s="5" t="n">
        <v>784</v>
      </c>
      <c r="H5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11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" hidden="false" customHeight="false" outlineLevel="0" collapsed="false">
      <c r="A4" s="4" t="n">
        <v>1</v>
      </c>
      <c r="B4" s="5" t="n">
        <f aca="false">IF('Weekly net sales'!B4="","",'Weekly net sales'!B4)</f>
        <v>10712</v>
      </c>
      <c r="C4" s="5" t="n">
        <f aca="false">IF('Weekly net sales'!C4="","",'Weekly net sales'!C4)</f>
        <v>-62310</v>
      </c>
      <c r="D4" s="5" t="n">
        <f aca="false">IF('Weekly net sales'!D4="","",'Weekly net sales'!D4)</f>
        <v>40257</v>
      </c>
      <c r="E4" s="5" t="n">
        <f aca="false">IF('Weekly net sales'!E4="","",'Weekly net sales'!E4)</f>
        <v>8257</v>
      </c>
      <c r="F4" s="5" t="n">
        <f aca="false">IF('Weekly net sales'!F4="","",'Weekly net sales'!F4)</f>
        <v>15079</v>
      </c>
      <c r="G4" s="5" t="n">
        <f aca="false">IF('Weekly net sales'!G4="","",'Weekly net sales'!G4)</f>
        <v>10590</v>
      </c>
      <c r="H4" s="5" t="n">
        <f aca="false">IF('Weekly net sales'!H4="","",'Weekly net sales'!H4)</f>
        <v>72758</v>
      </c>
    </row>
    <row r="5" customFormat="false" ht="15" hidden="false" customHeight="false" outlineLevel="0" collapsed="false">
      <c r="A5" s="4" t="n">
        <v>2</v>
      </c>
      <c r="B5" s="5" t="n">
        <f aca="false">IF('Weekly net sales'!B5="","",N(B4)+'Weekly net sales'!B5)</f>
        <v>8821</v>
      </c>
      <c r="C5" s="5" t="n">
        <f aca="false">IF('Weekly net sales'!C5="","",N(C4)+'Weekly net sales'!C5)</f>
        <v>-25775</v>
      </c>
      <c r="D5" s="5" t="n">
        <f aca="false">IF('Weekly net sales'!D5="","",N(D4)+'Weekly net sales'!D5)</f>
        <v>113216</v>
      </c>
      <c r="E5" s="5" t="n">
        <f aca="false">IF('Weekly net sales'!E5="","",N(E4)+'Weekly net sales'!E5)</f>
        <v>7702</v>
      </c>
      <c r="F5" s="5" t="n">
        <f aca="false">IF('Weekly net sales'!F5="","",N(F4)+'Weekly net sales'!F5)</f>
        <v>15079</v>
      </c>
      <c r="G5" s="5" t="n">
        <f aca="false">IF('Weekly net sales'!G5="","",N(G4)+'Weekly net sales'!G5)</f>
        <v>10590</v>
      </c>
      <c r="H5" s="5" t="n">
        <f aca="false">IF('Weekly net sales'!H5="","",N(H4)+'Weekly net sales'!H5)</f>
        <v>109466</v>
      </c>
    </row>
    <row r="6" customFormat="false" ht="15" hidden="false" customHeight="false" outlineLevel="0" collapsed="false">
      <c r="A6" s="4" t="n">
        <v>3</v>
      </c>
      <c r="B6" s="5" t="n">
        <f aca="false">IF('Weekly net sales'!B6="","",N(B5)+'Weekly net sales'!B6)</f>
        <v>8185</v>
      </c>
      <c r="C6" s="5" t="n">
        <f aca="false">IF('Weekly net sales'!C6="","",N(C5)+'Weekly net sales'!C6)</f>
        <v>-155639</v>
      </c>
      <c r="D6" s="5" t="n">
        <f aca="false">IF('Weekly net sales'!D6="","",N(D5)+'Weekly net sales'!D6)</f>
        <v>113343</v>
      </c>
      <c r="E6" s="5" t="n">
        <f aca="false">IF('Weekly net sales'!E6="","",N(E5)+'Weekly net sales'!E6)</f>
        <v>11091</v>
      </c>
      <c r="F6" s="5" t="n">
        <f aca="false">IF('Weekly net sales'!F6="","",N(F5)+'Weekly net sales'!F6)</f>
        <v>15079</v>
      </c>
      <c r="G6" s="5" t="n">
        <f aca="false">IF('Weekly net sales'!G6="","",N(G5)+'Weekly net sales'!G6)</f>
        <v>16114</v>
      </c>
      <c r="H6" s="5" t="n">
        <f aca="false">IF('Weekly net sales'!H6="","",N(H5)+'Weekly net sales'!H6)</f>
        <v>181966</v>
      </c>
    </row>
    <row r="7" customFormat="false" ht="15" hidden="false" customHeight="false" outlineLevel="0" collapsed="false">
      <c r="A7" s="4" t="n">
        <v>4</v>
      </c>
      <c r="B7" s="5" t="n">
        <f aca="false">IF('Weekly net sales'!B7="","",N(B6)+'Weekly net sales'!B7)</f>
        <v>12860</v>
      </c>
      <c r="C7" s="5" t="n">
        <f aca="false">IF('Weekly net sales'!C7="","",N(C6)+'Weekly net sales'!C7)</f>
        <v>-147904</v>
      </c>
      <c r="D7" s="5" t="n">
        <f aca="false">IF('Weekly net sales'!D7="","",N(D6)+'Weekly net sales'!D7)</f>
        <v>112153</v>
      </c>
      <c r="E7" s="5" t="n">
        <f aca="false">IF('Weekly net sales'!E7="","",N(E6)+'Weekly net sales'!E7)</f>
        <v>14885</v>
      </c>
      <c r="F7" s="5" t="n">
        <f aca="false">IF('Weekly net sales'!F7="","",N(F6)+'Weekly net sales'!F7)</f>
        <v>15079</v>
      </c>
      <c r="G7" s="5" t="n">
        <f aca="false">IF('Weekly net sales'!G7="","",N(G6)+'Weekly net sales'!G7)</f>
        <v>16114</v>
      </c>
      <c r="H7" s="5" t="str">
        <f aca="false">IF('Weekly net sales'!H7="","",N(H6)+'Weekly net sales'!H7)</f>
        <v/>
      </c>
    </row>
    <row r="8" customFormat="false" ht="15" hidden="false" customHeight="false" outlineLevel="0" collapsed="false">
      <c r="A8" s="4" t="n">
        <v>5</v>
      </c>
      <c r="B8" s="5" t="n">
        <f aca="false">IF('Weekly net sales'!B8="","",N(B7)+'Weekly net sales'!B8)</f>
        <v>62577</v>
      </c>
      <c r="C8" s="5" t="n">
        <f aca="false">IF('Weekly net sales'!C8="","",N(C7)+'Weekly net sales'!C8)</f>
        <v>-147904</v>
      </c>
      <c r="D8" s="5" t="n">
        <f aca="false">IF('Weekly net sales'!D8="","",N(D7)+'Weekly net sales'!D8)</f>
        <v>120153</v>
      </c>
      <c r="E8" s="5" t="n">
        <f aca="false">IF('Weekly net sales'!E8="","",N(E7)+'Weekly net sales'!E8)</f>
        <v>48814</v>
      </c>
      <c r="F8" s="5" t="n">
        <f aca="false">IF('Weekly net sales'!F8="","",N(F7)+'Weekly net sales'!F8)</f>
        <v>67398</v>
      </c>
      <c r="G8" s="5" t="n">
        <f aca="false">IF('Weekly net sales'!G8="","",N(G7)+'Weekly net sales'!G8)</f>
        <v>34321</v>
      </c>
      <c r="H8" s="5" t="str">
        <f aca="false">IF('Weekly net sales'!H8="","",N(H7)+'Weekly net sales'!H8)</f>
        <v/>
      </c>
    </row>
    <row r="9" customFormat="false" ht="15" hidden="false" customHeight="false" outlineLevel="0" collapsed="false">
      <c r="A9" s="4" t="n">
        <v>6</v>
      </c>
      <c r="B9" s="5" t="n">
        <f aca="false">IF('Weekly net sales'!B9="","",N(B8)+'Weekly net sales'!B9)</f>
        <v>61526</v>
      </c>
      <c r="C9" s="5" t="n">
        <f aca="false">IF('Weekly net sales'!C9="","",N(C8)+'Weekly net sales'!C9)</f>
        <v>-149444</v>
      </c>
      <c r="D9" s="5" t="n">
        <f aca="false">IF('Weekly net sales'!D9="","",N(D8)+'Weekly net sales'!D9)</f>
        <v>124781</v>
      </c>
      <c r="E9" s="5" t="n">
        <f aca="false">IF('Weekly net sales'!E9="","",N(E8)+'Weekly net sales'!E9)</f>
        <v>87013</v>
      </c>
      <c r="F9" s="5" t="n">
        <f aca="false">IF('Weekly net sales'!F9="","",N(F8)+'Weekly net sales'!F9)</f>
        <v>36599</v>
      </c>
      <c r="G9" s="5" t="n">
        <f aca="false">IF('Weekly net sales'!G9="","",N(G8)+'Weekly net sales'!G9)</f>
        <v>32265</v>
      </c>
      <c r="H9" s="5" t="str">
        <f aca="false">IF('Weekly net sales'!H9="","",N(H8)+'Weekly net sales'!H9)</f>
        <v/>
      </c>
    </row>
    <row r="10" customFormat="false" ht="15" hidden="false" customHeight="false" outlineLevel="0" collapsed="false">
      <c r="A10" s="4" t="n">
        <v>7</v>
      </c>
      <c r="B10" s="5" t="n">
        <f aca="false">IF('Weekly net sales'!B10="","",N(B9)+'Weekly net sales'!B10)</f>
        <v>89026</v>
      </c>
      <c r="C10" s="5" t="n">
        <f aca="false">IF('Weekly net sales'!C10="","",N(C9)+'Weekly net sales'!C10)</f>
        <v>-181427</v>
      </c>
      <c r="D10" s="5" t="n">
        <f aca="false">IF('Weekly net sales'!D10="","",N(D9)+'Weekly net sales'!D10)</f>
        <v>124303</v>
      </c>
      <c r="E10" s="5" t="n">
        <f aca="false">IF('Weekly net sales'!E10="","",N(E9)+'Weekly net sales'!E10)</f>
        <v>87013</v>
      </c>
      <c r="F10" s="5" t="n">
        <f aca="false">IF('Weekly net sales'!F10="","",N(F9)+'Weekly net sales'!F10)</f>
        <v>99370</v>
      </c>
      <c r="G10" s="5" t="n">
        <f aca="false">IF('Weekly net sales'!G10="","",N(G9)+'Weekly net sales'!G10)</f>
        <v>50080</v>
      </c>
      <c r="H10" s="5" t="str">
        <f aca="false">IF('Weekly net sales'!H10="","",N(H9)+'Weekly net sales'!H10)</f>
        <v/>
      </c>
    </row>
    <row r="11" customFormat="false" ht="15" hidden="false" customHeight="false" outlineLevel="0" collapsed="false">
      <c r="A11" s="4" t="n">
        <v>8</v>
      </c>
      <c r="B11" s="5" t="n">
        <f aca="false">IF('Weekly net sales'!B11="","",N(B10)+'Weekly net sales'!B11)</f>
        <v>92150</v>
      </c>
      <c r="C11" s="5" t="n">
        <f aca="false">IF('Weekly net sales'!C11="","",N(C10)+'Weekly net sales'!C11)</f>
        <v>-183530</v>
      </c>
      <c r="D11" s="5" t="n">
        <f aca="false">IF('Weekly net sales'!D11="","",N(D10)+'Weekly net sales'!D11)</f>
        <v>169303</v>
      </c>
      <c r="E11" s="5" t="n">
        <f aca="false">IF('Weekly net sales'!E11="","",N(E10)+'Weekly net sales'!E11)</f>
        <v>88453</v>
      </c>
      <c r="F11" s="5" t="n">
        <f aca="false">IF('Weekly net sales'!F11="","",N(F10)+'Weekly net sales'!F11)</f>
        <v>103705</v>
      </c>
      <c r="G11" s="5" t="n">
        <f aca="false">IF('Weekly net sales'!G11="","",N(G10)+'Weekly net sales'!G11)</f>
        <v>68572</v>
      </c>
      <c r="H11" s="5" t="str">
        <f aca="false">IF('Weekly net sales'!H11="","",N(H10)+'Weekly net sales'!H11)</f>
        <v/>
      </c>
    </row>
    <row r="12" customFormat="false" ht="15" hidden="false" customHeight="false" outlineLevel="0" collapsed="false">
      <c r="A12" s="4" t="n">
        <v>9</v>
      </c>
      <c r="B12" s="5" t="n">
        <f aca="false">IF('Weekly net sales'!B12="","",N(B11)+'Weekly net sales'!B12)</f>
        <v>91166</v>
      </c>
      <c r="C12" s="5" t="n">
        <f aca="false">IF('Weekly net sales'!C12="","",N(C11)+'Weekly net sales'!C12)</f>
        <v>-176303</v>
      </c>
      <c r="D12" s="5" t="n">
        <f aca="false">IF('Weekly net sales'!D12="","",N(D11)+'Weekly net sales'!D12)</f>
        <v>171579</v>
      </c>
      <c r="E12" s="5" t="n">
        <f aca="false">IF('Weekly net sales'!E12="","",N(E11)+'Weekly net sales'!E12)</f>
        <v>111432</v>
      </c>
      <c r="F12" s="5" t="n">
        <f aca="false">IF('Weekly net sales'!F12="","",N(F11)+'Weekly net sales'!F12)</f>
        <v>108241</v>
      </c>
      <c r="G12" s="5" t="n">
        <f aca="false">IF('Weekly net sales'!G12="","",N(G11)+'Weekly net sales'!G12)</f>
        <v>76334</v>
      </c>
      <c r="H12" s="5" t="str">
        <f aca="false">IF('Weekly net sales'!H12="","",N(H11)+'Weekly net sales'!H12)</f>
        <v/>
      </c>
    </row>
    <row r="13" customFormat="false" ht="15" hidden="false" customHeight="false" outlineLevel="0" collapsed="false">
      <c r="A13" s="4" t="n">
        <v>10</v>
      </c>
      <c r="B13" s="5" t="n">
        <f aca="false">IF('Weekly net sales'!B13="","",N(B12)+'Weekly net sales'!B13)</f>
        <v>96246</v>
      </c>
      <c r="C13" s="5" t="n">
        <f aca="false">IF('Weekly net sales'!C13="","",N(C12)+'Weekly net sales'!C13)</f>
        <v>-178990</v>
      </c>
      <c r="D13" s="5" t="n">
        <f aca="false">IF('Weekly net sales'!D13="","",N(D12)+'Weekly net sales'!D13)</f>
        <v>130098</v>
      </c>
      <c r="E13" s="5" t="n">
        <f aca="false">IF('Weekly net sales'!E13="","",N(E12)+'Weekly net sales'!E13)</f>
        <v>189026</v>
      </c>
      <c r="F13" s="5" t="n">
        <f aca="false">IF('Weekly net sales'!F13="","",N(F12)+'Weekly net sales'!F13)</f>
        <v>145555</v>
      </c>
      <c r="G13" s="5" t="n">
        <f aca="false">IF('Weekly net sales'!G13="","",N(G12)+'Weekly net sales'!G13)</f>
        <v>74887</v>
      </c>
      <c r="H13" s="5" t="str">
        <f aca="false">IF('Weekly net sales'!H13="","",N(H12)+'Weekly net sales'!H13)</f>
        <v/>
      </c>
    </row>
    <row r="14" customFormat="false" ht="15" hidden="false" customHeight="false" outlineLevel="0" collapsed="false">
      <c r="A14" s="4" t="n">
        <v>11</v>
      </c>
      <c r="B14" s="5" t="n">
        <f aca="false">IF('Weekly net sales'!B14="","",N(B13)+'Weekly net sales'!B14)</f>
        <v>103828</v>
      </c>
      <c r="C14" s="5" t="n">
        <f aca="false">IF('Weekly net sales'!C14="","",N(C13)+'Weekly net sales'!C14)</f>
        <v>-151884</v>
      </c>
      <c r="D14" s="5" t="n">
        <f aca="false">IF('Weekly net sales'!D14="","",N(D13)+'Weekly net sales'!D14)</f>
        <v>159984</v>
      </c>
      <c r="E14" s="5" t="n">
        <f aca="false">IF('Weekly net sales'!E14="","",N(E13)+'Weekly net sales'!E14)</f>
        <v>199268</v>
      </c>
      <c r="F14" s="5" t="n">
        <f aca="false">IF('Weekly net sales'!F14="","",N(F13)+'Weekly net sales'!F14)</f>
        <v>145555</v>
      </c>
      <c r="G14" s="5" t="n">
        <f aca="false">IF('Weekly net sales'!G14="","",N(G13)+'Weekly net sales'!G14)</f>
        <v>299589</v>
      </c>
      <c r="H14" s="5" t="str">
        <f aca="false">IF('Weekly net sales'!H14="","",N(H13)+'Weekly net sales'!H14)</f>
        <v/>
      </c>
    </row>
    <row r="15" customFormat="false" ht="15" hidden="false" customHeight="false" outlineLevel="0" collapsed="false">
      <c r="A15" s="4" t="n">
        <v>12</v>
      </c>
      <c r="B15" s="5" t="n">
        <f aca="false">IF('Weekly net sales'!B15="","",N(B14)+'Weekly net sales'!B15)</f>
        <v>101590</v>
      </c>
      <c r="C15" s="5" t="n">
        <f aca="false">IF('Weekly net sales'!C15="","",N(C14)+'Weekly net sales'!C15)</f>
        <v>-148266</v>
      </c>
      <c r="D15" s="5" t="n">
        <f aca="false">IF('Weekly net sales'!D15="","",N(D14)+'Weekly net sales'!D15)</f>
        <v>200484</v>
      </c>
      <c r="E15" s="5" t="n">
        <f aca="false">IF('Weekly net sales'!E15="","",N(E14)+'Weekly net sales'!E15)</f>
        <v>204902</v>
      </c>
      <c r="F15" s="5" t="n">
        <f aca="false">IF('Weekly net sales'!F15="","",N(F14)+'Weekly net sales'!F15)</f>
        <v>145555</v>
      </c>
      <c r="G15" s="5" t="n">
        <f aca="false">IF('Weekly net sales'!G15="","",N(G14)+'Weekly net sales'!G15)</f>
        <v>360410</v>
      </c>
      <c r="H15" s="5" t="str">
        <f aca="false">IF('Weekly net sales'!H15="","",N(H14)+'Weekly net sales'!H15)</f>
        <v/>
      </c>
    </row>
    <row r="16" customFormat="false" ht="15" hidden="false" customHeight="false" outlineLevel="0" collapsed="false">
      <c r="A16" s="4" t="n">
        <v>13</v>
      </c>
      <c r="B16" s="5" t="n">
        <f aca="false">IF('Weekly net sales'!B16="","",N(B15)+'Weekly net sales'!B16)</f>
        <v>101590</v>
      </c>
      <c r="C16" s="5" t="n">
        <f aca="false">IF('Weekly net sales'!C16="","",N(C15)+'Weekly net sales'!C16)</f>
        <v>-149434</v>
      </c>
      <c r="D16" s="5" t="n">
        <f aca="false">IF('Weekly net sales'!D16="","",N(D15)+'Weekly net sales'!D16)</f>
        <v>200484</v>
      </c>
      <c r="E16" s="5" t="n">
        <f aca="false">IF('Weekly net sales'!E16="","",N(E15)+'Weekly net sales'!E16)</f>
        <v>204902</v>
      </c>
      <c r="F16" s="5" t="n">
        <f aca="false">IF('Weekly net sales'!F16="","",N(F15)+'Weekly net sales'!F16)</f>
        <v>151305</v>
      </c>
      <c r="G16" s="5" t="n">
        <f aca="false">IF('Weekly net sales'!G16="","",N(G15)+'Weekly net sales'!G16)</f>
        <v>371383</v>
      </c>
      <c r="H16" s="5" t="str">
        <f aca="false">IF('Weekly net sales'!H16="","",N(H15)+'Weekly net sales'!H16)</f>
        <v/>
      </c>
    </row>
    <row r="17" customFormat="false" ht="15" hidden="false" customHeight="false" outlineLevel="0" collapsed="false">
      <c r="A17" s="4" t="n">
        <v>14</v>
      </c>
      <c r="B17" s="5" t="n">
        <f aca="false">IF('Weekly net sales'!B17="","",N(B16)+'Weekly net sales'!B17)</f>
        <v>106503</v>
      </c>
      <c r="C17" s="5" t="n">
        <f aca="false">IF('Weekly net sales'!C17="","",N(C16)+'Weekly net sales'!C17)</f>
        <v>-150627</v>
      </c>
      <c r="D17" s="5" t="n">
        <f aca="false">IF('Weekly net sales'!D17="","",N(D16)+'Weekly net sales'!D17)</f>
        <v>265233</v>
      </c>
      <c r="E17" s="5" t="n">
        <f aca="false">IF('Weekly net sales'!E17="","",N(E16)+'Weekly net sales'!E17)</f>
        <v>225357</v>
      </c>
      <c r="F17" s="5" t="n">
        <f aca="false">IF('Weekly net sales'!F17="","",N(F16)+'Weekly net sales'!F17)</f>
        <v>151554</v>
      </c>
      <c r="G17" s="5" t="n">
        <f aca="false">IF('Weekly net sales'!G17="","",N(G16)+'Weekly net sales'!G17)</f>
        <v>380650</v>
      </c>
      <c r="H17" s="5" t="str">
        <f aca="false">IF('Weekly net sales'!H17="","",N(H16)+'Weekly net sales'!H17)</f>
        <v/>
      </c>
    </row>
    <row r="18" customFormat="false" ht="15" hidden="false" customHeight="false" outlineLevel="0" collapsed="false">
      <c r="A18" s="4" t="n">
        <v>15</v>
      </c>
      <c r="B18" s="5" t="n">
        <f aca="false">IF('Weekly net sales'!B18="","",N(B17)+'Weekly net sales'!B18)</f>
        <v>128959</v>
      </c>
      <c r="C18" s="5" t="n">
        <f aca="false">IF('Weekly net sales'!C18="","",N(C17)+'Weekly net sales'!C18)</f>
        <v>-150626</v>
      </c>
      <c r="D18" s="5" t="n">
        <f aca="false">IF('Weekly net sales'!D18="","",N(D17)+'Weekly net sales'!D18)</f>
        <v>372325</v>
      </c>
      <c r="E18" s="5" t="n">
        <f aca="false">IF('Weekly net sales'!E18="","",N(E17)+'Weekly net sales'!E18)</f>
        <v>271600</v>
      </c>
      <c r="F18" s="5" t="n">
        <f aca="false">IF('Weekly net sales'!F18="","",N(F17)+'Weekly net sales'!F18)</f>
        <v>147721</v>
      </c>
      <c r="G18" s="5" t="n">
        <f aca="false">IF('Weekly net sales'!G18="","",N(G17)+'Weekly net sales'!G18)</f>
        <v>380626</v>
      </c>
      <c r="H18" s="5" t="str">
        <f aca="false">IF('Weekly net sales'!H18="","",N(H17)+'Weekly net sales'!H18)</f>
        <v/>
      </c>
    </row>
    <row r="19" customFormat="false" ht="15" hidden="false" customHeight="false" outlineLevel="0" collapsed="false">
      <c r="A19" s="4" t="n">
        <v>16</v>
      </c>
      <c r="B19" s="5" t="n">
        <f aca="false">IF('Weekly net sales'!B19="","",N(B18)+'Weekly net sales'!B19)</f>
        <v>175271</v>
      </c>
      <c r="C19" s="5" t="n">
        <f aca="false">IF('Weekly net sales'!C19="","",N(C18)+'Weekly net sales'!C19)</f>
        <v>-126518</v>
      </c>
      <c r="D19" s="5" t="n">
        <f aca="false">IF('Weekly net sales'!D19="","",N(D18)+'Weekly net sales'!D19)</f>
        <v>327325</v>
      </c>
      <c r="E19" s="5" t="n">
        <f aca="false">IF('Weekly net sales'!E19="","",N(E18)+'Weekly net sales'!E19)</f>
        <v>272562</v>
      </c>
      <c r="F19" s="5" t="n">
        <f aca="false">IF('Weekly net sales'!F19="","",N(F18)+'Weekly net sales'!F19)</f>
        <v>147434</v>
      </c>
      <c r="G19" s="5" t="n">
        <f aca="false">IF('Weekly net sales'!G19="","",N(G18)+'Weekly net sales'!G19)</f>
        <v>387132</v>
      </c>
      <c r="H19" s="5" t="str">
        <f aca="false">IF('Weekly net sales'!H19="","",N(H18)+'Weekly net sales'!H19)</f>
        <v/>
      </c>
    </row>
    <row r="20" customFormat="false" ht="15" hidden="false" customHeight="false" outlineLevel="0" collapsed="false">
      <c r="A20" s="4" t="n">
        <v>17</v>
      </c>
      <c r="B20" s="5" t="n">
        <f aca="false">IF('Weekly net sales'!B20="","",N(B19)+'Weekly net sales'!B20)</f>
        <v>180204</v>
      </c>
      <c r="C20" s="5" t="n">
        <f aca="false">IF('Weekly net sales'!C20="","",N(C19)+'Weekly net sales'!C20)</f>
        <v>-45810</v>
      </c>
      <c r="D20" s="5" t="n">
        <f aca="false">IF('Weekly net sales'!D20="","",N(D19)+'Weekly net sales'!D20)</f>
        <v>312180</v>
      </c>
      <c r="E20" s="5" t="n">
        <f aca="false">IF('Weekly net sales'!E20="","",N(E19)+'Weekly net sales'!E20)</f>
        <v>322654</v>
      </c>
      <c r="F20" s="5" t="n">
        <f aca="false">IF('Weekly net sales'!F20="","",N(F19)+'Weekly net sales'!F20)</f>
        <v>149919</v>
      </c>
      <c r="G20" s="5" t="n">
        <f aca="false">IF('Weekly net sales'!G20="","",N(G19)+'Weekly net sales'!G20)</f>
        <v>387732</v>
      </c>
      <c r="H20" s="5" t="str">
        <f aca="false">IF('Weekly net sales'!H20="","",N(H19)+'Weekly net sales'!H20)</f>
        <v/>
      </c>
    </row>
    <row r="21" customFormat="false" ht="15" hidden="false" customHeight="false" outlineLevel="0" collapsed="false">
      <c r="A21" s="4" t="n">
        <v>18</v>
      </c>
      <c r="B21" s="5" t="n">
        <f aca="false">IF('Weekly net sales'!B21="","",N(B20)+'Weekly net sales'!B21)</f>
        <v>202031</v>
      </c>
      <c r="C21" s="5" t="n">
        <f aca="false">IF('Weekly net sales'!C21="","",N(C20)+'Weekly net sales'!C21)</f>
        <v>-52219</v>
      </c>
      <c r="D21" s="5" t="n">
        <f aca="false">IF('Weekly net sales'!D21="","",N(D20)+'Weekly net sales'!D21)</f>
        <v>313641</v>
      </c>
      <c r="E21" s="5" t="n">
        <f aca="false">IF('Weekly net sales'!E21="","",N(E20)+'Weekly net sales'!E21)</f>
        <v>340469</v>
      </c>
      <c r="F21" s="5" t="n">
        <f aca="false">IF('Weekly net sales'!F21="","",N(F20)+'Weekly net sales'!F21)</f>
        <v>189919</v>
      </c>
      <c r="G21" s="5" t="n">
        <f aca="false">IF('Weekly net sales'!G21="","",N(G20)+'Weekly net sales'!G21)</f>
        <v>395998</v>
      </c>
      <c r="H21" s="5" t="str">
        <f aca="false">IF('Weekly net sales'!H21="","",N(H20)+'Weekly net sales'!H21)</f>
        <v/>
      </c>
    </row>
    <row r="22" customFormat="false" ht="15" hidden="false" customHeight="false" outlineLevel="0" collapsed="false">
      <c r="A22" s="4" t="n">
        <v>19</v>
      </c>
      <c r="B22" s="5" t="n">
        <f aca="false">IF('Weekly net sales'!B22="","",N(B21)+'Weekly net sales'!B22)</f>
        <v>201017</v>
      </c>
      <c r="C22" s="5" t="n">
        <f aca="false">IF('Weekly net sales'!C22="","",N(C21)+'Weekly net sales'!C22)</f>
        <v>-92268</v>
      </c>
      <c r="D22" s="5" t="n">
        <f aca="false">IF('Weekly net sales'!D22="","",N(D21)+'Weekly net sales'!D22)</f>
        <v>350641</v>
      </c>
      <c r="E22" s="5" t="n">
        <f aca="false">IF('Weekly net sales'!E22="","",N(E21)+'Weekly net sales'!E22)</f>
        <v>345325</v>
      </c>
      <c r="F22" s="5" t="n">
        <f aca="false">IF('Weekly net sales'!F22="","",N(F21)+'Weekly net sales'!F22)</f>
        <v>189919</v>
      </c>
      <c r="G22" s="5" t="n">
        <f aca="false">IF('Weekly net sales'!G22="","",N(G21)+'Weekly net sales'!G22)</f>
        <v>393098</v>
      </c>
      <c r="H22" s="5" t="str">
        <f aca="false">IF('Weekly net sales'!H22="","",N(H21)+'Weekly net sales'!H22)</f>
        <v/>
      </c>
    </row>
    <row r="23" customFormat="false" ht="15" hidden="false" customHeight="false" outlineLevel="0" collapsed="false">
      <c r="A23" s="4" t="n">
        <v>20</v>
      </c>
      <c r="B23" s="5" t="n">
        <f aca="false">IF('Weekly net sales'!B23="","",N(B22)+'Weekly net sales'!B23)</f>
        <v>232321</v>
      </c>
      <c r="C23" s="5" t="n">
        <f aca="false">IF('Weekly net sales'!C23="","",N(C22)+'Weekly net sales'!C23)</f>
        <v>-55432</v>
      </c>
      <c r="D23" s="5" t="n">
        <f aca="false">IF('Weekly net sales'!D23="","",N(D22)+'Weekly net sales'!D23)</f>
        <v>350641</v>
      </c>
      <c r="E23" s="5" t="n">
        <f aca="false">IF('Weekly net sales'!E23="","",N(E22)+'Weekly net sales'!E23)</f>
        <v>333017</v>
      </c>
      <c r="F23" s="5" t="n">
        <f aca="false">IF('Weekly net sales'!F23="","",N(F22)+'Weekly net sales'!F23)</f>
        <v>185471</v>
      </c>
      <c r="G23" s="5" t="n">
        <f aca="false">IF('Weekly net sales'!G23="","",N(G22)+'Weekly net sales'!G23)</f>
        <v>417486</v>
      </c>
      <c r="H23" s="5" t="str">
        <f aca="false">IF('Weekly net sales'!H23="","",N(H22)+'Weekly net sales'!H23)</f>
        <v/>
      </c>
    </row>
    <row r="24" customFormat="false" ht="15" hidden="false" customHeight="false" outlineLevel="0" collapsed="false">
      <c r="A24" s="4" t="n">
        <v>21</v>
      </c>
      <c r="B24" s="5" t="n">
        <f aca="false">IF('Weekly net sales'!B24="","",N(B23)+'Weekly net sales'!B24)</f>
        <v>232269</v>
      </c>
      <c r="C24" s="5" t="n">
        <f aca="false">IF('Weekly net sales'!C24="","",N(C23)+'Weekly net sales'!C24)</f>
        <v>-50080</v>
      </c>
      <c r="D24" s="5" t="n">
        <f aca="false">IF('Weekly net sales'!D24="","",N(D23)+'Weekly net sales'!D24)</f>
        <v>349634</v>
      </c>
      <c r="E24" s="5" t="n">
        <f aca="false">IF('Weekly net sales'!E24="","",N(E23)+'Weekly net sales'!E24)</f>
        <v>354248</v>
      </c>
      <c r="F24" s="5" t="n">
        <f aca="false">IF('Weekly net sales'!F24="","",N(F23)+'Weekly net sales'!F24)</f>
        <v>192113</v>
      </c>
      <c r="G24" s="5" t="n">
        <f aca="false">IF('Weekly net sales'!G24="","",N(G23)+'Weekly net sales'!G24)</f>
        <v>454490</v>
      </c>
      <c r="H24" s="5" t="str">
        <f aca="false">IF('Weekly net sales'!H24="","",N(H23)+'Weekly net sales'!H24)</f>
        <v/>
      </c>
    </row>
    <row r="25" customFormat="false" ht="15" hidden="false" customHeight="false" outlineLevel="0" collapsed="false">
      <c r="A25" s="4" t="n">
        <v>22</v>
      </c>
      <c r="B25" s="5" t="n">
        <f aca="false">IF('Weekly net sales'!B25="","",N(B24)+'Weekly net sales'!B25)</f>
        <v>254982</v>
      </c>
      <c r="C25" s="5" t="n">
        <f aca="false">IF('Weekly net sales'!C25="","",N(C24)+'Weekly net sales'!C25)</f>
        <v>-50734</v>
      </c>
      <c r="D25" s="5" t="n">
        <f aca="false">IF('Weekly net sales'!D25="","",N(D24)+'Weekly net sales'!D25)</f>
        <v>354351</v>
      </c>
      <c r="E25" s="5" t="n">
        <f aca="false">IF('Weekly net sales'!E25="","",N(E24)+'Weekly net sales'!E25)</f>
        <v>385550</v>
      </c>
      <c r="F25" s="5" t="n">
        <f aca="false">IF('Weekly net sales'!F25="","",N(F24)+'Weekly net sales'!F25)</f>
        <v>214129</v>
      </c>
      <c r="G25" s="5" t="n">
        <f aca="false">IF('Weekly net sales'!G25="","",N(G24)+'Weekly net sales'!G25)</f>
        <v>466261</v>
      </c>
      <c r="H25" s="5" t="str">
        <f aca="false">IF('Weekly net sales'!H25="","",N(H24)+'Weekly net sales'!H25)</f>
        <v/>
      </c>
    </row>
    <row r="26" customFormat="false" ht="15" hidden="false" customHeight="false" outlineLevel="0" collapsed="false">
      <c r="A26" s="4" t="n">
        <v>23</v>
      </c>
      <c r="B26" s="5" t="n">
        <f aca="false">IF('Weekly net sales'!B26="","",N(B25)+'Weekly net sales'!B26)</f>
        <v>253172</v>
      </c>
      <c r="C26" s="5" t="n">
        <f aca="false">IF('Weekly net sales'!C26="","",N(C25)+'Weekly net sales'!C26)</f>
        <v>-50734</v>
      </c>
      <c r="D26" s="5" t="n">
        <f aca="false">IF('Weekly net sales'!D26="","",N(D25)+'Weekly net sales'!D26)</f>
        <v>353787</v>
      </c>
      <c r="E26" s="5" t="n">
        <f aca="false">IF('Weekly net sales'!E26="","",N(E25)+'Weekly net sales'!E26)</f>
        <v>494959</v>
      </c>
      <c r="F26" s="5" t="n">
        <f aca="false">IF('Weekly net sales'!F26="","",N(F25)+'Weekly net sales'!F26)</f>
        <v>214129</v>
      </c>
      <c r="G26" s="5" t="n">
        <f aca="false">IF('Weekly net sales'!G26="","",N(G25)+'Weekly net sales'!G26)</f>
        <v>466261</v>
      </c>
      <c r="H26" s="5" t="str">
        <f aca="false">IF('Weekly net sales'!H26="","",N(H25)+'Weekly net sales'!H26)</f>
        <v/>
      </c>
    </row>
    <row r="27" customFormat="false" ht="15" hidden="false" customHeight="false" outlineLevel="0" collapsed="false">
      <c r="A27" s="4" t="n">
        <v>24</v>
      </c>
      <c r="B27" s="5" t="n">
        <f aca="false">IF('Weekly net sales'!B27="","",N(B26)+'Weekly net sales'!B27)</f>
        <v>251523</v>
      </c>
      <c r="C27" s="5" t="n">
        <f aca="false">IF('Weekly net sales'!C27="","",N(C26)+'Weekly net sales'!C27)</f>
        <v>-82926</v>
      </c>
      <c r="D27" s="5" t="n">
        <f aca="false">IF('Weekly net sales'!D27="","",N(D26)+'Weekly net sales'!D27)</f>
        <v>356496</v>
      </c>
      <c r="E27" s="5" t="n">
        <f aca="false">IF('Weekly net sales'!E27="","",N(E26)+'Weekly net sales'!E27)</f>
        <v>490287</v>
      </c>
      <c r="F27" s="5" t="n">
        <f aca="false">IF('Weekly net sales'!F27="","",N(F26)+'Weekly net sales'!F27)</f>
        <v>213205</v>
      </c>
      <c r="G27" s="5" t="n">
        <f aca="false">IF('Weekly net sales'!G27="","",N(G26)+'Weekly net sales'!G27)</f>
        <v>465240</v>
      </c>
      <c r="H27" s="5" t="str">
        <f aca="false">IF('Weekly net sales'!H27="","",N(H26)+'Weekly net sales'!H27)</f>
        <v/>
      </c>
    </row>
    <row r="28" customFormat="false" ht="15" hidden="false" customHeight="false" outlineLevel="0" collapsed="false">
      <c r="A28" s="4" t="n">
        <v>25</v>
      </c>
      <c r="B28" s="5" t="n">
        <f aca="false">IF('Weekly net sales'!B28="","",N(B27)+'Weekly net sales'!B28)</f>
        <v>250272</v>
      </c>
      <c r="C28" s="5" t="n">
        <f aca="false">IF('Weekly net sales'!C28="","",N(C27)+'Weekly net sales'!C28)</f>
        <v>-82045</v>
      </c>
      <c r="D28" s="5" t="n">
        <f aca="false">IF('Weekly net sales'!D28="","",N(D27)+'Weekly net sales'!D28)</f>
        <v>362143</v>
      </c>
      <c r="E28" s="5" t="n">
        <f aca="false">IF('Weekly net sales'!E28="","",N(E27)+'Weekly net sales'!E28)</f>
        <v>495851</v>
      </c>
      <c r="F28" s="5" t="n">
        <f aca="false">IF('Weekly net sales'!F28="","",N(F27)+'Weekly net sales'!F28)</f>
        <v>281858</v>
      </c>
      <c r="G28" s="5" t="n">
        <f aca="false">IF('Weekly net sales'!G28="","",N(G27)+'Weekly net sales'!G28)</f>
        <v>544372</v>
      </c>
      <c r="H28" s="5" t="str">
        <f aca="false">IF('Weekly net sales'!H28="","",N(H27)+'Weekly net sales'!H28)</f>
        <v/>
      </c>
    </row>
    <row r="29" customFormat="false" ht="15" hidden="false" customHeight="false" outlineLevel="0" collapsed="false">
      <c r="A29" s="4" t="n">
        <v>26</v>
      </c>
      <c r="B29" s="5" t="n">
        <f aca="false">IF('Weekly net sales'!B29="","",N(B28)+'Weekly net sales'!B29)</f>
        <v>250247</v>
      </c>
      <c r="C29" s="5" t="n">
        <f aca="false">IF('Weekly net sales'!C29="","",N(C28)+'Weekly net sales'!C29)</f>
        <v>-82045</v>
      </c>
      <c r="D29" s="5" t="n">
        <f aca="false">IF('Weekly net sales'!D29="","",N(D28)+'Weekly net sales'!D29)</f>
        <v>361886</v>
      </c>
      <c r="E29" s="5" t="n">
        <f aca="false">IF('Weekly net sales'!E29="","",N(E28)+'Weekly net sales'!E29)</f>
        <v>492042</v>
      </c>
      <c r="F29" s="5" t="n">
        <f aca="false">IF('Weekly net sales'!F29="","",N(F28)+'Weekly net sales'!F29)</f>
        <v>287260</v>
      </c>
      <c r="G29" s="5" t="n">
        <f aca="false">IF('Weekly net sales'!G29="","",N(G28)+'Weekly net sales'!G29)</f>
        <v>566306</v>
      </c>
      <c r="H29" s="5" t="str">
        <f aca="false">IF('Weekly net sales'!H29="","",N(H28)+'Weekly net sales'!H29)</f>
        <v/>
      </c>
    </row>
    <row r="30" customFormat="false" ht="15" hidden="false" customHeight="false" outlineLevel="0" collapsed="false">
      <c r="A30" s="4" t="n">
        <v>27</v>
      </c>
      <c r="B30" s="5" t="n">
        <f aca="false">IF('Weekly net sales'!B30="","",N(B29)+'Weekly net sales'!B30)</f>
        <v>256144</v>
      </c>
      <c r="C30" s="5" t="n">
        <f aca="false">IF('Weekly net sales'!C30="","",N(C29)+'Weekly net sales'!C30)</f>
        <v>-67645</v>
      </c>
      <c r="D30" s="5" t="n">
        <f aca="false">IF('Weekly net sales'!D30="","",N(D29)+'Weekly net sales'!D30)</f>
        <v>359395</v>
      </c>
      <c r="E30" s="5" t="n">
        <f aca="false">IF('Weekly net sales'!E30="","",N(E29)+'Weekly net sales'!E30)</f>
        <v>492162</v>
      </c>
      <c r="F30" s="5" t="n">
        <f aca="false">IF('Weekly net sales'!F30="","",N(F29)+'Weekly net sales'!F30)</f>
        <v>288402</v>
      </c>
      <c r="G30" s="5" t="n">
        <f aca="false">IF('Weekly net sales'!G30="","",N(G29)+'Weekly net sales'!G30)</f>
        <v>568960</v>
      </c>
      <c r="H30" s="5" t="str">
        <f aca="false">IF('Weekly net sales'!H30="","",N(H29)+'Weekly net sales'!H30)</f>
        <v/>
      </c>
    </row>
    <row r="31" customFormat="false" ht="15" hidden="false" customHeight="false" outlineLevel="0" collapsed="false">
      <c r="A31" s="4" t="n">
        <v>28</v>
      </c>
      <c r="B31" s="5" t="n">
        <f aca="false">IF('Weekly net sales'!B31="","",N(B30)+'Weekly net sales'!B31)</f>
        <v>255788</v>
      </c>
      <c r="C31" s="5" t="n">
        <f aca="false">IF('Weekly net sales'!C31="","",N(C30)+'Weekly net sales'!C31)</f>
        <v>-80312</v>
      </c>
      <c r="D31" s="5" t="n">
        <f aca="false">IF('Weekly net sales'!D31="","",N(D30)+'Weekly net sales'!D31)</f>
        <v>363893</v>
      </c>
      <c r="E31" s="5" t="n">
        <f aca="false">IF('Weekly net sales'!E31="","",N(E30)+'Weekly net sales'!E31)</f>
        <v>509652</v>
      </c>
      <c r="F31" s="5" t="n">
        <f aca="false">IF('Weekly net sales'!F31="","",N(F30)+'Weekly net sales'!F31)</f>
        <v>296099</v>
      </c>
      <c r="G31" s="5" t="n">
        <f aca="false">IF('Weekly net sales'!G31="","",N(G30)+'Weekly net sales'!G31)</f>
        <v>667848</v>
      </c>
      <c r="H31" s="5" t="str">
        <f aca="false">IF('Weekly net sales'!H31="","",N(H30)+'Weekly net sales'!H31)</f>
        <v/>
      </c>
    </row>
    <row r="32" customFormat="false" ht="15" hidden="false" customHeight="false" outlineLevel="0" collapsed="false">
      <c r="A32" s="4" t="n">
        <v>29</v>
      </c>
      <c r="B32" s="5" t="n">
        <f aca="false">IF('Weekly net sales'!B32="","",N(B31)+'Weekly net sales'!B32)</f>
        <v>254036</v>
      </c>
      <c r="C32" s="5" t="n">
        <f aca="false">IF('Weekly net sales'!C32="","",N(C31)+'Weekly net sales'!C32)</f>
        <v>-82631</v>
      </c>
      <c r="D32" s="5" t="n">
        <f aca="false">IF('Weekly net sales'!D32="","",N(D31)+'Weekly net sales'!D32)</f>
        <v>379043</v>
      </c>
      <c r="E32" s="5" t="n">
        <f aca="false">IF('Weekly net sales'!E32="","",N(E31)+'Weekly net sales'!E32)</f>
        <v>508458</v>
      </c>
      <c r="F32" s="5" t="n">
        <f aca="false">IF('Weekly net sales'!F32="","",N(F31)+'Weekly net sales'!F32)</f>
        <v>314117</v>
      </c>
      <c r="G32" s="5" t="n">
        <f aca="false">IF('Weekly net sales'!G32="","",N(G31)+'Weekly net sales'!G32)</f>
        <v>691393</v>
      </c>
      <c r="H32" s="5" t="str">
        <f aca="false">IF('Weekly net sales'!H32="","",N(H31)+'Weekly net sales'!H32)</f>
        <v/>
      </c>
    </row>
    <row r="33" customFormat="false" ht="15" hidden="false" customHeight="false" outlineLevel="0" collapsed="false">
      <c r="A33" s="4" t="n">
        <v>30</v>
      </c>
      <c r="B33" s="5" t="n">
        <f aca="false">IF('Weekly net sales'!B33="","",N(B32)+'Weekly net sales'!B33)</f>
        <v>258839</v>
      </c>
      <c r="C33" s="5" t="n">
        <f aca="false">IF('Weekly net sales'!C33="","",N(C32)+'Weekly net sales'!C33)</f>
        <v>-77732</v>
      </c>
      <c r="D33" s="5" t="n">
        <f aca="false">IF('Weekly net sales'!D33="","",N(D32)+'Weekly net sales'!D33)</f>
        <v>380216</v>
      </c>
      <c r="E33" s="5" t="n">
        <f aca="false">IF('Weekly net sales'!E33="","",N(E32)+'Weekly net sales'!E33)</f>
        <v>512225</v>
      </c>
      <c r="F33" s="5" t="n">
        <f aca="false">IF('Weekly net sales'!F33="","",N(F32)+'Weekly net sales'!F33)</f>
        <v>316206</v>
      </c>
      <c r="G33" s="5" t="n">
        <f aca="false">IF('Weekly net sales'!G33="","",N(G32)+'Weekly net sales'!G33)</f>
        <v>694193</v>
      </c>
      <c r="H33" s="5" t="str">
        <f aca="false">IF('Weekly net sales'!H33="","",N(H32)+'Weekly net sales'!H33)</f>
        <v/>
      </c>
    </row>
    <row r="34" customFormat="false" ht="15" hidden="false" customHeight="false" outlineLevel="0" collapsed="false">
      <c r="A34" s="4" t="n">
        <v>31</v>
      </c>
      <c r="B34" s="5" t="n">
        <f aca="false">IF('Weekly net sales'!B34="","",N(B33)+'Weekly net sales'!B34)</f>
        <v>260279</v>
      </c>
      <c r="C34" s="5" t="n">
        <f aca="false">IF('Weekly net sales'!C34="","",N(C33)+'Weekly net sales'!C34)</f>
        <v>-78603</v>
      </c>
      <c r="D34" s="5" t="n">
        <f aca="false">IF('Weekly net sales'!D34="","",N(D33)+'Weekly net sales'!D34)</f>
        <v>425821</v>
      </c>
      <c r="E34" s="5" t="n">
        <f aca="false">IF('Weekly net sales'!E34="","",N(E33)+'Weekly net sales'!E34)</f>
        <v>518225</v>
      </c>
      <c r="F34" s="5" t="n">
        <f aca="false">IF('Weekly net sales'!F34="","",N(F33)+'Weekly net sales'!F34)</f>
        <v>316135</v>
      </c>
      <c r="G34" s="5" t="n">
        <f aca="false">IF('Weekly net sales'!G34="","",N(G33)+'Weekly net sales'!G34)</f>
        <v>705145</v>
      </c>
      <c r="H34" s="5" t="str">
        <f aca="false">IF('Weekly net sales'!H34="","",N(H33)+'Weekly net sales'!H34)</f>
        <v/>
      </c>
    </row>
    <row r="35" customFormat="false" ht="15" hidden="false" customHeight="false" outlineLevel="0" collapsed="false">
      <c r="A35" s="4" t="n">
        <v>32</v>
      </c>
      <c r="B35" s="5" t="n">
        <f aca="false">IF('Weekly net sales'!B35="","",N(B34)+'Weekly net sales'!B35)</f>
        <v>259782</v>
      </c>
      <c r="C35" s="5" t="n">
        <f aca="false">IF('Weekly net sales'!C35="","",N(C34)+'Weekly net sales'!C35)</f>
        <v>-77811</v>
      </c>
      <c r="D35" s="5" t="n">
        <f aca="false">IF('Weekly net sales'!D35="","",N(D34)+'Weekly net sales'!D35)</f>
        <v>440155</v>
      </c>
      <c r="E35" s="5" t="n">
        <f aca="false">IF('Weekly net sales'!E35="","",N(E34)+'Weekly net sales'!E35)</f>
        <v>515708</v>
      </c>
      <c r="F35" s="5" t="n">
        <f aca="false">IF('Weekly net sales'!F35="","",N(F34)+'Weekly net sales'!F35)</f>
        <v>314873</v>
      </c>
      <c r="G35" s="5" t="n">
        <f aca="false">IF('Weekly net sales'!G35="","",N(G34)+'Weekly net sales'!G35)</f>
        <v>705145</v>
      </c>
      <c r="H35" s="5" t="str">
        <f aca="false">IF('Weekly net sales'!H35="","",N(H34)+'Weekly net sales'!H35)</f>
        <v/>
      </c>
    </row>
    <row r="36" customFormat="false" ht="15" hidden="false" customHeight="false" outlineLevel="0" collapsed="false">
      <c r="A36" s="4" t="n">
        <v>33</v>
      </c>
      <c r="B36" s="5" t="n">
        <f aca="false">IF('Weekly net sales'!B36="","",N(B35)+'Weekly net sales'!B36)</f>
        <v>259982</v>
      </c>
      <c r="C36" s="5" t="n">
        <f aca="false">IF('Weekly net sales'!C36="","",N(C35)+'Weekly net sales'!C36)</f>
        <v>-77654</v>
      </c>
      <c r="D36" s="5" t="n">
        <f aca="false">IF('Weekly net sales'!D36="","",N(D35)+'Weekly net sales'!D36)</f>
        <v>543765</v>
      </c>
      <c r="E36" s="5" t="n">
        <f aca="false">IF('Weekly net sales'!E36="","",N(E35)+'Weekly net sales'!E36)</f>
        <v>519195</v>
      </c>
      <c r="F36" s="5" t="n">
        <f aca="false">IF('Weekly net sales'!F36="","",N(F35)+'Weekly net sales'!F36)</f>
        <v>314058</v>
      </c>
      <c r="G36" s="5" t="n">
        <f aca="false">IF('Weekly net sales'!G36="","",N(G35)+'Weekly net sales'!G36)</f>
        <v>867525</v>
      </c>
      <c r="H36" s="5" t="str">
        <f aca="false">IF('Weekly net sales'!H36="","",N(H35)+'Weekly net sales'!H36)</f>
        <v/>
      </c>
    </row>
    <row r="37" customFormat="false" ht="15" hidden="false" customHeight="false" outlineLevel="0" collapsed="false">
      <c r="A37" s="4" t="n">
        <v>34</v>
      </c>
      <c r="B37" s="5" t="n">
        <f aca="false">IF('Weekly net sales'!B37="","",N(B36)+'Weekly net sales'!B37)</f>
        <v>256789</v>
      </c>
      <c r="C37" s="5" t="n">
        <f aca="false">IF('Weekly net sales'!C37="","",N(C36)+'Weekly net sales'!C37)</f>
        <v>-74932</v>
      </c>
      <c r="D37" s="5" t="n">
        <f aca="false">IF('Weekly net sales'!D37="","",N(D36)+'Weekly net sales'!D37)</f>
        <v>550245</v>
      </c>
      <c r="E37" s="5" t="n">
        <f aca="false">IF('Weekly net sales'!E37="","",N(E36)+'Weekly net sales'!E37)</f>
        <v>518163</v>
      </c>
      <c r="F37" s="5" t="n">
        <f aca="false">IF('Weekly net sales'!F37="","",N(F36)+'Weekly net sales'!F37)</f>
        <v>314058</v>
      </c>
      <c r="G37" s="5" t="n">
        <f aca="false">IF('Weekly net sales'!G37="","",N(G36)+'Weekly net sales'!G37)</f>
        <v>865366</v>
      </c>
      <c r="H37" s="5" t="str">
        <f aca="false">IF('Weekly net sales'!H37="","",N(H36)+'Weekly net sales'!H37)</f>
        <v/>
      </c>
    </row>
    <row r="38" customFormat="false" ht="15" hidden="false" customHeight="false" outlineLevel="0" collapsed="false">
      <c r="A38" s="4" t="n">
        <v>35</v>
      </c>
      <c r="B38" s="5" t="n">
        <f aca="false">IF('Weekly net sales'!B38="","",N(B37)+'Weekly net sales'!B38)</f>
        <v>259477</v>
      </c>
      <c r="C38" s="5" t="n">
        <f aca="false">IF('Weekly net sales'!C38="","",N(C37)+'Weekly net sales'!C38)</f>
        <v>-76853</v>
      </c>
      <c r="D38" s="5" t="n">
        <f aca="false">IF('Weekly net sales'!D38="","",N(D37)+'Weekly net sales'!D38)</f>
        <v>548927</v>
      </c>
      <c r="E38" s="5" t="n">
        <f aca="false">IF('Weekly net sales'!E38="","",N(E37)+'Weekly net sales'!E38)</f>
        <v>517518</v>
      </c>
      <c r="F38" s="5" t="n">
        <f aca="false">IF('Weekly net sales'!F38="","",N(F37)+'Weekly net sales'!F38)</f>
        <v>315612</v>
      </c>
      <c r="G38" s="5" t="n">
        <f aca="false">IF('Weekly net sales'!G38="","",N(G37)+'Weekly net sales'!G38)</f>
        <v>879762</v>
      </c>
      <c r="H38" s="5" t="str">
        <f aca="false">IF('Weekly net sales'!H38="","",N(H37)+'Weekly net sales'!H38)</f>
        <v/>
      </c>
    </row>
    <row r="39" customFormat="false" ht="15" hidden="false" customHeight="false" outlineLevel="0" collapsed="false">
      <c r="A39" s="4" t="n">
        <v>36</v>
      </c>
      <c r="B39" s="5" t="n">
        <f aca="false">IF('Weekly net sales'!B39="","",N(B38)+'Weekly net sales'!B39)</f>
        <v>259477</v>
      </c>
      <c r="C39" s="5" t="n">
        <f aca="false">IF('Weekly net sales'!C39="","",N(C38)+'Weekly net sales'!C39)</f>
        <v>-85363</v>
      </c>
      <c r="D39" s="5" t="n">
        <f aca="false">IF('Weekly net sales'!D39="","",N(D38)+'Weekly net sales'!D39)</f>
        <v>550158</v>
      </c>
      <c r="E39" s="5" t="n">
        <f aca="false">IF('Weekly net sales'!E39="","",N(E38)+'Weekly net sales'!E39)</f>
        <v>529142</v>
      </c>
      <c r="F39" s="5" t="n">
        <f aca="false">IF('Weekly net sales'!F39="","",N(F38)+'Weekly net sales'!F39)</f>
        <v>315612</v>
      </c>
      <c r="G39" s="5" t="n">
        <f aca="false">IF('Weekly net sales'!G39="","",N(G38)+'Weekly net sales'!G39)</f>
        <v>879762</v>
      </c>
      <c r="H39" s="5" t="str">
        <f aca="false">IF('Weekly net sales'!H39="","",N(H38)+'Weekly net sales'!H39)</f>
        <v/>
      </c>
    </row>
    <row r="40" customFormat="false" ht="15" hidden="false" customHeight="false" outlineLevel="0" collapsed="false">
      <c r="A40" s="4" t="n">
        <v>37</v>
      </c>
      <c r="B40" s="5" t="n">
        <f aca="false">IF('Weekly net sales'!B40="","",N(B39)+'Weekly net sales'!B40)</f>
        <v>296694</v>
      </c>
      <c r="C40" s="5" t="n">
        <f aca="false">IF('Weekly net sales'!C40="","",N(C39)+'Weekly net sales'!C40)</f>
        <v>-105663</v>
      </c>
      <c r="D40" s="5" t="n">
        <f aca="false">IF('Weekly net sales'!D40="","",N(D39)+'Weekly net sales'!D40)</f>
        <v>578855</v>
      </c>
      <c r="E40" s="5" t="n">
        <f aca="false">IF('Weekly net sales'!E40="","",N(E39)+'Weekly net sales'!E40)</f>
        <v>529142</v>
      </c>
      <c r="F40" s="5" t="n">
        <f aca="false">IF('Weekly net sales'!F40="","",N(F39)+'Weekly net sales'!F40)</f>
        <v>313737</v>
      </c>
      <c r="G40" s="5" t="n">
        <f aca="false">IF('Weekly net sales'!G40="","",N(G39)+'Weekly net sales'!G40)</f>
        <v>877585</v>
      </c>
      <c r="H40" s="5" t="str">
        <f aca="false">IF('Weekly net sales'!H40="","",N(H39)+'Weekly net sales'!H40)</f>
        <v/>
      </c>
    </row>
    <row r="41" customFormat="false" ht="15" hidden="false" customHeight="false" outlineLevel="0" collapsed="false">
      <c r="A41" s="4" t="n">
        <v>38</v>
      </c>
      <c r="B41" s="5" t="n">
        <f aca="false">IF('Weekly net sales'!B41="","",N(B40)+'Weekly net sales'!B41)</f>
        <v>325451</v>
      </c>
      <c r="C41" s="5" t="n">
        <f aca="false">IF('Weekly net sales'!C41="","",N(C40)+'Weekly net sales'!C41)</f>
        <v>-114663</v>
      </c>
      <c r="D41" s="5" t="n">
        <f aca="false">IF('Weekly net sales'!D41="","",N(D40)+'Weekly net sales'!D41)</f>
        <v>581434</v>
      </c>
      <c r="E41" s="5" t="n">
        <f aca="false">IF('Weekly net sales'!E41="","",N(E40)+'Weekly net sales'!E41)</f>
        <v>536752</v>
      </c>
      <c r="F41" s="5" t="n">
        <f aca="false">IF('Weekly net sales'!F41="","",N(F40)+'Weekly net sales'!F41)</f>
        <v>312291</v>
      </c>
      <c r="G41" s="5" t="n">
        <f aca="false">IF('Weekly net sales'!G41="","",N(G40)+'Weekly net sales'!G41)</f>
        <v>878241</v>
      </c>
      <c r="H41" s="5" t="str">
        <f aca="false">IF('Weekly net sales'!H41="","",N(H40)+'Weekly net sales'!H41)</f>
        <v/>
      </c>
    </row>
    <row r="42" customFormat="false" ht="15" hidden="false" customHeight="false" outlineLevel="0" collapsed="false">
      <c r="A42" s="4" t="n">
        <v>39</v>
      </c>
      <c r="B42" s="5" t="n">
        <f aca="false">IF('Weekly net sales'!B42="","",N(B41)+'Weekly net sales'!B42)</f>
        <v>429771</v>
      </c>
      <c r="C42" s="5" t="n">
        <f aca="false">IF('Weekly net sales'!C42="","",N(C41)+'Weekly net sales'!C42)</f>
        <v>-110787</v>
      </c>
      <c r="D42" s="5" t="n">
        <f aca="false">IF('Weekly net sales'!D42="","",N(D41)+'Weekly net sales'!D42)</f>
        <v>581434</v>
      </c>
      <c r="E42" s="5" t="n">
        <f aca="false">IF('Weekly net sales'!E42="","",N(E41)+'Weekly net sales'!E42)</f>
        <v>554199</v>
      </c>
      <c r="F42" s="5" t="n">
        <f aca="false">IF('Weekly net sales'!F42="","",N(F41)+'Weekly net sales'!F42)</f>
        <v>316373</v>
      </c>
      <c r="G42" s="5" t="n">
        <f aca="false">IF('Weekly net sales'!G42="","",N(G41)+'Weekly net sales'!G42)</f>
        <v>864253</v>
      </c>
      <c r="H42" s="5" t="str">
        <f aca="false">IF('Weekly net sales'!H42="","",N(H41)+'Weekly net sales'!H42)</f>
        <v/>
      </c>
    </row>
    <row r="43" customFormat="false" ht="15" hidden="false" customHeight="false" outlineLevel="0" collapsed="false">
      <c r="A43" s="4" t="n">
        <v>40</v>
      </c>
      <c r="B43" s="5" t="n">
        <f aca="false">IF('Weekly net sales'!B43="","",N(B42)+'Weekly net sales'!B43)</f>
        <v>459722</v>
      </c>
      <c r="C43" s="5" t="n">
        <f aca="false">IF('Weekly net sales'!C43="","",N(C42)+'Weekly net sales'!C43)</f>
        <v>-109289</v>
      </c>
      <c r="D43" s="5" t="n">
        <f aca="false">IF('Weekly net sales'!D43="","",N(D42)+'Weekly net sales'!D43)</f>
        <v>579372</v>
      </c>
      <c r="E43" s="5" t="n">
        <f aca="false">IF('Weekly net sales'!E43="","",N(E42)+'Weekly net sales'!E43)</f>
        <v>553071</v>
      </c>
      <c r="F43" s="5" t="n">
        <f aca="false">IF('Weekly net sales'!F43="","",N(F42)+'Weekly net sales'!F43)</f>
        <v>316373</v>
      </c>
      <c r="G43" s="5" t="n">
        <f aca="false">IF('Weekly net sales'!G43="","",N(G42)+'Weekly net sales'!G43)</f>
        <v>887588</v>
      </c>
      <c r="H43" s="5" t="str">
        <f aca="false">IF('Weekly net sales'!H43="","",N(H42)+'Weekly net sales'!H43)</f>
        <v/>
      </c>
    </row>
    <row r="44" customFormat="false" ht="15" hidden="false" customHeight="false" outlineLevel="0" collapsed="false">
      <c r="A44" s="4" t="n">
        <v>41</v>
      </c>
      <c r="B44" s="5" t="n">
        <f aca="false">IF('Weekly net sales'!B44="","",N(B43)+'Weekly net sales'!B44)</f>
        <v>459648</v>
      </c>
      <c r="C44" s="5" t="n">
        <f aca="false">IF('Weekly net sales'!C44="","",N(C43)+'Weekly net sales'!C44)</f>
        <v>-110538</v>
      </c>
      <c r="D44" s="5" t="n">
        <f aca="false">IF('Weekly net sales'!D44="","",N(D43)+'Weekly net sales'!D44)</f>
        <v>610872</v>
      </c>
      <c r="E44" s="5" t="n">
        <f aca="false">IF('Weekly net sales'!E44="","",N(E43)+'Weekly net sales'!E44)</f>
        <v>551225</v>
      </c>
      <c r="F44" s="5" t="n">
        <f aca="false">IF('Weekly net sales'!F44="","",N(F43)+'Weekly net sales'!F44)</f>
        <v>321390</v>
      </c>
      <c r="G44" s="5" t="n">
        <f aca="false">IF('Weekly net sales'!G44="","",N(G43)+'Weekly net sales'!G44)</f>
        <v>884347</v>
      </c>
      <c r="H44" s="5" t="str">
        <f aca="false">IF('Weekly net sales'!H44="","",N(H43)+'Weekly net sales'!H44)</f>
        <v/>
      </c>
    </row>
    <row r="45" customFormat="false" ht="15" hidden="false" customHeight="false" outlineLevel="0" collapsed="false">
      <c r="A45" s="4" t="n">
        <v>42</v>
      </c>
      <c r="B45" s="5" t="n">
        <f aca="false">IF('Weekly net sales'!B45="","",N(B44)+'Weekly net sales'!B45)</f>
        <v>458143</v>
      </c>
      <c r="C45" s="5" t="n">
        <f aca="false">IF('Weekly net sales'!C45="","",N(C44)+'Weekly net sales'!C45)</f>
        <v>-114835</v>
      </c>
      <c r="D45" s="5" t="n">
        <f aca="false">IF('Weekly net sales'!D45="","",N(D44)+'Weekly net sales'!D45)</f>
        <v>633278</v>
      </c>
      <c r="E45" s="5" t="n">
        <f aca="false">IF('Weekly net sales'!E45="","",N(E44)+'Weekly net sales'!E45)</f>
        <v>551225</v>
      </c>
      <c r="F45" s="5" t="n">
        <f aca="false">IF('Weekly net sales'!F45="","",N(F44)+'Weekly net sales'!F45)</f>
        <v>352615</v>
      </c>
      <c r="G45" s="5" t="n">
        <f aca="false">IF('Weekly net sales'!G45="","",N(G44)+'Weekly net sales'!G45)</f>
        <v>884709</v>
      </c>
      <c r="H45" s="5" t="str">
        <f aca="false">IF('Weekly net sales'!H45="","",N(H44)+'Weekly net sales'!H45)</f>
        <v/>
      </c>
    </row>
    <row r="46" customFormat="false" ht="15" hidden="false" customHeight="false" outlineLevel="0" collapsed="false">
      <c r="A46" s="4" t="n">
        <v>43</v>
      </c>
      <c r="B46" s="5" t="n">
        <f aca="false">IF('Weekly net sales'!B46="","",N(B45)+'Weekly net sales'!B46)</f>
        <v>419361</v>
      </c>
      <c r="C46" s="5" t="n">
        <f aca="false">IF('Weekly net sales'!C46="","",N(C45)+'Weekly net sales'!C46)</f>
        <v>-110085</v>
      </c>
      <c r="D46" s="5" t="n">
        <f aca="false">IF('Weekly net sales'!D46="","",N(D45)+'Weekly net sales'!D46)</f>
        <v>657645</v>
      </c>
      <c r="E46" s="5" t="n">
        <f aca="false">IF('Weekly net sales'!E46="","",N(E45)+'Weekly net sales'!E46)</f>
        <v>553098</v>
      </c>
      <c r="F46" s="5" t="n">
        <f aca="false">IF('Weekly net sales'!F46="","",N(F45)+'Weekly net sales'!F46)</f>
        <v>349765</v>
      </c>
      <c r="G46" s="5" t="n">
        <f aca="false">IF('Weekly net sales'!G46="","",N(G45)+'Weekly net sales'!G46)</f>
        <v>882018</v>
      </c>
      <c r="H46" s="5" t="str">
        <f aca="false">IF('Weekly net sales'!H46="","",N(H45)+'Weekly net sales'!H46)</f>
        <v/>
      </c>
    </row>
    <row r="47" customFormat="false" ht="15" hidden="false" customHeight="false" outlineLevel="0" collapsed="false">
      <c r="A47" s="4" t="n">
        <v>44</v>
      </c>
      <c r="B47" s="5" t="n">
        <f aca="false">IF('Weekly net sales'!B47="","",N(B46)+'Weekly net sales'!B47)</f>
        <v>419519</v>
      </c>
      <c r="C47" s="5" t="n">
        <f aca="false">IF('Weekly net sales'!C47="","",N(C46)+'Weekly net sales'!C47)</f>
        <v>-112671</v>
      </c>
      <c r="D47" s="5" t="n">
        <f aca="false">IF('Weekly net sales'!D47="","",N(D46)+'Weekly net sales'!D47)</f>
        <v>673651</v>
      </c>
      <c r="E47" s="5" t="n">
        <f aca="false">IF('Weekly net sales'!E47="","",N(E46)+'Weekly net sales'!E47)</f>
        <v>552130</v>
      </c>
      <c r="F47" s="5" t="n">
        <f aca="false">IF('Weekly net sales'!F47="","",N(F46)+'Weekly net sales'!F47)</f>
        <v>354301</v>
      </c>
      <c r="G47" s="5" t="n">
        <f aca="false">IF('Weekly net sales'!G47="","",N(G46)+'Weekly net sales'!G47)</f>
        <v>887199</v>
      </c>
      <c r="H47" s="5" t="str">
        <f aca="false">IF('Weekly net sales'!H47="","",N(H46)+'Weekly net sales'!H47)</f>
        <v/>
      </c>
    </row>
    <row r="48" customFormat="false" ht="15" hidden="false" customHeight="false" outlineLevel="0" collapsed="false">
      <c r="A48" s="4" t="n">
        <v>45</v>
      </c>
      <c r="B48" s="5" t="n">
        <f aca="false">IF('Weekly net sales'!B48="","",N(B47)+'Weekly net sales'!B48)</f>
        <v>420239</v>
      </c>
      <c r="C48" s="5" t="n">
        <f aca="false">IF('Weekly net sales'!C48="","",N(C47)+'Weekly net sales'!C48)</f>
        <v>-112671</v>
      </c>
      <c r="D48" s="5" t="n">
        <f aca="false">IF('Weekly net sales'!D48="","",N(D47)+'Weekly net sales'!D48)</f>
        <v>703114</v>
      </c>
      <c r="E48" s="5" t="n">
        <f aca="false">IF('Weekly net sales'!E48="","",N(E47)+'Weekly net sales'!E48)</f>
        <v>556963</v>
      </c>
      <c r="F48" s="5" t="n">
        <f aca="false">IF('Weekly net sales'!F48="","",N(F47)+'Weekly net sales'!F48)</f>
        <v>383528</v>
      </c>
      <c r="G48" s="5" t="n">
        <f aca="false">IF('Weekly net sales'!G48="","",N(G47)+'Weekly net sales'!G48)</f>
        <v>886866</v>
      </c>
      <c r="H48" s="5" t="str">
        <f aca="false">IF('Weekly net sales'!H48="","",N(H47)+'Weekly net sales'!H48)</f>
        <v/>
      </c>
    </row>
    <row r="49" customFormat="false" ht="15" hidden="false" customHeight="false" outlineLevel="0" collapsed="false">
      <c r="A49" s="4" t="n">
        <v>46</v>
      </c>
      <c r="B49" s="5" t="n">
        <f aca="false">IF('Weekly net sales'!B49="","",N(B48)+'Weekly net sales'!B49)</f>
        <v>420451</v>
      </c>
      <c r="C49" s="5" t="n">
        <f aca="false">IF('Weekly net sales'!C49="","",N(C48)+'Weekly net sales'!C49)</f>
        <v>-112671</v>
      </c>
      <c r="D49" s="5" t="n">
        <f aca="false">IF('Weekly net sales'!D49="","",N(D48)+'Weekly net sales'!D49)</f>
        <v>716594</v>
      </c>
      <c r="E49" s="5" t="n">
        <f aca="false">IF('Weekly net sales'!E49="","",N(E48)+'Weekly net sales'!E49)</f>
        <v>586963</v>
      </c>
      <c r="F49" s="5" t="n">
        <f aca="false">IF('Weekly net sales'!F49="","",N(F48)+'Weekly net sales'!F49)</f>
        <v>353528</v>
      </c>
      <c r="G49" s="5" t="n">
        <f aca="false">IF('Weekly net sales'!G49="","",N(G48)+'Weekly net sales'!G49)</f>
        <v>946677</v>
      </c>
      <c r="H49" s="5" t="str">
        <f aca="false">IF('Weekly net sales'!H49="","",N(H48)+'Weekly net sales'!H49)</f>
        <v/>
      </c>
    </row>
    <row r="50" customFormat="false" ht="15" hidden="false" customHeight="false" outlineLevel="0" collapsed="false">
      <c r="A50" s="4" t="n">
        <v>47</v>
      </c>
      <c r="B50" s="5" t="n">
        <f aca="false">IF('Weekly net sales'!B50="","",N(B49)+'Weekly net sales'!B50)</f>
        <v>414149</v>
      </c>
      <c r="C50" s="5" t="n">
        <f aca="false">IF('Weekly net sales'!C50="","",N(C49)+'Weekly net sales'!C50)</f>
        <v>-105844</v>
      </c>
      <c r="D50" s="5" t="n">
        <f aca="false">IF('Weekly net sales'!D50="","",N(D49)+'Weekly net sales'!D50)</f>
        <v>695662</v>
      </c>
      <c r="E50" s="5" t="n">
        <f aca="false">IF('Weekly net sales'!E50="","",N(E49)+'Weekly net sales'!E50)</f>
        <v>556963</v>
      </c>
      <c r="F50" s="5" t="n">
        <f aca="false">IF('Weekly net sales'!F50="","",N(F49)+'Weekly net sales'!F50)</f>
        <v>353528</v>
      </c>
      <c r="G50" s="5" t="n">
        <f aca="false">IF('Weekly net sales'!G50="","",N(G49)+'Weekly net sales'!G50)</f>
        <v>975992</v>
      </c>
      <c r="H50" s="5" t="str">
        <f aca="false">IF('Weekly net sales'!H50="","",N(H49)+'Weekly net sales'!H50)</f>
        <v/>
      </c>
    </row>
    <row r="51" customFormat="false" ht="15" hidden="false" customHeight="false" outlineLevel="0" collapsed="false">
      <c r="A51" s="4" t="n">
        <v>48</v>
      </c>
      <c r="B51" s="5" t="n">
        <f aca="false">IF('Weekly net sales'!B51="","",N(B50)+'Weekly net sales'!B51)</f>
        <v>372169</v>
      </c>
      <c r="C51" s="5" t="n">
        <f aca="false">IF('Weekly net sales'!C51="","",N(C50)+'Weekly net sales'!C51)</f>
        <v>-108482</v>
      </c>
      <c r="D51" s="5" t="n">
        <f aca="false">IF('Weekly net sales'!D51="","",N(D50)+'Weekly net sales'!D51)</f>
        <v>776097</v>
      </c>
      <c r="E51" s="5" t="n">
        <f aca="false">IF('Weekly net sales'!E51="","",N(E50)+'Weekly net sales'!E51)</f>
        <v>559685</v>
      </c>
      <c r="F51" s="5" t="n">
        <f aca="false">IF('Weekly net sales'!F51="","",N(F50)+'Weekly net sales'!F51)</f>
        <v>352716</v>
      </c>
      <c r="G51" s="5" t="n">
        <f aca="false">IF('Weekly net sales'!G51="","",N(G50)+'Weekly net sales'!G51)</f>
        <v>980209</v>
      </c>
      <c r="H51" s="5" t="str">
        <f aca="false">IF('Weekly net sales'!H51="","",N(H50)+'Weekly net sales'!H51)</f>
        <v/>
      </c>
    </row>
    <row r="52" customFormat="false" ht="15" hidden="false" customHeight="false" outlineLevel="0" collapsed="false">
      <c r="A52" s="4" t="n">
        <v>49</v>
      </c>
      <c r="B52" s="5" t="n">
        <f aca="false">IF('Weekly net sales'!B52="","",N(B51)+'Weekly net sales'!B52)</f>
        <v>373100</v>
      </c>
      <c r="C52" s="5" t="n">
        <f aca="false">IF('Weekly net sales'!C52="","",N(C51)+'Weekly net sales'!C52)</f>
        <v>-108482</v>
      </c>
      <c r="D52" s="5" t="n">
        <f aca="false">IF('Weekly net sales'!D52="","",N(D51)+'Weekly net sales'!D52)</f>
        <v>719014</v>
      </c>
      <c r="E52" s="5" t="n">
        <f aca="false">IF('Weekly net sales'!E52="","",N(E51)+'Weekly net sales'!E52)</f>
        <v>556702</v>
      </c>
      <c r="F52" s="5" t="n">
        <f aca="false">IF('Weekly net sales'!F52="","",N(F51)+'Weekly net sales'!F52)</f>
        <v>352713</v>
      </c>
      <c r="G52" s="5" t="n">
        <f aca="false">IF('Weekly net sales'!G52="","",N(G51)+'Weekly net sales'!G52)</f>
        <v>980838</v>
      </c>
      <c r="H52" s="5" t="str">
        <f aca="false">IF('Weekly net sales'!H52="","",N(H51)+'Weekly net sales'!H52)</f>
        <v/>
      </c>
    </row>
    <row r="53" customFormat="false" ht="15" hidden="false" customHeight="false" outlineLevel="0" collapsed="false">
      <c r="A53" s="4" t="n">
        <v>50</v>
      </c>
      <c r="B53" s="5" t="n">
        <f aca="false">IF('Weekly net sales'!B53="","",N(B52)+'Weekly net sales'!B53)</f>
        <v>372978</v>
      </c>
      <c r="C53" s="5" t="n">
        <f aca="false">IF('Weekly net sales'!C53="","",N(C52)+'Weekly net sales'!C53)</f>
        <v>-108482</v>
      </c>
      <c r="D53" s="5" t="n">
        <f aca="false">IF('Weekly net sales'!D53="","",N(D52)+'Weekly net sales'!D53)</f>
        <v>716533</v>
      </c>
      <c r="E53" s="5" t="n">
        <f aca="false">IF('Weekly net sales'!E53="","",N(E52)+'Weekly net sales'!E53)</f>
        <v>571379</v>
      </c>
      <c r="F53" s="5" t="n">
        <f aca="false">IF('Weekly net sales'!F53="","",N(F52)+'Weekly net sales'!F53)</f>
        <v>350645</v>
      </c>
      <c r="G53" s="5" t="n">
        <f aca="false">IF('Weekly net sales'!G53="","",N(G52)+'Weekly net sales'!G53)</f>
        <v>999698</v>
      </c>
      <c r="H53" s="5" t="str">
        <f aca="false">IF('Weekly net sales'!H53="","",N(H52)+'Weekly net sales'!H53)</f>
        <v/>
      </c>
    </row>
    <row r="54" customFormat="false" ht="15" hidden="false" customHeight="false" outlineLevel="0" collapsed="false">
      <c r="A54" s="4" t="n">
        <v>51</v>
      </c>
      <c r="B54" s="5" t="n">
        <f aca="false">IF('Weekly net sales'!B54="","",N(B53)+'Weekly net sales'!B54)</f>
        <v>372978</v>
      </c>
      <c r="C54" s="5" t="n">
        <f aca="false">IF('Weekly net sales'!C54="","",N(C53)+'Weekly net sales'!C54)</f>
        <v>-80997</v>
      </c>
      <c r="D54" s="5" t="n">
        <f aca="false">IF('Weekly net sales'!D54="","",N(D53)+'Weekly net sales'!D54)</f>
        <v>722177</v>
      </c>
      <c r="E54" s="5" t="n">
        <f aca="false">IF('Weekly net sales'!E54="","",N(E53)+'Weekly net sales'!E54)</f>
        <v>574603</v>
      </c>
      <c r="F54" s="5" t="n">
        <f aca="false">IF('Weekly net sales'!F54="","",N(F53)+'Weekly net sales'!F54)</f>
        <v>349735</v>
      </c>
      <c r="G54" s="5" t="n">
        <f aca="false">IF('Weekly net sales'!G54="","",N(G53)+'Weekly net sales'!G54)</f>
        <v>1031908</v>
      </c>
      <c r="H54" s="5" t="str">
        <f aca="false">IF('Weekly net sales'!H54="","",N(H53)+'Weekly net sales'!H54)</f>
        <v/>
      </c>
    </row>
    <row r="55" customFormat="false" ht="15" hidden="false" customHeight="false" outlineLevel="0" collapsed="false">
      <c r="A55" s="4" t="n">
        <v>52</v>
      </c>
      <c r="B55" s="5" t="n">
        <f aca="false">IF('Weekly net sales'!B55="","",N(B54)+'Weekly net sales'!B55)</f>
        <v>374862</v>
      </c>
      <c r="C55" s="5" t="n">
        <f aca="false">IF('Weekly net sales'!C55="","",N(C54)+'Weekly net sales'!C55)</f>
        <v>-80874</v>
      </c>
      <c r="D55" s="5" t="n">
        <f aca="false">IF('Weekly net sales'!D55="","",N(D54)+'Weekly net sales'!D55)</f>
        <v>751589</v>
      </c>
      <c r="E55" s="5" t="n">
        <f aca="false">IF('Weekly net sales'!E55="","",N(E54)+'Weekly net sales'!E55)</f>
        <v>574342</v>
      </c>
      <c r="F55" s="5" t="n">
        <f aca="false">IF('Weekly net sales'!F55="","",N(F54)+'Weekly net sales'!F55)</f>
        <v>352248</v>
      </c>
      <c r="G55" s="5" t="n">
        <f aca="false">IF('Weekly net sales'!G55="","",N(G54)+'Weekly net sales'!G55)</f>
        <v>1031908</v>
      </c>
      <c r="H55" s="5" t="str">
        <f aca="false">IF('Weekly net sales'!H55="","",N(H54)+'Weekly net sales'!H55)</f>
        <v/>
      </c>
    </row>
    <row r="56" customFormat="false" ht="15" hidden="false" customHeight="false" outlineLevel="0" collapsed="false">
      <c r="A56" s="4" t="n">
        <v>53</v>
      </c>
      <c r="B56" s="5" t="n">
        <f aca="false">IF('Weekly net sales'!B56="","",N(B55)+'Weekly net sales'!B56)</f>
        <v>374036</v>
      </c>
      <c r="C56" s="5" t="n">
        <f aca="false">IF('Weekly net sales'!C56="","",N(C55)+'Weekly net sales'!C56)</f>
        <v>-80874</v>
      </c>
      <c r="D56" s="5" t="n">
        <f aca="false">IF('Weekly net sales'!D56="","",N(D55)+'Weekly net sales'!D56)</f>
        <v>754089</v>
      </c>
      <c r="E56" s="5" t="n">
        <f aca="false">IF('Weekly net sales'!E56="","",N(E55)+'Weekly net sales'!E56)</f>
        <v>574335</v>
      </c>
      <c r="F56" s="5" t="n">
        <f aca="false">IF('Weekly net sales'!F56="","",N(F55)+'Weekly net sales'!F56)</f>
        <v>351463</v>
      </c>
      <c r="G56" s="5" t="n">
        <f aca="false">IF('Weekly net sales'!G56="","",N(G55)+'Weekly net sales'!G56)</f>
        <v>1032692</v>
      </c>
      <c r="H56" s="5" t="str">
        <f aca="false">IF('Weekly net sales'!H56="","",N(H55)+'Weekly net sales'!H56)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8" min="2" style="0" width="13"/>
  </cols>
  <sheetData>
    <row r="1" customFormat="false" ht="1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" hidden="false" customHeight="false" outlineLevel="0" collapsed="false">
      <c r="A4" s="4" t="n">
        <v>1</v>
      </c>
      <c r="B4" s="5" t="n">
        <v>210112</v>
      </c>
      <c r="C4" s="5" t="n">
        <v>281912</v>
      </c>
      <c r="D4" s="5" t="n">
        <v>246257</v>
      </c>
      <c r="E4" s="5" t="n">
        <v>189936</v>
      </c>
      <c r="F4" s="5" t="n">
        <v>45079</v>
      </c>
      <c r="G4" s="5" t="n">
        <v>10590</v>
      </c>
      <c r="H4" s="5" t="n">
        <v>430758</v>
      </c>
    </row>
    <row r="5" customFormat="false" ht="15" hidden="false" customHeight="false" outlineLevel="0" collapsed="false">
      <c r="A5" s="4" t="n">
        <v>2</v>
      </c>
      <c r="B5" s="5" t="n">
        <v>208221</v>
      </c>
      <c r="C5" s="5" t="n">
        <v>318447</v>
      </c>
      <c r="D5" s="5" t="n">
        <v>319216</v>
      </c>
      <c r="E5" s="5" t="n">
        <v>189381</v>
      </c>
      <c r="F5" s="5" t="n">
        <v>45079</v>
      </c>
      <c r="G5" s="5" t="n">
        <v>10590</v>
      </c>
      <c r="H5" s="5" t="n">
        <v>467466</v>
      </c>
    </row>
    <row r="6" customFormat="false" ht="15" hidden="false" customHeight="false" outlineLevel="0" collapsed="false">
      <c r="A6" s="4" t="n">
        <v>3</v>
      </c>
      <c r="B6" s="5" t="n">
        <v>207585</v>
      </c>
      <c r="C6" s="5" t="n">
        <v>188583</v>
      </c>
      <c r="D6" s="5" t="n">
        <v>319343</v>
      </c>
      <c r="E6" s="5" t="n">
        <v>192770</v>
      </c>
      <c r="F6" s="5" t="n">
        <v>45079</v>
      </c>
      <c r="G6" s="5" t="n">
        <v>16114</v>
      </c>
      <c r="H6" s="5" t="n">
        <v>539966</v>
      </c>
    </row>
    <row r="7" customFormat="false" ht="15" hidden="false" customHeight="false" outlineLevel="0" collapsed="false">
      <c r="A7" s="4" t="n">
        <v>4</v>
      </c>
      <c r="B7" s="5" t="n">
        <v>212260</v>
      </c>
      <c r="C7" s="5" t="n">
        <v>196318</v>
      </c>
      <c r="D7" s="5" t="n">
        <v>318153</v>
      </c>
      <c r="E7" s="5" t="n">
        <v>196564</v>
      </c>
      <c r="F7" s="5" t="n">
        <v>45079</v>
      </c>
      <c r="G7" s="5" t="n">
        <v>16114</v>
      </c>
      <c r="H7" s="5"/>
    </row>
    <row r="8" customFormat="false" ht="15" hidden="false" customHeight="false" outlineLevel="0" collapsed="false">
      <c r="A8" s="4" t="n">
        <v>5</v>
      </c>
      <c r="B8" s="5" t="n">
        <v>261977</v>
      </c>
      <c r="C8" s="5" t="n">
        <v>196318</v>
      </c>
      <c r="D8" s="5" t="n">
        <v>326153</v>
      </c>
      <c r="E8" s="5" t="n">
        <v>230493</v>
      </c>
      <c r="F8" s="5" t="n">
        <v>97398</v>
      </c>
      <c r="G8" s="5" t="n">
        <v>34321</v>
      </c>
      <c r="H8" s="5"/>
    </row>
    <row r="9" customFormat="false" ht="15" hidden="false" customHeight="false" outlineLevel="0" collapsed="false">
      <c r="A9" s="4" t="n">
        <v>6</v>
      </c>
      <c r="B9" s="5" t="n">
        <v>260926</v>
      </c>
      <c r="C9" s="5" t="n">
        <v>194778</v>
      </c>
      <c r="D9" s="5" t="n">
        <v>330781</v>
      </c>
      <c r="E9" s="5" t="n">
        <v>268692</v>
      </c>
      <c r="F9" s="5" t="n">
        <v>66599</v>
      </c>
      <c r="G9" s="5" t="n">
        <v>32265</v>
      </c>
      <c r="H9" s="5"/>
    </row>
    <row r="10" customFormat="false" ht="15" hidden="false" customHeight="false" outlineLevel="0" collapsed="false">
      <c r="A10" s="4" t="n">
        <v>7</v>
      </c>
      <c r="B10" s="5" t="n">
        <v>288426</v>
      </c>
      <c r="C10" s="5" t="n">
        <v>162795</v>
      </c>
      <c r="D10" s="5" t="n">
        <v>330303</v>
      </c>
      <c r="E10" s="5" t="n">
        <v>268692</v>
      </c>
      <c r="F10" s="5" t="n">
        <v>129370</v>
      </c>
      <c r="G10" s="5" t="n">
        <v>50080</v>
      </c>
      <c r="H10" s="5"/>
    </row>
    <row r="11" customFormat="false" ht="15" hidden="false" customHeight="false" outlineLevel="0" collapsed="false">
      <c r="A11" s="4" t="n">
        <v>8</v>
      </c>
      <c r="B11" s="5" t="n">
        <v>291550</v>
      </c>
      <c r="C11" s="5" t="n">
        <v>160692</v>
      </c>
      <c r="D11" s="5" t="n">
        <v>375303</v>
      </c>
      <c r="E11" s="5" t="n">
        <v>270132</v>
      </c>
      <c r="F11" s="5" t="n">
        <v>133705</v>
      </c>
      <c r="G11" s="5" t="n">
        <v>68572</v>
      </c>
      <c r="H11" s="5"/>
    </row>
    <row r="12" customFormat="false" ht="15" hidden="false" customHeight="false" outlineLevel="0" collapsed="false">
      <c r="A12" s="4" t="n">
        <v>9</v>
      </c>
      <c r="B12" s="5" t="n">
        <v>290566</v>
      </c>
      <c r="C12" s="5" t="n">
        <v>167919</v>
      </c>
      <c r="D12" s="5" t="n">
        <v>377579</v>
      </c>
      <c r="E12" s="5" t="n">
        <v>293111</v>
      </c>
      <c r="F12" s="5" t="n">
        <v>138241</v>
      </c>
      <c r="G12" s="5" t="n">
        <v>76334</v>
      </c>
      <c r="H12" s="5"/>
    </row>
    <row r="13" customFormat="false" ht="15" hidden="false" customHeight="false" outlineLevel="0" collapsed="false">
      <c r="A13" s="4" t="n">
        <v>10</v>
      </c>
      <c r="B13" s="5" t="n">
        <v>295646</v>
      </c>
      <c r="C13" s="5" t="n">
        <v>165232</v>
      </c>
      <c r="D13" s="5" t="n">
        <v>336098</v>
      </c>
      <c r="E13" s="5" t="n">
        <v>370705</v>
      </c>
      <c r="F13" s="5" t="n">
        <v>175555</v>
      </c>
      <c r="G13" s="5" t="n">
        <v>74887</v>
      </c>
      <c r="H13" s="5"/>
    </row>
    <row r="14" customFormat="false" ht="15" hidden="false" customHeight="false" outlineLevel="0" collapsed="false">
      <c r="A14" s="4" t="n">
        <v>11</v>
      </c>
      <c r="B14" s="5" t="n">
        <v>303228</v>
      </c>
      <c r="C14" s="5" t="n">
        <v>192338</v>
      </c>
      <c r="D14" s="5" t="n">
        <v>365984</v>
      </c>
      <c r="E14" s="5" t="n">
        <v>380947</v>
      </c>
      <c r="F14" s="5" t="n">
        <v>175555</v>
      </c>
      <c r="G14" s="5" t="n">
        <v>299589</v>
      </c>
      <c r="H14" s="5"/>
    </row>
    <row r="15" customFormat="false" ht="15" hidden="false" customHeight="false" outlineLevel="0" collapsed="false">
      <c r="A15" s="4" t="n">
        <v>12</v>
      </c>
      <c r="B15" s="5" t="n">
        <v>300990</v>
      </c>
      <c r="C15" s="5" t="n">
        <v>195956</v>
      </c>
      <c r="D15" s="5" t="n">
        <v>406484</v>
      </c>
      <c r="E15" s="5" t="n">
        <v>386581</v>
      </c>
      <c r="F15" s="5" t="n">
        <v>175555</v>
      </c>
      <c r="G15" s="5" t="n">
        <v>360410</v>
      </c>
      <c r="H15" s="5"/>
    </row>
    <row r="16" customFormat="false" ht="15" hidden="false" customHeight="false" outlineLevel="0" collapsed="false">
      <c r="A16" s="4" t="n">
        <v>13</v>
      </c>
      <c r="B16" s="5" t="n">
        <v>300990</v>
      </c>
      <c r="C16" s="5" t="n">
        <v>194788</v>
      </c>
      <c r="D16" s="5" t="n">
        <v>406484</v>
      </c>
      <c r="E16" s="5" t="n">
        <v>386581</v>
      </c>
      <c r="F16" s="5" t="n">
        <v>181305</v>
      </c>
      <c r="G16" s="5" t="n">
        <v>371383</v>
      </c>
      <c r="H16" s="5"/>
    </row>
    <row r="17" customFormat="false" ht="15" hidden="false" customHeight="false" outlineLevel="0" collapsed="false">
      <c r="A17" s="4" t="n">
        <v>14</v>
      </c>
      <c r="B17" s="5" t="n">
        <v>305903</v>
      </c>
      <c r="C17" s="5" t="n">
        <v>193595</v>
      </c>
      <c r="D17" s="5" t="n">
        <v>471233</v>
      </c>
      <c r="E17" s="5" t="n">
        <v>407036</v>
      </c>
      <c r="F17" s="5" t="n">
        <v>181554</v>
      </c>
      <c r="G17" s="5" t="n">
        <v>380650</v>
      </c>
      <c r="H17" s="5"/>
    </row>
    <row r="18" customFormat="false" ht="15" hidden="false" customHeight="false" outlineLevel="0" collapsed="false">
      <c r="A18" s="4" t="n">
        <v>15</v>
      </c>
      <c r="B18" s="5" t="n">
        <v>328359</v>
      </c>
      <c r="C18" s="5" t="n">
        <v>193596</v>
      </c>
      <c r="D18" s="5" t="n">
        <v>578325</v>
      </c>
      <c r="E18" s="5" t="n">
        <v>453279</v>
      </c>
      <c r="F18" s="5" t="n">
        <v>177721</v>
      </c>
      <c r="G18" s="5" t="n">
        <v>380626</v>
      </c>
      <c r="H18" s="5"/>
    </row>
    <row r="19" customFormat="false" ht="15" hidden="false" customHeight="false" outlineLevel="0" collapsed="false">
      <c r="A19" s="4" t="n">
        <v>16</v>
      </c>
      <c r="B19" s="5" t="n">
        <v>374671</v>
      </c>
      <c r="C19" s="5" t="n">
        <v>217704</v>
      </c>
      <c r="D19" s="5" t="n">
        <v>533325</v>
      </c>
      <c r="E19" s="5" t="n">
        <v>454241</v>
      </c>
      <c r="F19" s="5" t="n">
        <v>177434</v>
      </c>
      <c r="G19" s="5" t="n">
        <v>387132</v>
      </c>
      <c r="H19" s="5"/>
    </row>
    <row r="20" customFormat="false" ht="15" hidden="false" customHeight="false" outlineLevel="0" collapsed="false">
      <c r="A20" s="4" t="n">
        <v>17</v>
      </c>
      <c r="B20" s="5" t="n">
        <v>379604</v>
      </c>
      <c r="C20" s="5" t="n">
        <v>298412</v>
      </c>
      <c r="D20" s="5" t="n">
        <v>518180</v>
      </c>
      <c r="E20" s="5" t="n">
        <v>504333</v>
      </c>
      <c r="F20" s="5" t="n">
        <v>179919</v>
      </c>
      <c r="G20" s="5" t="n">
        <v>387732</v>
      </c>
      <c r="H20" s="5"/>
    </row>
    <row r="21" customFormat="false" ht="15" hidden="false" customHeight="false" outlineLevel="0" collapsed="false">
      <c r="A21" s="4" t="n">
        <v>18</v>
      </c>
      <c r="B21" s="5" t="n">
        <v>401431</v>
      </c>
      <c r="C21" s="5" t="n">
        <v>292003</v>
      </c>
      <c r="D21" s="5" t="n">
        <v>519641</v>
      </c>
      <c r="E21" s="5" t="n">
        <v>522148</v>
      </c>
      <c r="F21" s="5" t="n">
        <v>219919</v>
      </c>
      <c r="G21" s="5" t="n">
        <v>395998</v>
      </c>
      <c r="H21" s="5"/>
    </row>
    <row r="22" customFormat="false" ht="15" hidden="false" customHeight="false" outlineLevel="0" collapsed="false">
      <c r="A22" s="4" t="n">
        <v>19</v>
      </c>
      <c r="B22" s="5" t="n">
        <v>400417</v>
      </c>
      <c r="C22" s="5" t="n">
        <v>251954</v>
      </c>
      <c r="D22" s="5" t="n">
        <v>556641</v>
      </c>
      <c r="E22" s="5" t="n">
        <v>527004</v>
      </c>
      <c r="F22" s="5" t="n">
        <v>219919</v>
      </c>
      <c r="G22" s="5" t="n">
        <v>393098</v>
      </c>
      <c r="H22" s="5"/>
    </row>
    <row r="23" customFormat="false" ht="15" hidden="false" customHeight="false" outlineLevel="0" collapsed="false">
      <c r="A23" s="4" t="n">
        <v>20</v>
      </c>
      <c r="B23" s="5" t="n">
        <v>431721</v>
      </c>
      <c r="C23" s="5" t="n">
        <v>288790</v>
      </c>
      <c r="D23" s="5" t="n">
        <v>556641</v>
      </c>
      <c r="E23" s="5" t="n">
        <v>514696</v>
      </c>
      <c r="F23" s="5" t="n">
        <v>215471</v>
      </c>
      <c r="G23" s="5" t="n">
        <v>417486</v>
      </c>
      <c r="H23" s="5"/>
    </row>
    <row r="24" customFormat="false" ht="15" hidden="false" customHeight="false" outlineLevel="0" collapsed="false">
      <c r="A24" s="4" t="n">
        <v>21</v>
      </c>
      <c r="B24" s="5" t="n">
        <v>431669</v>
      </c>
      <c r="C24" s="5" t="n">
        <v>294142</v>
      </c>
      <c r="D24" s="5" t="n">
        <v>555634</v>
      </c>
      <c r="E24" s="5" t="n">
        <v>535927</v>
      </c>
      <c r="F24" s="5" t="n">
        <v>222113</v>
      </c>
      <c r="G24" s="5" t="n">
        <v>454490</v>
      </c>
      <c r="H24" s="5"/>
    </row>
    <row r="25" customFormat="false" ht="15" hidden="false" customHeight="false" outlineLevel="0" collapsed="false">
      <c r="A25" s="4" t="n">
        <v>22</v>
      </c>
      <c r="B25" s="5" t="n">
        <v>454382</v>
      </c>
      <c r="C25" s="5" t="n">
        <v>293488</v>
      </c>
      <c r="D25" s="5" t="n">
        <v>560351</v>
      </c>
      <c r="E25" s="5" t="n">
        <v>567229</v>
      </c>
      <c r="F25" s="5" t="n">
        <v>244129</v>
      </c>
      <c r="G25" s="5" t="n">
        <v>466261</v>
      </c>
      <c r="H25" s="5"/>
    </row>
    <row r="26" customFormat="false" ht="15" hidden="false" customHeight="false" outlineLevel="0" collapsed="false">
      <c r="A26" s="4" t="n">
        <v>23</v>
      </c>
      <c r="B26" s="5" t="n">
        <v>452572</v>
      </c>
      <c r="C26" s="5" t="n">
        <v>293488</v>
      </c>
      <c r="D26" s="5" t="n">
        <v>559787</v>
      </c>
      <c r="E26" s="5" t="n">
        <v>676638</v>
      </c>
      <c r="F26" s="5" t="n">
        <v>244129</v>
      </c>
      <c r="G26" s="5" t="n">
        <v>466261</v>
      </c>
      <c r="H26" s="5"/>
    </row>
    <row r="27" customFormat="false" ht="15" hidden="false" customHeight="false" outlineLevel="0" collapsed="false">
      <c r="A27" s="4" t="n">
        <v>24</v>
      </c>
      <c r="B27" s="5" t="n">
        <v>450923</v>
      </c>
      <c r="C27" s="5" t="n">
        <v>261296</v>
      </c>
      <c r="D27" s="5" t="n">
        <v>562496</v>
      </c>
      <c r="E27" s="5" t="n">
        <v>671966</v>
      </c>
      <c r="F27" s="5" t="n">
        <v>243205</v>
      </c>
      <c r="G27" s="5" t="n">
        <v>465240</v>
      </c>
      <c r="H27" s="5"/>
    </row>
    <row r="28" customFormat="false" ht="15" hidden="false" customHeight="false" outlineLevel="0" collapsed="false">
      <c r="A28" s="4" t="n">
        <v>25</v>
      </c>
      <c r="B28" s="5" t="n">
        <v>449672</v>
      </c>
      <c r="C28" s="5" t="n">
        <v>262177</v>
      </c>
      <c r="D28" s="5" t="n">
        <v>568143</v>
      </c>
      <c r="E28" s="5" t="n">
        <v>677530</v>
      </c>
      <c r="F28" s="5" t="n">
        <v>311858</v>
      </c>
      <c r="G28" s="5" t="n">
        <v>544372</v>
      </c>
      <c r="H28" s="5"/>
    </row>
    <row r="29" customFormat="false" ht="15" hidden="false" customHeight="false" outlineLevel="0" collapsed="false">
      <c r="A29" s="4" t="n">
        <v>26</v>
      </c>
      <c r="B29" s="5" t="n">
        <v>449647</v>
      </c>
      <c r="C29" s="5" t="n">
        <v>262177</v>
      </c>
      <c r="D29" s="5" t="n">
        <v>567886</v>
      </c>
      <c r="E29" s="5" t="n">
        <v>673721</v>
      </c>
      <c r="F29" s="5" t="n">
        <v>317260</v>
      </c>
      <c r="G29" s="5" t="n">
        <v>566306</v>
      </c>
      <c r="H29" s="5"/>
    </row>
    <row r="30" customFormat="false" ht="15" hidden="false" customHeight="false" outlineLevel="0" collapsed="false">
      <c r="A30" s="4" t="n">
        <v>27</v>
      </c>
      <c r="B30" s="5" t="n">
        <v>455544</v>
      </c>
      <c r="C30" s="5" t="n">
        <v>276577</v>
      </c>
      <c r="D30" s="5" t="n">
        <v>565395</v>
      </c>
      <c r="E30" s="5" t="n">
        <v>673841</v>
      </c>
      <c r="F30" s="5" t="n">
        <v>318402</v>
      </c>
      <c r="G30" s="5" t="n">
        <v>568960</v>
      </c>
      <c r="H30" s="5"/>
    </row>
    <row r="31" customFormat="false" ht="15" hidden="false" customHeight="false" outlineLevel="0" collapsed="false">
      <c r="A31" s="4" t="n">
        <v>28</v>
      </c>
      <c r="B31" s="5" t="n">
        <v>455188</v>
      </c>
      <c r="C31" s="5" t="n">
        <v>263910</v>
      </c>
      <c r="D31" s="5" t="n">
        <v>569893</v>
      </c>
      <c r="E31" s="5" t="n">
        <v>691331</v>
      </c>
      <c r="F31" s="5" t="n">
        <v>326099</v>
      </c>
      <c r="G31" s="5" t="n">
        <v>667848</v>
      </c>
      <c r="H31" s="5"/>
    </row>
    <row r="32" customFormat="false" ht="15" hidden="false" customHeight="false" outlineLevel="0" collapsed="false">
      <c r="A32" s="4" t="n">
        <v>29</v>
      </c>
      <c r="B32" s="5" t="n">
        <v>453436</v>
      </c>
      <c r="C32" s="5" t="n">
        <v>261591</v>
      </c>
      <c r="D32" s="5" t="n">
        <v>585043</v>
      </c>
      <c r="E32" s="5" t="n">
        <v>690137</v>
      </c>
      <c r="F32" s="5" t="n">
        <v>344117</v>
      </c>
      <c r="G32" s="5" t="n">
        <v>691393</v>
      </c>
      <c r="H32" s="5"/>
    </row>
    <row r="33" customFormat="false" ht="15" hidden="false" customHeight="false" outlineLevel="0" collapsed="false">
      <c r="A33" s="4" t="n">
        <v>30</v>
      </c>
      <c r="B33" s="5" t="n">
        <v>458239</v>
      </c>
      <c r="C33" s="5" t="n">
        <v>266490</v>
      </c>
      <c r="D33" s="5" t="n">
        <v>586216</v>
      </c>
      <c r="E33" s="5" t="n">
        <v>693904</v>
      </c>
      <c r="F33" s="5" t="n">
        <v>346206</v>
      </c>
      <c r="G33" s="5" t="n">
        <v>694193</v>
      </c>
      <c r="H33" s="5"/>
    </row>
    <row r="34" customFormat="false" ht="15" hidden="false" customHeight="false" outlineLevel="0" collapsed="false">
      <c r="A34" s="4" t="n">
        <v>31</v>
      </c>
      <c r="B34" s="5" t="n">
        <v>459679</v>
      </c>
      <c r="C34" s="5" t="n">
        <v>265619</v>
      </c>
      <c r="D34" s="5" t="n">
        <v>631821</v>
      </c>
      <c r="E34" s="5" t="n">
        <v>699904</v>
      </c>
      <c r="F34" s="5" t="n">
        <v>346135</v>
      </c>
      <c r="G34" s="5" t="n">
        <v>705145</v>
      </c>
      <c r="H34" s="5"/>
    </row>
    <row r="35" customFormat="false" ht="15" hidden="false" customHeight="false" outlineLevel="0" collapsed="false">
      <c r="A35" s="4" t="n">
        <v>32</v>
      </c>
      <c r="B35" s="5" t="n">
        <v>459182</v>
      </c>
      <c r="C35" s="5" t="n">
        <v>266411</v>
      </c>
      <c r="D35" s="5" t="n">
        <v>646155</v>
      </c>
      <c r="E35" s="5" t="n">
        <v>697387</v>
      </c>
      <c r="F35" s="5" t="n">
        <v>344873</v>
      </c>
      <c r="G35" s="5" t="n">
        <v>705145</v>
      </c>
      <c r="H35" s="5"/>
    </row>
    <row r="36" customFormat="false" ht="15" hidden="false" customHeight="false" outlineLevel="0" collapsed="false">
      <c r="A36" s="4" t="n">
        <v>33</v>
      </c>
      <c r="B36" s="5" t="n">
        <v>459382</v>
      </c>
      <c r="C36" s="5" t="n">
        <v>266568</v>
      </c>
      <c r="D36" s="5" t="n">
        <v>749765</v>
      </c>
      <c r="E36" s="5" t="n">
        <v>700874</v>
      </c>
      <c r="F36" s="5" t="n">
        <v>344058</v>
      </c>
      <c r="G36" s="5" t="n">
        <v>867525</v>
      </c>
      <c r="H36" s="5"/>
    </row>
    <row r="37" customFormat="false" ht="15" hidden="false" customHeight="false" outlineLevel="0" collapsed="false">
      <c r="A37" s="4" t="n">
        <v>34</v>
      </c>
      <c r="B37" s="5" t="n">
        <v>456189</v>
      </c>
      <c r="C37" s="5" t="n">
        <v>269290</v>
      </c>
      <c r="D37" s="5" t="n">
        <v>756245</v>
      </c>
      <c r="E37" s="5" t="n">
        <v>699842</v>
      </c>
      <c r="F37" s="5" t="n">
        <v>344058</v>
      </c>
      <c r="G37" s="5" t="n">
        <v>865366</v>
      </c>
      <c r="H37" s="5"/>
    </row>
    <row r="38" customFormat="false" ht="15" hidden="false" customHeight="false" outlineLevel="0" collapsed="false">
      <c r="A38" s="4" t="n">
        <v>35</v>
      </c>
      <c r="B38" s="5" t="n">
        <v>458877</v>
      </c>
      <c r="C38" s="5" t="n">
        <v>267369</v>
      </c>
      <c r="D38" s="5" t="n">
        <v>754927</v>
      </c>
      <c r="E38" s="5" t="n">
        <v>699197</v>
      </c>
      <c r="F38" s="5" t="n">
        <v>345612</v>
      </c>
      <c r="G38" s="5" t="n">
        <v>879762</v>
      </c>
      <c r="H38" s="5"/>
    </row>
    <row r="39" customFormat="false" ht="15" hidden="false" customHeight="false" outlineLevel="0" collapsed="false">
      <c r="A39" s="4" t="n">
        <v>36</v>
      </c>
      <c r="B39" s="5" t="n">
        <v>458877</v>
      </c>
      <c r="C39" s="5" t="n">
        <v>258859</v>
      </c>
      <c r="D39" s="5" t="n">
        <v>756158</v>
      </c>
      <c r="E39" s="5" t="n">
        <v>710821</v>
      </c>
      <c r="F39" s="5" t="n">
        <v>345612</v>
      </c>
      <c r="G39" s="5" t="n">
        <v>879762</v>
      </c>
      <c r="H39" s="5"/>
    </row>
    <row r="40" customFormat="false" ht="15" hidden="false" customHeight="false" outlineLevel="0" collapsed="false">
      <c r="A40" s="4" t="n">
        <v>37</v>
      </c>
      <c r="B40" s="5" t="n">
        <v>496094</v>
      </c>
      <c r="C40" s="5" t="n">
        <v>238559</v>
      </c>
      <c r="D40" s="5" t="n">
        <v>784855</v>
      </c>
      <c r="E40" s="5" t="n">
        <v>710821</v>
      </c>
      <c r="F40" s="5" t="n">
        <v>343737</v>
      </c>
      <c r="G40" s="5" t="n">
        <v>877585</v>
      </c>
      <c r="H40" s="5"/>
    </row>
    <row r="41" customFormat="false" ht="15" hidden="false" customHeight="false" outlineLevel="0" collapsed="false">
      <c r="A41" s="4" t="n">
        <v>38</v>
      </c>
      <c r="B41" s="5" t="n">
        <v>524851</v>
      </c>
      <c r="C41" s="5" t="n">
        <v>229559</v>
      </c>
      <c r="D41" s="5" t="n">
        <v>787434</v>
      </c>
      <c r="E41" s="5" t="n">
        <v>718431</v>
      </c>
      <c r="F41" s="5" t="n">
        <v>342291</v>
      </c>
      <c r="G41" s="5" t="n">
        <v>878241</v>
      </c>
      <c r="H41" s="5"/>
    </row>
    <row r="42" customFormat="false" ht="15" hidden="false" customHeight="false" outlineLevel="0" collapsed="false">
      <c r="A42" s="4" t="n">
        <v>39</v>
      </c>
      <c r="B42" s="5" t="n">
        <v>629171</v>
      </c>
      <c r="C42" s="5" t="n">
        <v>233435</v>
      </c>
      <c r="D42" s="5" t="n">
        <v>787434</v>
      </c>
      <c r="E42" s="5" t="n">
        <v>735878</v>
      </c>
      <c r="F42" s="5" t="n">
        <v>346373</v>
      </c>
      <c r="G42" s="5" t="n">
        <v>864253</v>
      </c>
      <c r="H42" s="5"/>
    </row>
    <row r="43" customFormat="false" ht="15" hidden="false" customHeight="false" outlineLevel="0" collapsed="false">
      <c r="A43" s="4" t="n">
        <v>40</v>
      </c>
      <c r="B43" s="5" t="n">
        <v>659122</v>
      </c>
      <c r="C43" s="5" t="n">
        <v>234933</v>
      </c>
      <c r="D43" s="5" t="n">
        <v>785372</v>
      </c>
      <c r="E43" s="5" t="n">
        <v>734750</v>
      </c>
      <c r="F43" s="5" t="n">
        <v>346373</v>
      </c>
      <c r="G43" s="5" t="n">
        <v>887588</v>
      </c>
      <c r="H43" s="5"/>
    </row>
    <row r="44" customFormat="false" ht="15" hidden="false" customHeight="false" outlineLevel="0" collapsed="false">
      <c r="A44" s="4" t="n">
        <v>41</v>
      </c>
      <c r="B44" s="5" t="n">
        <v>659048</v>
      </c>
      <c r="C44" s="5" t="n">
        <v>233684</v>
      </c>
      <c r="D44" s="5" t="n">
        <v>816872</v>
      </c>
      <c r="E44" s="5" t="n">
        <v>732904</v>
      </c>
      <c r="F44" s="5" t="n">
        <v>351390</v>
      </c>
      <c r="G44" s="5" t="n">
        <v>884347</v>
      </c>
      <c r="H44" s="5"/>
    </row>
    <row r="45" customFormat="false" ht="15" hidden="false" customHeight="false" outlineLevel="0" collapsed="false">
      <c r="A45" s="4" t="n">
        <v>42</v>
      </c>
      <c r="B45" s="5" t="n">
        <v>657543</v>
      </c>
      <c r="C45" s="5" t="n">
        <v>229387</v>
      </c>
      <c r="D45" s="5" t="n">
        <v>839278</v>
      </c>
      <c r="E45" s="5" t="n">
        <v>732904</v>
      </c>
      <c r="F45" s="5" t="n">
        <v>382615</v>
      </c>
      <c r="G45" s="5" t="n">
        <v>884709</v>
      </c>
      <c r="H45" s="5"/>
    </row>
    <row r="46" customFormat="false" ht="15" hidden="false" customHeight="false" outlineLevel="0" collapsed="false">
      <c r="A46" s="4" t="n">
        <v>43</v>
      </c>
      <c r="B46" s="5" t="n">
        <v>618761</v>
      </c>
      <c r="C46" s="5" t="n">
        <v>234137</v>
      </c>
      <c r="D46" s="5" t="n">
        <v>863645</v>
      </c>
      <c r="E46" s="5" t="n">
        <v>734777</v>
      </c>
      <c r="F46" s="5" t="n">
        <v>379765</v>
      </c>
      <c r="G46" s="5" t="n">
        <v>882018</v>
      </c>
      <c r="H46" s="5"/>
    </row>
    <row r="47" customFormat="false" ht="15" hidden="false" customHeight="false" outlineLevel="0" collapsed="false">
      <c r="A47" s="4" t="n">
        <v>44</v>
      </c>
      <c r="B47" s="5" t="n">
        <v>618919</v>
      </c>
      <c r="C47" s="5" t="n">
        <v>231551</v>
      </c>
      <c r="D47" s="5" t="n">
        <v>879651</v>
      </c>
      <c r="E47" s="5" t="n">
        <v>733809</v>
      </c>
      <c r="F47" s="5" t="n">
        <v>384301</v>
      </c>
      <c r="G47" s="5" t="n">
        <v>887199</v>
      </c>
      <c r="H47" s="5"/>
    </row>
    <row r="48" customFormat="false" ht="15" hidden="false" customHeight="false" outlineLevel="0" collapsed="false">
      <c r="A48" s="4" t="n">
        <v>45</v>
      </c>
      <c r="B48" s="5" t="n">
        <v>619639</v>
      </c>
      <c r="C48" s="5" t="n">
        <v>231551</v>
      </c>
      <c r="D48" s="5" t="n">
        <v>909114</v>
      </c>
      <c r="E48" s="5" t="n">
        <v>738642</v>
      </c>
      <c r="F48" s="5" t="n">
        <v>413528</v>
      </c>
      <c r="G48" s="5" t="n">
        <v>886866</v>
      </c>
      <c r="H48" s="5"/>
    </row>
    <row r="49" customFormat="false" ht="15" hidden="false" customHeight="false" outlineLevel="0" collapsed="false">
      <c r="A49" s="4" t="n">
        <v>46</v>
      </c>
      <c r="B49" s="5" t="n">
        <v>619851</v>
      </c>
      <c r="C49" s="5" t="n">
        <v>231551</v>
      </c>
      <c r="D49" s="5" t="n">
        <v>922594</v>
      </c>
      <c r="E49" s="5" t="n">
        <v>768642</v>
      </c>
      <c r="F49" s="5" t="n">
        <v>383528</v>
      </c>
      <c r="G49" s="5" t="n">
        <v>946677</v>
      </c>
      <c r="H49" s="5"/>
    </row>
    <row r="50" customFormat="false" ht="15" hidden="false" customHeight="false" outlineLevel="0" collapsed="false">
      <c r="A50" s="4" t="n">
        <v>47</v>
      </c>
      <c r="B50" s="5" t="n">
        <v>613549</v>
      </c>
      <c r="C50" s="5" t="n">
        <v>238378</v>
      </c>
      <c r="D50" s="5" t="n">
        <v>901662</v>
      </c>
      <c r="E50" s="5" t="n">
        <v>738642</v>
      </c>
      <c r="F50" s="5" t="n">
        <v>383528</v>
      </c>
      <c r="G50" s="5" t="n">
        <v>975992</v>
      </c>
      <c r="H50" s="5"/>
    </row>
    <row r="51" customFormat="false" ht="15" hidden="false" customHeight="false" outlineLevel="0" collapsed="false">
      <c r="A51" s="4" t="n">
        <v>48</v>
      </c>
      <c r="B51" s="5" t="n">
        <v>571569</v>
      </c>
      <c r="C51" s="5" t="n">
        <v>235740</v>
      </c>
      <c r="D51" s="5" t="n">
        <v>982097</v>
      </c>
      <c r="E51" s="5" t="n">
        <v>741364</v>
      </c>
      <c r="F51" s="5" t="n">
        <v>382716</v>
      </c>
      <c r="G51" s="5" t="n">
        <v>980209</v>
      </c>
      <c r="H51" s="5"/>
    </row>
    <row r="52" customFormat="false" ht="15" hidden="false" customHeight="false" outlineLevel="0" collapsed="false">
      <c r="A52" s="4" t="n">
        <v>49</v>
      </c>
      <c r="B52" s="5" t="n">
        <v>572500</v>
      </c>
      <c r="C52" s="5" t="n">
        <v>235740</v>
      </c>
      <c r="D52" s="5" t="n">
        <v>925014</v>
      </c>
      <c r="E52" s="5" t="n">
        <v>738381</v>
      </c>
      <c r="F52" s="5" t="n">
        <v>382713</v>
      </c>
      <c r="G52" s="5" t="n">
        <v>980838</v>
      </c>
      <c r="H52" s="5"/>
    </row>
    <row r="53" customFormat="false" ht="15" hidden="false" customHeight="false" outlineLevel="0" collapsed="false">
      <c r="A53" s="4" t="n">
        <v>50</v>
      </c>
      <c r="B53" s="5" t="n">
        <v>572378</v>
      </c>
      <c r="C53" s="5" t="n">
        <v>235740</v>
      </c>
      <c r="D53" s="5" t="n">
        <v>922533</v>
      </c>
      <c r="E53" s="5" t="n">
        <v>753058</v>
      </c>
      <c r="F53" s="5" t="n">
        <v>380645</v>
      </c>
      <c r="G53" s="5" t="n">
        <v>999698</v>
      </c>
      <c r="H53" s="5"/>
    </row>
    <row r="54" customFormat="false" ht="15" hidden="false" customHeight="false" outlineLevel="0" collapsed="false">
      <c r="A54" s="4" t="n">
        <v>51</v>
      </c>
      <c r="B54" s="5" t="n">
        <v>572378</v>
      </c>
      <c r="C54" s="5" t="n">
        <v>263225</v>
      </c>
      <c r="D54" s="5" t="n">
        <v>928177</v>
      </c>
      <c r="E54" s="5" t="n">
        <v>756282</v>
      </c>
      <c r="F54" s="5" t="n">
        <v>379735</v>
      </c>
      <c r="G54" s="5" t="n">
        <v>1031908</v>
      </c>
      <c r="H54" s="5"/>
    </row>
    <row r="55" customFormat="false" ht="15" hidden="false" customHeight="false" outlineLevel="0" collapsed="false">
      <c r="A55" s="4" t="n">
        <v>52</v>
      </c>
      <c r="B55" s="5" t="n">
        <v>574262</v>
      </c>
      <c r="C55" s="5" t="n">
        <v>263348</v>
      </c>
      <c r="D55" s="5" t="n">
        <v>957589</v>
      </c>
      <c r="E55" s="5" t="n">
        <v>756021</v>
      </c>
      <c r="F55" s="5" t="n">
        <v>382248</v>
      </c>
      <c r="G55" s="5" t="n">
        <v>1031908</v>
      </c>
      <c r="H55" s="5"/>
    </row>
    <row r="56" customFormat="false" ht="15" hidden="false" customHeight="false" outlineLevel="0" collapsed="false">
      <c r="A56" s="4" t="n">
        <v>53</v>
      </c>
      <c r="B56" s="5" t="n">
        <v>573436</v>
      </c>
      <c r="C56" s="5" t="n">
        <v>263348</v>
      </c>
      <c r="D56" s="5" t="n">
        <v>960089</v>
      </c>
      <c r="E56" s="5" t="n">
        <v>756014</v>
      </c>
      <c r="F56" s="5" t="n">
        <v>381463</v>
      </c>
      <c r="G56" s="5" t="n">
        <v>1032692</v>
      </c>
      <c r="H5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2026-10-29T12:17:00Z</dcterms:created>
  <dc:creator>openpyxl</dc:creator>
  <dc:description/>
  <dc:language>en-US</dc:language>
  <cp:lastModifiedBy/>
  <dcterms:modified xsi:type="dcterms:W3CDTF">2026-10-29T12:17:00Z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