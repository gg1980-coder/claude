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CO" sheetId="2" state="visible" r:id="rId4"/>
    <sheet name="Inedible Tallow" sheetId="3" state="visible" r:id="rId5"/>
    <sheet name="Edible Tallow" sheetId="4" state="visible" r:id="rId6"/>
    <sheet name="Data" sheetId="5" state="visible" r:id="rId7"/>
  </sheets>
  <definedNames>
    <definedName function="false" hidden="true" localSheetId="4" name="_xlnm._FilterDatabase" vbProcedure="false">Data!$A$3:$H$2311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<sst xmlns="http://schemas.openxmlformats.org/spreadsheetml/2006/main" count="7671" uniqueCount="209">
  <si>
    <t xml:space="preserve">US Imports of UCO &amp; Tallow - Annual Totals (mln lbs.)</t>
  </si>
  <si>
    <t xml:space="preserve">Commodity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</si>
  <si>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</si>
  <si>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</si>
  <si>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</si>
  <si>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</si>
  <si>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</si>
  <si>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</si>
  <si>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(Jan-Aug)</t>
  </si>
  <si>
    <t xml:space="preserve">UCO (1518004000)</t>
  </si>
  <si>
    <t xml:space="preserve">Inedible Tallow (1502100040)</t>
  </si>
  <si>
    <t xml:space="preserve">Edible Tallow (1502100020)</t>
  </si>
  <si>
    <t xml:space="preserve">Notes</t>
  </si>
  <si>
    <t xml:space="preserve">- Source: U.S. Census Bureau, USA Trade Online (two files exported Oct 7, 2026). Data through Aug 2026.</t>
  </si>
  <si>
    <t xml:space="preserve">- Volumes are General Imports (Quantity 1 Gen) in kg, converted at 2.20462262 lbs/kg (Data!B1) and shown in million lbs.</t>
  </si>
  <si>
    <t xml:space="preserve">- UCO = HTS 1518.00.4000 (animal &amp; vegetable fats/oils, chemically modified), the statistical line under which used cooking oil enters the US.</t>
  </si>
  <si>
    <t xml:space="preserve">  It can also include other chemically modified fats/oils, so treat it as a close UCO proxy rather than pure UCO.</t>
  </si>
  <si>
    <t xml:space="preserve">- HS 150210 (6-digit parent) carried no quantities in the export and is excluded; its 10-digit lines (edible/inedible) are used instead.</t>
  </si>
  <si>
    <t xml:space="preserve">- Regional aggregates (Asia, Europe, etc.) are excluded; country rows sum exactly to the Census world total.</t>
  </si>
  <si>
    <t xml:space="preserve">- Australia / New Zealand include their territories as reported by Census.</t>
  </si>
  <si>
    <t xml:space="preserve">US Imports of UCO - HTS 1518.00.4000 Animal &amp; Veg. Fats/Oils, Chemically Modified (mln lbs.)</t>
  </si>
  <si>
    <t xml:space="preserve">Jan-20</t>
  </si>
  <si>
    <t xml:space="preserve">Feb-20</t>
  </si>
  <si>
    <t xml:space="preserve">Mar-20</t>
  </si>
  <si>
    <t xml:space="preserve">Apr-20</t>
  </si>
  <si>
    <t xml:space="preserve">May-20</t>
  </si>
  <si>
    <t xml:space="preserve">Jun-20</t>
  </si>
  <si>
    <t xml:space="preserve">Jul-20</t>
  </si>
  <si>
    <t xml:space="preserve">Aug-20</t>
  </si>
  <si>
    <t xml:space="preserve">Sep-20</t>
  </si>
  <si>
    <t xml:space="preserve">Oct-20</t>
  </si>
  <si>
    <t xml:space="preserve">Nov-20</t>
  </si>
  <si>
    <t xml:space="preserve">Dec-20</t>
  </si>
  <si>
    <t xml:space="preserve">Total</t>
  </si>
  <si>
    <t xml:space="preserve">Monthly World Total by Marketing Year (Oct-Sep), mln lbs</t>
  </si>
  <si>
    <t xml:space="preserve">World Total</t>
  </si>
  <si>
    <t xml:space="preserve">Month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</si>
  <si>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</si>
  <si>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</si>
  <si>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</si>
  <si>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</si>
  <si>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</si>
  <si>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2025/26</t>
  </si>
  <si>
    <t xml:space="preserve">Canada</t>
  </si>
  <si>
    <t xml:space="preserve">Oct</t>
  </si>
  <si>
    <t xml:space="preserve">Chile</t>
  </si>
  <si>
    <t xml:space="preserve">Nov</t>
  </si>
  <si>
    <t xml:space="preserve">Mexico</t>
  </si>
  <si>
    <t xml:space="preserve">Dec</t>
  </si>
  <si>
    <t xml:space="preserve">Brazil</t>
  </si>
  <si>
    <t xml:space="preserve">Jan</t>
  </si>
  <si>
    <t xml:space="preserve">India</t>
  </si>
  <si>
    <t xml:space="preserve">Feb</t>
  </si>
  <si>
    <t xml:space="preserve">France</t>
  </si>
  <si>
    <t xml:space="preserve">Mar</t>
  </si>
  <si>
    <t xml:space="preserve">Aruba</t>
  </si>
  <si>
    <t xml:space="preserve">Apr</t>
  </si>
  <si>
    <t xml:space="preserve">China</t>
  </si>
  <si>
    <t xml:space="preserve">May</t>
  </si>
  <si>
    <t xml:space="preserve">Germany</t>
  </si>
  <si>
    <t xml:space="preserve">Jun</t>
  </si>
  <si>
    <t xml:space="preserve">Netherlands</t>
  </si>
  <si>
    <t xml:space="preserve">Jul</t>
  </si>
  <si>
    <t xml:space="preserve">Peru</t>
  </si>
  <si>
    <t xml:space="preserve">Aug</t>
  </si>
  <si>
    <t xml:space="preserve">Malaysia</t>
  </si>
  <si>
    <t xml:space="preserve">Sep</t>
  </si>
  <si>
    <t xml:space="preserve">Japan</t>
  </si>
  <si>
    <t xml:space="preserve">Argentina</t>
  </si>
  <si>
    <t xml:space="preserve">Spain</t>
  </si>
  <si>
    <t xml:space="preserve">Sweden</t>
  </si>
  <si>
    <t xml:space="preserve">Ecuador</t>
  </si>
  <si>
    <t xml:space="preserve">Jamaica</t>
  </si>
  <si>
    <t xml:space="preserve">Belgium</t>
  </si>
  <si>
    <t xml:space="preserve">United Kingdom</t>
  </si>
  <si>
    <t xml:space="preserve">Vietnam</t>
  </si>
  <si>
    <t xml:space="preserve">Switzerland</t>
  </si>
  <si>
    <t xml:space="preserve">Portugal</t>
  </si>
  <si>
    <t xml:space="preserve">New Zealand</t>
  </si>
  <si>
    <t xml:space="preserve">Italy</t>
  </si>
  <si>
    <t xml:space="preserve">Jan-21</t>
  </si>
  <si>
    <t xml:space="preserve">Feb-21</t>
  </si>
  <si>
    <t xml:space="preserve">Mar-21</t>
  </si>
  <si>
    <t xml:space="preserve">Apr-21</t>
  </si>
  <si>
    <t xml:space="preserve">May-21</t>
  </si>
  <si>
    <t xml:space="preserve">Jun-21</t>
  </si>
  <si>
    <t xml:space="preserve">Jul-21</t>
  </si>
  <si>
    <t xml:space="preserve">Aug-21</t>
  </si>
  <si>
    <t xml:space="preserve">Sep-21</t>
  </si>
  <si>
    <t xml:space="preserve">Oct-21</t>
  </si>
  <si>
    <t xml:space="preserve">Nov-21</t>
  </si>
  <si>
    <t xml:space="preserve">Dec-21</t>
  </si>
  <si>
    <t xml:space="preserve">Colombia</t>
  </si>
  <si>
    <t xml:space="preserve">Paraguay</t>
  </si>
  <si>
    <t xml:space="preserve">Czech Republic</t>
  </si>
  <si>
    <t xml:space="preserve">Morocco</t>
  </si>
  <si>
    <t xml:space="preserve">Greece</t>
  </si>
  <si>
    <t xml:space="preserve">Jan-22</t>
  </si>
  <si>
    <t xml:space="preserve">Feb-22</t>
  </si>
  <si>
    <t xml:space="preserve">Mar-22</t>
  </si>
  <si>
    <t xml:space="preserve">Apr-22</t>
  </si>
  <si>
    <t xml:space="preserve">May-22</t>
  </si>
  <si>
    <t xml:space="preserve">Jun-22</t>
  </si>
  <si>
    <t xml:space="preserve">Jul-22</t>
  </si>
  <si>
    <t xml:space="preserve">Aug-22</t>
  </si>
  <si>
    <t xml:space="preserve">Sep-22</t>
  </si>
  <si>
    <t xml:space="preserve">Oct-22</t>
  </si>
  <si>
    <t xml:space="preserve">Nov-22</t>
  </si>
  <si>
    <t xml:space="preserve">Dec-22</t>
  </si>
  <si>
    <t xml:space="preserve">Australia</t>
  </si>
  <si>
    <t xml:space="preserve">Honduras</t>
  </si>
  <si>
    <t xml:space="preserve">Singapore</t>
  </si>
  <si>
    <t xml:space="preserve">Costa Rica</t>
  </si>
  <si>
    <t xml:space="preserve">Sri Lanka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</si>
  <si>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</si>
  <si>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</si>
  <si>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</si>
  <si>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</si>
  <si>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</si>
  <si>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</si>
  <si>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Jul-23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</si>
  <si>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</si>
  <si>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</si>
  <si>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</si>
  <si>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</si>
  <si>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</si>
  <si>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Indonesia</t>
  </si>
  <si>
    <t xml:space="preserve">Korea, South</t>
  </si>
  <si>
    <t xml:space="preserve">Poland</t>
  </si>
  <si>
    <t xml:space="preserve">Panama</t>
  </si>
  <si>
    <t xml:space="preserve">Ireland</t>
  </si>
  <si>
    <t xml:space="preserve">Thailand</t>
  </si>
  <si>
    <t xml:space="preserve">Philippines</t>
  </si>
  <si>
    <t xml:space="preserve">Belarus</t>
  </si>
  <si>
    <t xml:space="preserve">Denmark</t>
  </si>
  <si>
    <t xml:space="preserve">Austria</t>
  </si>
  <si>
    <t xml:space="preserve">El Salvador</t>
  </si>
  <si>
    <t xml:space="preserve">Guatemala</t>
  </si>
  <si>
    <t xml:space="preserve">Slovenia</t>
  </si>
  <si>
    <t xml:space="preserve">Estonia</t>
  </si>
  <si>
    <t xml:space="preserve">Lithuania</t>
  </si>
  <si>
    <t xml:space="preserve">Taiwan</t>
  </si>
  <si>
    <t xml:space="preserve">Slovakia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</si>
  <si>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</si>
  <si>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</si>
  <si>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</si>
  <si>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</si>
  <si>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</si>
  <si>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</si>
  <si>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</si>
  <si>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</si>
  <si>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</si>
  <si>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</si>
  <si>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</si>
  <si>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</si>
  <si>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South Africa</t>
  </si>
  <si>
    <t xml:space="preserve">Turkey</t>
  </si>
  <si>
    <t xml:space="preserve">Egypt</t>
  </si>
  <si>
    <t xml:space="preserve">Serbia</t>
  </si>
  <si>
    <t xml:space="preserve">Hungary</t>
  </si>
  <si>
    <t xml:space="preserve">Romania</t>
  </si>
  <si>
    <t xml:space="preserve">Trinidad and Tobago</t>
  </si>
  <si>
    <t xml:space="preserve">Ukraine</t>
  </si>
  <si>
    <t xml:space="preserve">Israel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</si>
  <si>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</si>
  <si>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</si>
  <si>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</si>
  <si>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</si>
  <si>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</si>
  <si>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</si>
  <si>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</si>
  <si>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</si>
  <si>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</si>
  <si>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</si>
  <si>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</si>
  <si>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</si>
  <si>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Cambodia</t>
  </si>
  <si>
    <t xml:space="preserve">Nepal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</si>
  <si>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</si>
  <si>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</si>
  <si>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</si>
  <si>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</si>
  <si>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</si>
  <si>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</si>
  <si>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</si>
  <si>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</si>
  <si>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</si>
  <si>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</si>
  <si>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</si>
  <si>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</si>
  <si>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Uruguay</t>
  </si>
  <si>
    <t xml:space="preserve">Pakistan</t>
  </si>
  <si>
    <t xml:space="preserve">US Inedible Tallow Imports - HTS 1502.10.0040 (mln lbs.)</t>
  </si>
  <si>
    <t xml:space="preserve">US Edible Tallow Imports - HTS 1502.10.0020 (mln lbs.)</t>
  </si>
  <si>
    <t xml:space="preserve">Uganda</t>
  </si>
  <si>
    <t xml:space="preserve">Conversion (lbs per kg)</t>
  </si>
  <si>
    <t xml:space="preserve">Source: U.S. Census Bureau, USA Trade Online, HS district-level imports, General Imports (Quantity 1 Gen, kg), all districts. Accessed Oct 7, 2026.</t>
  </si>
  <si>
    <t xml:space="preserve">HS Code</t>
  </si>
  <si>
    <t xml:space="preserve">Country</t>
  </si>
  <si>
    <t xml:space="preserve">Date</t>
  </si>
  <si>
    <t xml:space="preserve">Year</t>
  </si>
  <si>
    <t xml:space="preserve">Quantity (kg)</t>
  </si>
  <si>
    <t xml:space="preserve">Quantity (mln lbs)</t>
  </si>
  <si>
    <t xml:space="preserve">1502100020</t>
  </si>
  <si>
    <t xml:space="preserve">Edible Tallow</t>
  </si>
  <si>
    <t xml:space="preserve">1502100040</t>
  </si>
  <si>
    <t xml:space="preserve">Inedible Tallow</t>
  </si>
  <si>
    <t xml:space="preserve">1518004000</t>
  </si>
  <si>
    <t xml:space="preserve">UCO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</si>
</sst>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0"/>
    <numFmt numFmtId="166" formatCode="mmm\-yy"/>
    <numFmt numFmtId="167" formatCode="#,##0"/>
    <numFmt numFmtId="168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US Imports of UCO (mln lbs.)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UCO!R4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UCO!$R$5:$R$16</c:f>
              <c:numCache>
                <c:formatCode>#,##0;\-#,##0;0</c:formatCode>
                <c:ptCount val="12"/>
                <c:pt idx="0">
                  <c:v>11.5087584035042</c:v>
                </c:pt>
                <c:pt idx="1">
                  <c:v>16.0370532687841</c:v>
                </c:pt>
                <c:pt idx="2">
                  <c:v>14.5909905847924</c:v>
                </c:pt>
                <c:pt idx="3">
                  <c:v>16.636858331643</c:v>
                </c:pt>
                <c:pt idx="4">
                  <c:v>18.960098469039</c:v>
                </c:pt>
                <c:pt idx="5">
                  <c:v>28.0031187473613</c:v>
                </c:pt>
                <c:pt idx="6">
                  <c:v>19.7551956176092</c:v>
                </c:pt>
                <c:pt idx="7">
                  <c:v>23.5162068533162</c:v>
                </c:pt>
                <c:pt idx="8">
                  <c:v>18.1414162676603</c:v>
                </c:pt>
                <c:pt idx="9">
                  <c:v>19.5810899552939</c:v>
                </c:pt>
                <c:pt idx="10">
                  <c:v>21.508920002348</c:v>
                </c:pt>
                <c:pt idx="11">
                  <c:v>17.57496714507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UCO!S4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UCO!$S$5:$S$16</c:f>
              <c:numCache>
                <c:formatCode>#,##0;\-#,##0;0</c:formatCode>
                <c:ptCount val="12"/>
                <c:pt idx="0">
                  <c:v>29.9719150919747</c:v>
                </c:pt>
                <c:pt idx="1">
                  <c:v>42.3016462997617</c:v>
                </c:pt>
                <c:pt idx="2">
                  <c:v>27.7010986759036</c:v>
                </c:pt>
                <c:pt idx="3">
                  <c:v>53.6674856325593</c:v>
                </c:pt>
                <c:pt idx="4">
                  <c:v>26.844549876372</c:v>
                </c:pt>
                <c:pt idx="5">
                  <c:v>48.0997707258879</c:v>
                </c:pt>
                <c:pt idx="6">
                  <c:v>44.9640962876235</c:v>
                </c:pt>
                <c:pt idx="7">
                  <c:v>62.5826113433428</c:v>
                </c:pt>
                <c:pt idx="8">
                  <c:v>80.1141694689886</c:v>
                </c:pt>
                <c:pt idx="9">
                  <c:v>51.0147977136671</c:v>
                </c:pt>
                <c:pt idx="10">
                  <c:v>108.406239284905</c:v>
                </c:pt>
                <c:pt idx="11">
                  <c:v>38.3431383557216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UCO!T4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UCO!$T$5:$T$16</c:f>
              <c:numCache>
                <c:formatCode>#,##0;\-#,##0;0</c:formatCode>
                <c:ptCount val="12"/>
                <c:pt idx="0">
                  <c:v>138.19785592962</c:v>
                </c:pt>
                <c:pt idx="1">
                  <c:v>102.395911112936</c:v>
                </c:pt>
                <c:pt idx="2">
                  <c:v>116.118201018305</c:v>
                </c:pt>
                <c:pt idx="3">
                  <c:v>140.082759769604</c:v>
                </c:pt>
                <c:pt idx="4">
                  <c:v>204.014551655821</c:v>
                </c:pt>
                <c:pt idx="5">
                  <c:v>226.363587200678</c:v>
                </c:pt>
                <c:pt idx="6">
                  <c:v>136.871191197582</c:v>
                </c:pt>
                <c:pt idx="7">
                  <c:v>272.966699153402</c:v>
                </c:pt>
                <c:pt idx="8">
                  <c:v>205.255295630417</c:v>
                </c:pt>
                <c:pt idx="9">
                  <c:v>122.481363608543</c:v>
                </c:pt>
                <c:pt idx="10">
                  <c:v>286.870843969603</c:v>
                </c:pt>
                <c:pt idx="11">
                  <c:v>382.930738010643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UCO!U4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UCO!$U$5:$U$16</c:f>
              <c:numCache>
                <c:formatCode>#,##0;\-#,##0;0</c:formatCode>
                <c:ptCount val="12"/>
                <c:pt idx="0">
                  <c:v>414.549164484633</c:v>
                </c:pt>
                <c:pt idx="1">
                  <c:v>241.004347141158</c:v>
                </c:pt>
                <c:pt idx="2">
                  <c:v>392.992651089124</c:v>
                </c:pt>
                <c:pt idx="3">
                  <c:v>492.76874520646</c:v>
                </c:pt>
                <c:pt idx="4">
                  <c:v>183.957516745809</c:v>
                </c:pt>
                <c:pt idx="5">
                  <c:v>634.560539455635</c:v>
                </c:pt>
                <c:pt idx="6">
                  <c:v>274.415848309065</c:v>
                </c:pt>
                <c:pt idx="7">
                  <c:v>307.47081349732</c:v>
                </c:pt>
                <c:pt idx="8">
                  <c:v>370.339677451129</c:v>
                </c:pt>
                <c:pt idx="9">
                  <c:v>436.63988660151</c:v>
                </c:pt>
                <c:pt idx="10">
                  <c:v>540.755917036559</c:v>
                </c:pt>
                <c:pt idx="11">
                  <c:v>691.840993710221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UCO!V4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UCO!$V$5:$V$16</c:f>
              <c:numCache>
                <c:formatCode>#,##0;\-#,##0;0</c:formatCode>
                <c:ptCount val="12"/>
                <c:pt idx="0">
                  <c:v>500.297273519231</c:v>
                </c:pt>
                <c:pt idx="1">
                  <c:v>612.529300261718</c:v>
                </c:pt>
                <c:pt idx="2">
                  <c:v>381.093385675989</c:v>
                </c:pt>
                <c:pt idx="3">
                  <c:v>605.533265473916</c:v>
                </c:pt>
                <c:pt idx="4">
                  <c:v>455.012157722394</c:v>
                </c:pt>
                <c:pt idx="5">
                  <c:v>509.651491712985</c:v>
                </c:pt>
                <c:pt idx="6">
                  <c:v>213.540333582008</c:v>
                </c:pt>
                <c:pt idx="7">
                  <c:v>468.513987570201</c:v>
                </c:pt>
                <c:pt idx="8">
                  <c:v>206.360428858298</c:v>
                </c:pt>
                <c:pt idx="9">
                  <c:v>443.719004797439</c:v>
                </c:pt>
                <c:pt idx="10">
                  <c:v>361.874047837469</c:v>
                </c:pt>
                <c:pt idx="11">
                  <c:v>388.754475742389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UCO!W4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f59240"/>
            </a:solidFill>
            <a:ln w="3816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UCO!$Q$5:$Q$16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UCO!$W$5:$W$16</c:f>
              <c:numCache>
                <c:formatCode>#,##0;\-#,##0;0</c:formatCode>
                <c:ptCount val="12"/>
                <c:pt idx="0">
                  <c:v>282.682292473463</c:v>
                </c:pt>
                <c:pt idx="1">
                  <c:v>448.922072917834</c:v>
                </c:pt>
                <c:pt idx="2">
                  <c:v>395.608131592028</c:v>
                </c:pt>
                <c:pt idx="3">
                  <c:v>108.592097790418</c:v>
                </c:pt>
                <c:pt idx="4">
                  <c:v>232.935033717738</c:v>
                </c:pt>
                <c:pt idx="5">
                  <c:v>173.025805085839</c:v>
                </c:pt>
                <c:pt idx="6">
                  <c:v>230.187057599884</c:v>
                </c:pt>
                <c:pt idx="7">
                  <c:v>318.229680539115</c:v>
                </c:pt>
                <c:pt idx="8">
                  <c:v>406.815709885293</c:v>
                </c:pt>
                <c:pt idx="9">
                  <c:v>746.006695395224</c:v>
                </c:pt>
                <c:pt idx="10">
                  <c:v>586.760425445754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787092"/>
        <c:axId val="91002958"/>
      </c:lineChart>
      <c:catAx>
        <c:axId val="58787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02958"/>
        <c:crosses val="autoZero"/>
        <c:auto val="1"/>
        <c:lblAlgn val="ctr"/>
        <c:lblOffset val="100"/>
        <c:noMultiLvlLbl val="0"/>
      </c:catAx>
      <c:valAx>
        <c:axId val="91002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mln 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87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US Imports of Inedible Tallow (mln lbs.)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'Inedible Tallow'!R4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Tallow'!$R$5:$R$16</c:f>
              <c:numCache>
                <c:formatCode>#,##0;\-#,##0;0</c:formatCode>
                <c:ptCount val="12"/>
                <c:pt idx="0">
                  <c:v>39.9608088645981</c:v>
                </c:pt>
                <c:pt idx="1">
                  <c:v>43.2556173729529</c:v>
                </c:pt>
                <c:pt idx="2">
                  <c:v>40.340722662531</c:v>
                </c:pt>
                <c:pt idx="3">
                  <c:v>35.7867196928577</c:v>
                </c:pt>
                <c:pt idx="4">
                  <c:v>30.984383621814</c:v>
                </c:pt>
                <c:pt idx="5">
                  <c:v>35.1394954020255</c:v>
                </c:pt>
                <c:pt idx="6">
                  <c:v>43.7617303836284</c:v>
                </c:pt>
                <c:pt idx="7">
                  <c:v>54.2607694217027</c:v>
                </c:pt>
                <c:pt idx="8">
                  <c:v>71.898488945081</c:v>
                </c:pt>
                <c:pt idx="9">
                  <c:v>43.048318912443</c:v>
                </c:pt>
                <c:pt idx="10">
                  <c:v>67.4247166018621</c:v>
                </c:pt>
                <c:pt idx="11">
                  <c:v>111.9123740993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'Inedible Tallow'!S4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Tallow'!$S$5:$S$16</c:f>
              <c:numCache>
                <c:formatCode>#,##0;\-#,##0;0</c:formatCode>
                <c:ptCount val="12"/>
                <c:pt idx="0">
                  <c:v>63.6754956879368</c:v>
                </c:pt>
                <c:pt idx="1">
                  <c:v>67.2934335293536</c:v>
                </c:pt>
                <c:pt idx="2">
                  <c:v>77.2555764110835</c:v>
                </c:pt>
                <c:pt idx="3">
                  <c:v>71.8608935155106</c:v>
                </c:pt>
                <c:pt idx="4">
                  <c:v>30.7510595912531</c:v>
                </c:pt>
                <c:pt idx="5">
                  <c:v>76.3179967070858</c:v>
                </c:pt>
                <c:pt idx="6">
                  <c:v>116.678666795099</c:v>
                </c:pt>
                <c:pt idx="7">
                  <c:v>69.7092149059244</c:v>
                </c:pt>
                <c:pt idx="8">
                  <c:v>107.935424487028</c:v>
                </c:pt>
                <c:pt idx="9">
                  <c:v>75.7085442156337</c:v>
                </c:pt>
                <c:pt idx="10">
                  <c:v>73.3685401278211</c:v>
                </c:pt>
                <c:pt idx="11">
                  <c:v>110.549884249658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'Inedible Tallow'!T4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Tallow'!$T$5:$T$16</c:f>
              <c:numCache>
                <c:formatCode>#,##0;\-#,##0;0</c:formatCode>
                <c:ptCount val="12"/>
                <c:pt idx="0">
                  <c:v>121.226763580769</c:v>
                </c:pt>
                <c:pt idx="1">
                  <c:v>158.688266736145</c:v>
                </c:pt>
                <c:pt idx="2">
                  <c:v>135.887411421921</c:v>
                </c:pt>
                <c:pt idx="3">
                  <c:v>103.966371832988</c:v>
                </c:pt>
                <c:pt idx="4">
                  <c:v>62.7848920827654</c:v>
                </c:pt>
                <c:pt idx="5">
                  <c:v>140.569231797341</c:v>
                </c:pt>
                <c:pt idx="6">
                  <c:v>135.70062036104</c:v>
                </c:pt>
                <c:pt idx="7">
                  <c:v>93.2088231555206</c:v>
                </c:pt>
                <c:pt idx="8">
                  <c:v>132.718286244615</c:v>
                </c:pt>
                <c:pt idx="9">
                  <c:v>132.69662141811</c:v>
                </c:pt>
                <c:pt idx="10">
                  <c:v>116.094576282289</c:v>
                </c:pt>
                <c:pt idx="11">
                  <c:v>153.10216748143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'Inedible Tallow'!U4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Tallow'!$U$5:$U$16</c:f>
              <c:numCache>
                <c:formatCode>#,##0;\-#,##0;0</c:formatCode>
                <c:ptCount val="12"/>
                <c:pt idx="0">
                  <c:v>166.254593303767</c:v>
                </c:pt>
                <c:pt idx="1">
                  <c:v>264.017187943586</c:v>
                </c:pt>
                <c:pt idx="2">
                  <c:v>197.243075319035</c:v>
                </c:pt>
                <c:pt idx="3">
                  <c:v>216.560124236778</c:v>
                </c:pt>
                <c:pt idx="4">
                  <c:v>164.072530585207</c:v>
                </c:pt>
                <c:pt idx="5">
                  <c:v>131.5541793616</c:v>
                </c:pt>
                <c:pt idx="6">
                  <c:v>117.915418198127</c:v>
                </c:pt>
                <c:pt idx="7">
                  <c:v>189.486295812356</c:v>
                </c:pt>
                <c:pt idx="8">
                  <c:v>81.442315707428</c:v>
                </c:pt>
                <c:pt idx="9">
                  <c:v>189.767142688154</c:v>
                </c:pt>
                <c:pt idx="10">
                  <c:v>124.631218995221</c:v>
                </c:pt>
                <c:pt idx="11">
                  <c:v>205.087179927766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'Inedible Tallow'!V4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Tallow'!$V$5:$V$16</c:f>
              <c:numCache>
                <c:formatCode>#,##0;\-#,##0;0</c:formatCode>
                <c:ptCount val="12"/>
                <c:pt idx="0">
                  <c:v>102.948625436592</c:v>
                </c:pt>
                <c:pt idx="1">
                  <c:v>228.669379954644</c:v>
                </c:pt>
                <c:pt idx="2">
                  <c:v>178.404297232877</c:v>
                </c:pt>
                <c:pt idx="3">
                  <c:v>175.644671889089</c:v>
                </c:pt>
                <c:pt idx="4">
                  <c:v>131.335489616003</c:v>
                </c:pt>
                <c:pt idx="5">
                  <c:v>165.390826569772</c:v>
                </c:pt>
                <c:pt idx="6">
                  <c:v>245.557349212161</c:v>
                </c:pt>
                <c:pt idx="7">
                  <c:v>209.513259669806</c:v>
                </c:pt>
                <c:pt idx="8">
                  <c:v>143.797015368747</c:v>
                </c:pt>
                <c:pt idx="9">
                  <c:v>354.467441769555</c:v>
                </c:pt>
                <c:pt idx="10">
                  <c:v>38.87888590368</c:v>
                </c:pt>
                <c:pt idx="11">
                  <c:v>218.013986875606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'Inedible Tallow'!W4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f59240"/>
            </a:solidFill>
            <a:ln w="3816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'Inedible Tallow'!$W$5:$W$16</c:f>
              <c:numCache>
                <c:formatCode>#,##0;\-#,##0;0</c:formatCode>
                <c:ptCount val="12"/>
                <c:pt idx="0">
                  <c:v>219.129781658486</c:v>
                </c:pt>
                <c:pt idx="1">
                  <c:v>123.499061503242</c:v>
                </c:pt>
                <c:pt idx="2">
                  <c:v>216.041727068854</c:v>
                </c:pt>
                <c:pt idx="3">
                  <c:v>100.083213480917</c:v>
                </c:pt>
                <c:pt idx="4">
                  <c:v>144.17394410765</c:v>
                </c:pt>
                <c:pt idx="5">
                  <c:v>99.8848437420258</c:v>
                </c:pt>
                <c:pt idx="6">
                  <c:v>198.474989780031</c:v>
                </c:pt>
                <c:pt idx="7">
                  <c:v>203.081184985654</c:v>
                </c:pt>
                <c:pt idx="8">
                  <c:v>153.985553152137</c:v>
                </c:pt>
                <c:pt idx="9">
                  <c:v>270.562813920499</c:v>
                </c:pt>
                <c:pt idx="10">
                  <c:v>249.720737145695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68218"/>
        <c:axId val="60317075"/>
      </c:lineChart>
      <c:catAx>
        <c:axId val="1468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17075"/>
        <c:crosses val="autoZero"/>
        <c:auto val="1"/>
        <c:lblAlgn val="ctr"/>
        <c:lblOffset val="100"/>
        <c:noMultiLvlLbl val="0"/>
      </c:catAx>
      <c:valAx>
        <c:axId val="60317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mln 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8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US Imports of Edible Tallow (mln lbs.)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'Edible Tallow'!R4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Tallow'!$R$5:$R$16</c:f>
              <c:numCache>
                <c:formatCode>#,##0;\-#,##0;0</c:formatCode>
                <c:ptCount val="12"/>
                <c:pt idx="0">
                  <c:v>4.01611252852646</c:v>
                </c:pt>
                <c:pt idx="1">
                  <c:v>2.07476594017779</c:v>
                </c:pt>
                <c:pt idx="2">
                  <c:v>2.03573089203532</c:v>
                </c:pt>
                <c:pt idx="3">
                  <c:v>0.284517572462852</c:v>
                </c:pt>
                <c:pt idx="4">
                  <c:v>1.82143716394625</c:v>
                </c:pt>
                <c:pt idx="5">
                  <c:v>1.94539648010501</c:v>
                </c:pt>
                <c:pt idx="6">
                  <c:v>1.12853529701191</c:v>
                </c:pt>
                <c:pt idx="7">
                  <c:v>0.671453093446367</c:v>
                </c:pt>
                <c:pt idx="8">
                  <c:v>0.472479287956539</c:v>
                </c:pt>
                <c:pt idx="9">
                  <c:v>0.922085616211384</c:v>
                </c:pt>
                <c:pt idx="10">
                  <c:v>3.30911650917063</c:v>
                </c:pt>
                <c:pt idx="11">
                  <c:v>4.59194011575009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'Edible Tallow'!S4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Tallow'!$S$5:$S$16</c:f>
              <c:numCache>
                <c:formatCode>#,##0;\-#,##0;0</c:formatCode>
                <c:ptCount val="12"/>
                <c:pt idx="0">
                  <c:v>5.30919424416539</c:v>
                </c:pt>
                <c:pt idx="1">
                  <c:v>6.70333145154467</c:v>
                </c:pt>
                <c:pt idx="2">
                  <c:v>3.21175596494449</c:v>
                </c:pt>
                <c:pt idx="3">
                  <c:v>1.61560918672509</c:v>
                </c:pt>
                <c:pt idx="4">
                  <c:v>0.887889714723869</c:v>
                </c:pt>
                <c:pt idx="5">
                  <c:v>2.40307393177845</c:v>
                </c:pt>
                <c:pt idx="6">
                  <c:v>5.36085957530844</c:v>
                </c:pt>
                <c:pt idx="7">
                  <c:v>7.97764521480379</c:v>
                </c:pt>
                <c:pt idx="8">
                  <c:v>6.8191446871157</c:v>
                </c:pt>
                <c:pt idx="9">
                  <c:v>6.03972681463209</c:v>
                </c:pt>
                <c:pt idx="10">
                  <c:v>11.6418801312794</c:v>
                </c:pt>
                <c:pt idx="11">
                  <c:v>9.90570233798795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'Edible Tallow'!T4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Tallow'!$T$5:$T$16</c:f>
              <c:numCache>
                <c:formatCode>#,##0;\-#,##0;0</c:formatCode>
                <c:ptCount val="12"/>
                <c:pt idx="0">
                  <c:v>9.6390840965919</c:v>
                </c:pt>
                <c:pt idx="1">
                  <c:v>6.38464884231101</c:v>
                </c:pt>
                <c:pt idx="2">
                  <c:v>4.07246488736357</c:v>
                </c:pt>
                <c:pt idx="3">
                  <c:v>5.83886364755534</c:v>
                </c:pt>
                <c:pt idx="4">
                  <c:v>2.26183037426439</c:v>
                </c:pt>
                <c:pt idx="5">
                  <c:v>1.66936450011366</c:v>
                </c:pt>
                <c:pt idx="6">
                  <c:v>1.40401612134779</c:v>
                </c:pt>
                <c:pt idx="7">
                  <c:v>2.13240138938082</c:v>
                </c:pt>
                <c:pt idx="8">
                  <c:v>3.28552263787159</c:v>
                </c:pt>
                <c:pt idx="9">
                  <c:v>3.37031903777581</c:v>
                </c:pt>
                <c:pt idx="10">
                  <c:v>2.11002887901428</c:v>
                </c:pt>
                <c:pt idx="11">
                  <c:v>2.9097182565058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'Edible Tallow'!U4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Tallow'!$U$5:$U$16</c:f>
              <c:numCache>
                <c:formatCode>#,##0;\-#,##0;0</c:formatCode>
                <c:ptCount val="12"/>
                <c:pt idx="0">
                  <c:v>1.26133514988428</c:v>
                </c:pt>
                <c:pt idx="1">
                  <c:v>5.10491170740215</c:v>
                </c:pt>
                <c:pt idx="2">
                  <c:v>1.5580376715781</c:v>
                </c:pt>
                <c:pt idx="3">
                  <c:v>1.34462358791516</c:v>
                </c:pt>
                <c:pt idx="4">
                  <c:v>4.69275750824729</c:v>
                </c:pt>
                <c:pt idx="5">
                  <c:v>1.94886876073443</c:v>
                </c:pt>
                <c:pt idx="6">
                  <c:v>1.02674125669323</c:v>
                </c:pt>
                <c:pt idx="7">
                  <c:v>2.33574916615239</c:v>
                </c:pt>
                <c:pt idx="8">
                  <c:v>1.4947848439346</c:v>
                </c:pt>
                <c:pt idx="9">
                  <c:v>2.83304148171786</c:v>
                </c:pt>
                <c:pt idx="10">
                  <c:v>1.46993654236373</c:v>
                </c:pt>
                <c:pt idx="11">
                  <c:v>1.11612327165089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'Edible Tallow'!V4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Tallow'!$V$5:$V$16</c:f>
              <c:numCache>
                <c:formatCode>#,##0;\-#,##0;0</c:formatCode>
                <c:ptCount val="12"/>
                <c:pt idx="0">
                  <c:v>1.27809689567821</c:v>
                </c:pt>
                <c:pt idx="1">
                  <c:v>1.50285155810795</c:v>
                </c:pt>
                <c:pt idx="2">
                  <c:v>1.1931902646429</c:v>
                </c:pt>
                <c:pt idx="3">
                  <c:v>1.49254715197342</c:v>
                </c:pt>
                <c:pt idx="4">
                  <c:v>1.41647223916125</c:v>
                </c:pt>
                <c:pt idx="5">
                  <c:v>1.66899632813581</c:v>
                </c:pt>
                <c:pt idx="6">
                  <c:v>1.64248794573069</c:v>
                </c:pt>
                <c:pt idx="7">
                  <c:v>1.33929942428339</c:v>
                </c:pt>
                <c:pt idx="8">
                  <c:v>3.35202728388232</c:v>
                </c:pt>
                <c:pt idx="9">
                  <c:v>3.31597288552458</c:v>
                </c:pt>
                <c:pt idx="10">
                  <c:v>4.39729177984433</c:v>
                </c:pt>
                <c:pt idx="11">
                  <c:v>3.0067723581875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'Edible Tallow'!W4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f59240"/>
            </a:solidFill>
            <a:ln w="3816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'Edible Tallow'!$Q$5:$Q$16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'Edible Tallow'!$W$5:$W$16</c:f>
              <c:numCache>
                <c:formatCode>#,##0;\-#,##0;0</c:formatCode>
                <c:ptCount val="12"/>
                <c:pt idx="0">
                  <c:v>5.09183168138671</c:v>
                </c:pt>
                <c:pt idx="1">
                  <c:v>7.87954171275409</c:v>
                </c:pt>
                <c:pt idx="2">
                  <c:v>4.7555275235366</c:v>
                </c:pt>
                <c:pt idx="3">
                  <c:v>6.45933043362618</c:v>
                </c:pt>
                <c:pt idx="4">
                  <c:v>6.03344364015982</c:v>
                </c:pt>
                <c:pt idx="5">
                  <c:v>6.91497301861965</c:v>
                </c:pt>
                <c:pt idx="6">
                  <c:v>4.98785286004978</c:v>
                </c:pt>
                <c:pt idx="7">
                  <c:v>5.06435987889584</c:v>
                </c:pt>
                <c:pt idx="8">
                  <c:v>5.65612909229806</c:v>
                </c:pt>
                <c:pt idx="9">
                  <c:v>5.91326525179753</c:v>
                </c:pt>
                <c:pt idx="10">
                  <c:v>5.07759863774005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986235"/>
        <c:axId val="38777195"/>
      </c:lineChart>
      <c:catAx>
        <c:axId val="13986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77195"/>
        <c:crosses val="autoZero"/>
        <c:auto val="1"/>
        <c:lblAlgn val="ctr"/>
        <c:lblOffset val="100"/>
        <c:noMultiLvlLbl val="0"/>
      </c:catAx>
      <c:valAx>
        <c:axId val="38777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mln 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86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17</xdr:row>
      <xdr:rowOff>0</xdr:rowOff>
    </xdr:from>
    <xdr:to>
      <xdr:col>26</xdr:col>
      <xdr:colOff>482760</xdr:colOff>
      <xdr:row>34</xdr:row>
      <xdr:rowOff>1080</xdr:rowOff>
    </xdr:to>
    <xdr:graphicFrame>
      <xdr:nvGraphicFramePr>
        <xdr:cNvPr id="0" name="Chart 1"/>
        <xdr:cNvGraphicFramePr/>
      </xdr:nvGraphicFramePr>
      <xdr:xfrm>
        <a:off x="10284480" y="3238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17</xdr:row>
      <xdr:rowOff>0</xdr:rowOff>
    </xdr:from>
    <xdr:to>
      <xdr:col>26</xdr:col>
      <xdr:colOff>482760</xdr:colOff>
      <xdr:row>34</xdr:row>
      <xdr:rowOff>1080</xdr:rowOff>
    </xdr:to>
    <xdr:graphicFrame>
      <xdr:nvGraphicFramePr>
        <xdr:cNvPr id="1" name="Chart 1"/>
        <xdr:cNvGraphicFramePr/>
      </xdr:nvGraphicFramePr>
      <xdr:xfrm>
        <a:off x="10284480" y="3238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17</xdr:row>
      <xdr:rowOff>0</xdr:rowOff>
    </xdr:from>
    <xdr:to>
      <xdr:col>26</xdr:col>
      <xdr:colOff>482760</xdr:colOff>
      <xdr:row>34</xdr:row>
      <xdr:rowOff>1080</xdr:rowOff>
    </xdr:to>
    <xdr:graphicFrame>
      <xdr:nvGraphicFramePr>
        <xdr:cNvPr id="2" name="Chart 1"/>
        <xdr:cNvGraphicFramePr/>
      </xdr:nvGraphicFramePr>
      <xdr:xfrm>
        <a:off x="10284480" y="3238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false" outlineLevel="0" collapsed="false">
      <c r="A4" s="4" t="s">
        <v>9</v>
      </c>
      <c r="B4" s="5" t="n">
        <f aca="false">UCO!N4</f>
        <v>181.770121045126</v>
      </c>
      <c r="C4" s="5" t="n">
        <f aca="false">UCO!N32</f>
        <v>283.652531456981</v>
      </c>
      <c r="D4" s="5" t="n">
        <f aca="false">UCO!N60</f>
        <v>870.748826749928</v>
      </c>
      <c r="E4" s="5" t="n">
        <f aca="false">UCO!N92</f>
        <v>3026.38319291121</v>
      </c>
      <c r="F4" s="5" t="n">
        <f aca="false">UCO!N140</f>
        <v>5426.66989747065</v>
      </c>
      <c r="G4" s="5" t="n">
        <f aca="false">UCO!N189</f>
        <v>4780.17169028043</v>
      </c>
      <c r="H4" s="5" t="n">
        <f aca="false">UCO!N232</f>
        <v>2802.55250545927</v>
      </c>
    </row>
    <row r="5" customFormat="false" ht="15" hidden="false" customHeight="false" outlineLevel="0" collapsed="false">
      <c r="A5" s="4" t="s">
        <v>10</v>
      </c>
      <c r="B5" s="5" t="n">
        <f aca="false">'Inedible Tallow'!N4</f>
        <v>511.706464551264</v>
      </c>
      <c r="C5" s="5" t="n">
        <f aca="false">'Inedible Tallow'!N14</f>
        <v>702.441502709089</v>
      </c>
      <c r="D5" s="5" t="n">
        <f aca="false">'Inedible Tallow'!N25</f>
        <v>1148.68266633385</v>
      </c>
      <c r="E5" s="5" t="n">
        <f aca="false">'Inedible Tallow'!N36</f>
        <v>1698.35644722249</v>
      </c>
      <c r="F5" s="5" t="n">
        <f aca="false">'Inedible Tallow'!N54</f>
        <v>1930.53870813675</v>
      </c>
      <c r="G5" s="5" t="n">
        <f aca="false">'Inedible Tallow'!N75</f>
        <v>2241.269497105</v>
      </c>
      <c r="H5" s="5" t="n">
        <f aca="false">'Inedible Tallow'!N96</f>
        <v>1419.96728031461</v>
      </c>
    </row>
    <row r="6" customFormat="false" ht="15" hidden="false" customHeight="false" outlineLevel="0" collapsed="false">
      <c r="A6" s="4" t="s">
        <v>11</v>
      </c>
      <c r="B6" s="5" t="n">
        <f aca="false">'Edible Tallow'!N4</f>
        <v>24.0950084764567</v>
      </c>
      <c r="C6" s="5" t="n">
        <f aca="false">'Edible Tallow'!N9</f>
        <v>30.3712427967156</v>
      </c>
      <c r="D6" s="5" t="n">
        <f aca="false">'Edible Tallow'!N13</f>
        <v>72.7477294206213</v>
      </c>
      <c r="E6" s="5" t="n">
        <f aca="false">'Edible Tallow'!N18</f>
        <v>32.906349372694</v>
      </c>
      <c r="F6" s="5" t="n">
        <f aca="false">'Edible Tallow'!N23</f>
        <v>22.2367651378386</v>
      </c>
      <c r="G6" s="5" t="n">
        <f aca="false">'Edible Tallow'!N30</f>
        <v>39.3587683144007</v>
      </c>
      <c r="H6" s="5" t="n">
        <f aca="false">'Edible Tallow'!N37</f>
        <v>46.1069528131869</v>
      </c>
    </row>
    <row r="9" customFormat="false" ht="15" hidden="false" customHeight="false" outlineLevel="0" collapsed="false">
      <c r="A9" s="6" t="s">
        <v>12</v>
      </c>
    </row>
    <row r="10" customFormat="false" ht="15" hidden="false" customHeight="false" outlineLevel="0" collapsed="false">
      <c r="A10" s="4" t="s">
        <v>13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4" t="s">
        <v>15</v>
      </c>
    </row>
    <row r="13" customFormat="false" ht="15" hidden="false" customHeight="false" outlineLevel="0" collapsed="false">
      <c r="A13" s="4" t="s">
        <v>16</v>
      </c>
    </row>
    <row r="14" customFormat="false" ht="15" hidden="false" customHeight="false" outlineLevel="0" collapsed="false">
      <c r="A14" s="4" t="s">
        <v>17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8.5"/>
    <col collapsed="false" customWidth="true" hidden="false" outlineLevel="0" max="17" min="17" style="0" width="7"/>
  </cols>
  <sheetData>
    <row r="1" customFormat="false" ht="15" hidden="false" customHeight="false" outlineLevel="0" collapsed="false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15" hidden="false" customHeight="false" outlineLevel="0" collapsed="false">
      <c r="A3" s="8"/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Q3" s="6" t="s">
        <v>34</v>
      </c>
    </row>
    <row r="4" customFormat="false" ht="15" hidden="false" customHeight="false" outlineLevel="0" collapsed="false">
      <c r="A4" s="10" t="s">
        <v>35</v>
      </c>
      <c r="B4" s="10" t="n">
        <f aca="false">SUM(B5:B29)</f>
        <v>17.5569156950423</v>
      </c>
      <c r="C4" s="10" t="n">
        <f aca="false">SUM(C5:C29)</f>
        <v>12.681357492859</v>
      </c>
      <c r="D4" s="10" t="n">
        <f aca="false">SUM(D5:D29)</f>
        <v>20.5580552424309</v>
      </c>
      <c r="E4" s="10" t="n">
        <f aca="false">SUM(E5:E29)</f>
        <v>16.55678864264</v>
      </c>
      <c r="F4" s="10" t="n">
        <f aca="false">SUM(F5:F29)</f>
        <v>18.6251236986299</v>
      </c>
      <c r="G4" s="10" t="n">
        <f aca="false">SUM(G5:G29)</f>
        <v>16.6804944271973</v>
      </c>
      <c r="H4" s="10" t="n">
        <f aca="false">SUM(H5:H29)</f>
        <v>12.7950410629774</v>
      </c>
      <c r="I4" s="10" t="n">
        <f aca="false">SUM(I5:I29)</f>
        <v>11.8931608130952</v>
      </c>
      <c r="J4" s="10" t="n">
        <f aca="false">SUM(J5:J29)</f>
        <v>12.2863817131736</v>
      </c>
      <c r="K4" s="10" t="n">
        <f aca="false">SUM(K5:K29)</f>
        <v>11.5087584035042</v>
      </c>
      <c r="L4" s="10" t="n">
        <f aca="false">SUM(L5:L29)</f>
        <v>16.0370532687841</v>
      </c>
      <c r="M4" s="10" t="n">
        <f aca="false">SUM(M5:M29)</f>
        <v>14.5909905847924</v>
      </c>
      <c r="N4" s="10" t="n">
        <f aca="false">SUM(B4:M4)</f>
        <v>181.770121045126</v>
      </c>
      <c r="Q4" s="6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</row>
    <row r="5" customFormat="false" ht="15" hidden="false" customHeight="false" outlineLevel="0" collapsed="false">
      <c r="A5" s="11" t="s">
        <v>43</v>
      </c>
      <c r="B5" s="12" t="n">
        <f aca="false">SUMIFS(Data!$H$4:$H$2311,Data!$B$4:$B$2311,"UCO",Data!$C$4:$C$2311,"Canada",Data!$E$4:$E$2311,2020,Data!$F$4:$F$2311,1)</f>
        <v>14.9421803545852</v>
      </c>
      <c r="C5" s="12" t="n">
        <f aca="false">SUMIFS(Data!$H$4:$H$2311,Data!$B$4:$B$2311,"UCO",Data!$C$4:$C$2311,"Canada",Data!$E$4:$E$2311,2020,Data!$F$4:$F$2311,2)</f>
        <v>9.43449952652946</v>
      </c>
      <c r="D5" s="12" t="n">
        <f aca="false">SUMIFS(Data!$H$4:$H$2311,Data!$B$4:$B$2311,"UCO",Data!$C$4:$C$2311,"Canada",Data!$E$4:$E$2311,2020,Data!$F$4:$F$2311,3)</f>
        <v>17.2952313990739</v>
      </c>
      <c r="E5" s="12" t="n">
        <f aca="false">SUMIFS(Data!$H$4:$H$2311,Data!$B$4:$B$2311,"UCO",Data!$C$4:$C$2311,"Canada",Data!$E$4:$E$2311,2020,Data!$F$4:$F$2311,4)</f>
        <v>15.296227315296</v>
      </c>
      <c r="F5" s="12" t="n">
        <f aca="false">SUMIFS(Data!$H$4:$H$2311,Data!$B$4:$B$2311,"UCO",Data!$C$4:$C$2311,"Canada",Data!$E$4:$E$2311,2020,Data!$F$4:$F$2311,5)</f>
        <v>17.3846663249745</v>
      </c>
      <c r="G5" s="12" t="n">
        <f aca="false">SUMIFS(Data!$H$4:$H$2311,Data!$B$4:$B$2311,"UCO",Data!$C$4:$C$2311,"Canada",Data!$E$4:$E$2311,2020,Data!$F$4:$F$2311,6)</f>
        <v>15.5509538222698</v>
      </c>
      <c r="H5" s="12" t="n">
        <f aca="false">SUMIFS(Data!$H$4:$H$2311,Data!$B$4:$B$2311,"UCO",Data!$C$4:$C$2311,"Canada",Data!$E$4:$E$2311,2020,Data!$F$4:$F$2311,7)</f>
        <v>11.3815979752985</v>
      </c>
      <c r="I5" s="12" t="n">
        <f aca="false">SUMIFS(Data!$H$4:$H$2311,Data!$B$4:$B$2311,"UCO",Data!$C$4:$C$2311,"Canada",Data!$E$4:$E$2311,2020,Data!$F$4:$F$2311,8)</f>
        <v>10.2006676170557</v>
      </c>
      <c r="J5" s="12" t="n">
        <f aca="false">SUMIFS(Data!$H$4:$H$2311,Data!$B$4:$B$2311,"UCO",Data!$C$4:$C$2311,"Canada",Data!$E$4:$E$2311,2020,Data!$F$4:$F$2311,9)</f>
        <v>11.0153153590365</v>
      </c>
      <c r="K5" s="12" t="n">
        <f aca="false">SUMIFS(Data!$H$4:$H$2311,Data!$B$4:$B$2311,"UCO",Data!$C$4:$C$2311,"Canada",Data!$E$4:$E$2311,2020,Data!$F$4:$F$2311,10)</f>
        <v>10.415164170426</v>
      </c>
      <c r="L5" s="12" t="n">
        <f aca="false">SUMIFS(Data!$H$4:$H$2311,Data!$B$4:$B$2311,"UCO",Data!$C$4:$C$2311,"Canada",Data!$E$4:$E$2311,2020,Data!$F$4:$F$2311,11)</f>
        <v>14.1811666717488</v>
      </c>
      <c r="M5" s="12" t="n">
        <f aca="false">SUMIFS(Data!$H$4:$H$2311,Data!$B$4:$B$2311,"UCO",Data!$C$4:$C$2311,"Canada",Data!$E$4:$E$2311,2020,Data!$F$4:$F$2311,12)</f>
        <v>12.2220442112002</v>
      </c>
      <c r="N5" s="13" t="n">
        <f aca="false">SUM(B5:M5)</f>
        <v>159.319714747495</v>
      </c>
      <c r="Q5" s="4" t="s">
        <v>44</v>
      </c>
      <c r="R5" s="5" t="n">
        <f aca="false">SUMIFS(Data!$H$4:$H$2311,Data!$B$4:$B$2311,"UCO",Data!$C$4:$C$2311,"World Total",Data!$E$4:$E$2311,2020,Data!$F$4:$F$2311,10)</f>
        <v>11.5087584035042</v>
      </c>
      <c r="S5" s="5" t="n">
        <f aca="false">SUMIFS(Data!$H$4:$H$2311,Data!$B$4:$B$2311,"UCO",Data!$C$4:$C$2311,"World Total",Data!$E$4:$E$2311,2021,Data!$F$4:$F$2311,10)</f>
        <v>29.9719150919747</v>
      </c>
      <c r="T5" s="5" t="n">
        <f aca="false">SUMIFS(Data!$H$4:$H$2311,Data!$B$4:$B$2311,"UCO",Data!$C$4:$C$2311,"World Total",Data!$E$4:$E$2311,2022,Data!$F$4:$F$2311,10)</f>
        <v>138.19785592962</v>
      </c>
      <c r="U5" s="5" t="n">
        <f aca="false">SUMIFS(Data!$H$4:$H$2311,Data!$B$4:$B$2311,"UCO",Data!$C$4:$C$2311,"World Total",Data!$E$4:$E$2311,2023,Data!$F$4:$F$2311,10)</f>
        <v>414.549164484633</v>
      </c>
      <c r="V5" s="5" t="n">
        <f aca="false">SUMIFS(Data!$H$4:$H$2311,Data!$B$4:$B$2311,"UCO",Data!$C$4:$C$2311,"World Total",Data!$E$4:$E$2311,2024,Data!$F$4:$F$2311,10)</f>
        <v>500.297273519231</v>
      </c>
      <c r="W5" s="5" t="n">
        <f aca="false">SUMIFS(Data!$H$4:$H$2311,Data!$B$4:$B$2311,"UCO",Data!$C$4:$C$2311,"World Total",Data!$E$4:$E$2311,2025,Data!$F$4:$F$2311,10)</f>
        <v>282.682292473463</v>
      </c>
    </row>
    <row r="6" customFormat="false" ht="15" hidden="false" customHeight="false" outlineLevel="0" collapsed="false">
      <c r="A6" s="11" t="s">
        <v>45</v>
      </c>
      <c r="B6" s="12" t="n">
        <f aca="false">SUMIFS(Data!$H$4:$H$2311,Data!$B$4:$B$2311,"UCO",Data!$C$4:$C$2311,"Chile",Data!$E$4:$E$2311,2020,Data!$F$4:$F$2311,1)</f>
        <v>1.64647831267624</v>
      </c>
      <c r="C6" s="12" t="n">
        <f aca="false">SUMIFS(Data!$H$4:$H$2311,Data!$B$4:$B$2311,"UCO",Data!$C$4:$C$2311,"Chile",Data!$E$4:$E$2311,2020,Data!$F$4:$F$2311,2)</f>
        <v>2.57055690773777</v>
      </c>
      <c r="D6" s="12" t="n">
        <f aca="false">SUMIFS(Data!$H$4:$H$2311,Data!$B$4:$B$2311,"UCO",Data!$C$4:$C$2311,"Chile",Data!$E$4:$E$2311,2020,Data!$F$4:$F$2311,3)</f>
        <v>2.30088085476521</v>
      </c>
      <c r="E6" s="12" t="n">
        <f aca="false">SUMIFS(Data!$H$4:$H$2311,Data!$B$4:$B$2311,"UCO",Data!$C$4:$C$2311,"Chile",Data!$E$4:$E$2311,2020,Data!$F$4:$F$2311,4)</f>
        <v>0.587686252306555</v>
      </c>
      <c r="F6" s="12" t="n">
        <f aca="false">SUMIFS(Data!$H$4:$H$2311,Data!$B$4:$B$2311,"UCO",Data!$C$4:$C$2311,"Chile",Data!$E$4:$E$2311,2020,Data!$F$4:$F$2311,5)</f>
        <v>0.811984557853574</v>
      </c>
      <c r="G6" s="12" t="n">
        <f aca="false">SUMIFS(Data!$H$4:$H$2311,Data!$B$4:$B$2311,"UCO",Data!$C$4:$C$2311,"Chile",Data!$E$4:$E$2311,2020,Data!$F$4:$F$2311,6)</f>
        <v>0.713173371942257</v>
      </c>
      <c r="H6" s="12" t="n">
        <f aca="false">SUMIFS(Data!$H$4:$H$2311,Data!$B$4:$B$2311,"UCO",Data!$C$4:$C$2311,"Chile",Data!$E$4:$E$2311,2020,Data!$F$4:$F$2311,7)</f>
        <v>0.72988441141588</v>
      </c>
      <c r="I6" s="12" t="n">
        <f aca="false">SUMIFS(Data!$H$4:$H$2311,Data!$B$4:$B$2311,"UCO",Data!$C$4:$C$2311,"Chile",Data!$E$4:$E$2311,2020,Data!$F$4:$F$2311,8)</f>
        <v>0.82056053985257</v>
      </c>
      <c r="J6" s="12" t="n">
        <f aca="false">SUMIFS(Data!$H$4:$H$2311,Data!$B$4:$B$2311,"UCO",Data!$C$4:$C$2311,"Chile",Data!$E$4:$E$2311,2020,Data!$F$4:$F$2311,9)</f>
        <v>0.539978218769721</v>
      </c>
      <c r="K6" s="12" t="n">
        <f aca="false">SUMIFS(Data!$H$4:$H$2311,Data!$B$4:$B$2311,"UCO",Data!$C$4:$C$2311,"Chile",Data!$E$4:$E$2311,2020,Data!$F$4:$F$2311,10)</f>
        <v>0.743949903743283</v>
      </c>
      <c r="L6" s="12" t="n">
        <f aca="false">SUMIFS(Data!$H$4:$H$2311,Data!$B$4:$B$2311,"UCO",Data!$C$4:$C$2311,"Chile",Data!$E$4:$E$2311,2020,Data!$F$4:$F$2311,11)</f>
        <v>0.927903615310447</v>
      </c>
      <c r="M6" s="12" t="n">
        <f aca="false">SUMIFS(Data!$H$4:$H$2311,Data!$B$4:$B$2311,"UCO",Data!$C$4:$C$2311,"Chile",Data!$E$4:$E$2311,2020,Data!$F$4:$F$2311,12)</f>
        <v>1.59526492917066</v>
      </c>
      <c r="N6" s="13" t="n">
        <f aca="false">SUM(B6:M6)</f>
        <v>13.9883018755442</v>
      </c>
      <c r="Q6" s="4" t="s">
        <v>46</v>
      </c>
      <c r="R6" s="5" t="n">
        <f aca="false">SUMIFS(Data!$H$4:$H$2311,Data!$B$4:$B$2311,"UCO",Data!$C$4:$C$2311,"World Total",Data!$E$4:$E$2311,2020,Data!$F$4:$F$2311,11)</f>
        <v>16.0370532687841</v>
      </c>
      <c r="S6" s="5" t="n">
        <f aca="false">SUMIFS(Data!$H$4:$H$2311,Data!$B$4:$B$2311,"UCO",Data!$C$4:$C$2311,"World Total",Data!$E$4:$E$2311,2021,Data!$F$4:$F$2311,11)</f>
        <v>42.3016462997617</v>
      </c>
      <c r="T6" s="5" t="n">
        <f aca="false">SUMIFS(Data!$H$4:$H$2311,Data!$B$4:$B$2311,"UCO",Data!$C$4:$C$2311,"World Total",Data!$E$4:$E$2311,2022,Data!$F$4:$F$2311,11)</f>
        <v>102.395911112936</v>
      </c>
      <c r="U6" s="5" t="n">
        <f aca="false">SUMIFS(Data!$H$4:$H$2311,Data!$B$4:$B$2311,"UCO",Data!$C$4:$C$2311,"World Total",Data!$E$4:$E$2311,2023,Data!$F$4:$F$2311,11)</f>
        <v>241.004347141158</v>
      </c>
      <c r="V6" s="5" t="n">
        <f aca="false">SUMIFS(Data!$H$4:$H$2311,Data!$B$4:$B$2311,"UCO",Data!$C$4:$C$2311,"World Total",Data!$E$4:$E$2311,2024,Data!$F$4:$F$2311,11)</f>
        <v>612.529300261718</v>
      </c>
      <c r="W6" s="5" t="n">
        <f aca="false">SUMIFS(Data!$H$4:$H$2311,Data!$B$4:$B$2311,"UCO",Data!$C$4:$C$2311,"World Total",Data!$E$4:$E$2311,2025,Data!$F$4:$F$2311,11)</f>
        <v>448.922072917834</v>
      </c>
    </row>
    <row r="7" customFormat="false" ht="15" hidden="false" customHeight="false" outlineLevel="0" collapsed="false">
      <c r="A7" s="11" t="s">
        <v>47</v>
      </c>
      <c r="B7" s="12" t="n">
        <f aca="false">SUMIFS(Data!$H$4:$H$2311,Data!$B$4:$B$2311,"UCO",Data!$C$4:$C$2311,"Mexico",Data!$E$4:$E$2311,2020,Data!$F$4:$F$2311,1)</f>
        <v>0.48281235418515</v>
      </c>
      <c r="C7" s="12" t="n">
        <f aca="false">SUMIFS(Data!$H$4:$H$2311,Data!$B$4:$B$2311,"UCO",Data!$C$4:$C$2311,"Mexico",Data!$E$4:$E$2311,2020,Data!$F$4:$F$2311,2)</f>
        <v>0.340151224325237</v>
      </c>
      <c r="D7" s="12" t="n">
        <f aca="false">SUMIFS(Data!$H$4:$H$2311,Data!$B$4:$B$2311,"UCO",Data!$C$4:$C$2311,"Mexico",Data!$E$4:$E$2311,2020,Data!$F$4:$F$2311,3)</f>
        <v>0.506754555858441</v>
      </c>
      <c r="E7" s="12" t="n">
        <f aca="false">SUMIFS(Data!$H$4:$H$2311,Data!$B$4:$B$2311,"UCO",Data!$C$4:$C$2311,"Mexico",Data!$E$4:$E$2311,2020,Data!$F$4:$F$2311,4)</f>
        <v>0.319890742430435</v>
      </c>
      <c r="F7" s="12" t="n">
        <f aca="false">SUMIFS(Data!$H$4:$H$2311,Data!$B$4:$B$2311,"UCO",Data!$C$4:$C$2311,"Mexico",Data!$E$4:$E$2311,2020,Data!$F$4:$F$2311,5)</f>
        <v>0.172798321100603</v>
      </c>
      <c r="G7" s="12" t="n">
        <f aca="false">SUMIFS(Data!$H$4:$H$2311,Data!$B$4:$B$2311,"UCO",Data!$C$4:$C$2311,"Mexico",Data!$E$4:$E$2311,2020,Data!$F$4:$F$2311,6)</f>
        <v>0.161113821204798</v>
      </c>
      <c r="H7" s="12" t="n">
        <f aca="false">SUMIFS(Data!$H$4:$H$2311,Data!$B$4:$B$2311,"UCO",Data!$C$4:$C$2311,"Mexico",Data!$E$4:$E$2311,2020,Data!$F$4:$F$2311,7)</f>
        <v>0.519056350088364</v>
      </c>
      <c r="I7" s="12" t="n">
        <f aca="false">SUMIFS(Data!$H$4:$H$2311,Data!$B$4:$B$2311,"UCO",Data!$C$4:$C$2311,"Mexico",Data!$E$4:$E$2311,2020,Data!$F$4:$F$2311,8)</f>
        <v>0.690531897615857</v>
      </c>
      <c r="J7" s="12" t="n">
        <f aca="false">SUMIFS(Data!$H$4:$H$2311,Data!$B$4:$B$2311,"UCO",Data!$C$4:$C$2311,"Mexico",Data!$E$4:$E$2311,2020,Data!$F$4:$F$2311,9)</f>
        <v>0.176283829465748</v>
      </c>
      <c r="K7" s="12" t="n">
        <f aca="false">SUMIFS(Data!$H$4:$H$2311,Data!$B$4:$B$2311,"UCO",Data!$C$4:$C$2311,"Mexico",Data!$E$4:$E$2311,2020,Data!$F$4:$F$2311,10)</f>
        <v>0.217926946169873</v>
      </c>
      <c r="L7" s="12" t="n">
        <f aca="false">SUMIFS(Data!$H$4:$H$2311,Data!$B$4:$B$2311,"UCO",Data!$C$4:$C$2311,"Mexico",Data!$E$4:$E$2311,2020,Data!$F$4:$F$2311,11)</f>
        <v>0.677149838301228</v>
      </c>
      <c r="M7" s="12" t="n">
        <f aca="false">SUMIFS(Data!$H$4:$H$2311,Data!$B$4:$B$2311,"UCO",Data!$C$4:$C$2311,"Mexico",Data!$E$4:$E$2311,2020,Data!$F$4:$F$2311,12)</f>
        <v>0.270683565510743</v>
      </c>
      <c r="N7" s="13" t="n">
        <f aca="false">SUM(B7:M7)</f>
        <v>4.53515344625648</v>
      </c>
      <c r="Q7" s="4" t="s">
        <v>48</v>
      </c>
      <c r="R7" s="5" t="n">
        <f aca="false">SUMIFS(Data!$H$4:$H$2311,Data!$B$4:$B$2311,"UCO",Data!$C$4:$C$2311,"World Total",Data!$E$4:$E$2311,2020,Data!$F$4:$F$2311,12)</f>
        <v>14.5909905847924</v>
      </c>
      <c r="S7" s="5" t="n">
        <f aca="false">SUMIFS(Data!$H$4:$H$2311,Data!$B$4:$B$2311,"UCO",Data!$C$4:$C$2311,"World Total",Data!$E$4:$E$2311,2021,Data!$F$4:$F$2311,12)</f>
        <v>27.7010986759036</v>
      </c>
      <c r="T7" s="5" t="n">
        <f aca="false">SUMIFS(Data!$H$4:$H$2311,Data!$B$4:$B$2311,"UCO",Data!$C$4:$C$2311,"World Total",Data!$E$4:$E$2311,2022,Data!$F$4:$F$2311,12)</f>
        <v>116.118201018305</v>
      </c>
      <c r="U7" s="5" t="n">
        <f aca="false">SUMIFS(Data!$H$4:$H$2311,Data!$B$4:$B$2311,"UCO",Data!$C$4:$C$2311,"World Total",Data!$E$4:$E$2311,2023,Data!$F$4:$F$2311,12)</f>
        <v>392.992651089124</v>
      </c>
      <c r="V7" s="5" t="n">
        <f aca="false">SUMIFS(Data!$H$4:$H$2311,Data!$B$4:$B$2311,"UCO",Data!$C$4:$C$2311,"World Total",Data!$E$4:$E$2311,2024,Data!$F$4:$F$2311,12)</f>
        <v>381.093385675989</v>
      </c>
      <c r="W7" s="5" t="n">
        <f aca="false">SUMIFS(Data!$H$4:$H$2311,Data!$B$4:$B$2311,"UCO",Data!$C$4:$C$2311,"World Total",Data!$E$4:$E$2311,2025,Data!$F$4:$F$2311,12)</f>
        <v>395.608131592028</v>
      </c>
    </row>
    <row r="8" customFormat="false" ht="15" hidden="false" customHeight="false" outlineLevel="0" collapsed="false">
      <c r="A8" s="11" t="s">
        <v>49</v>
      </c>
      <c r="B8" s="12" t="n">
        <f aca="false">SUMIFS(Data!$H$4:$H$2311,Data!$B$4:$B$2311,"UCO",Data!$C$4:$C$2311,"Brazil",Data!$E$4:$E$2311,2020,Data!$F$4:$F$2311,1)</f>
        <v>0.044092452437</v>
      </c>
      <c r="C8" s="12" t="n">
        <f aca="false">SUMIFS(Data!$H$4:$H$2311,Data!$B$4:$B$2311,"UCO",Data!$C$4:$C$2311,"Brazil",Data!$E$4:$E$2311,2020,Data!$F$4:$F$2311,2)</f>
        <v>0.077690901193994</v>
      </c>
      <c r="D8" s="12" t="n">
        <f aca="false">SUMIFS(Data!$H$4:$H$2311,Data!$B$4:$B$2311,"UCO",Data!$C$4:$C$2311,"Brazil",Data!$E$4:$E$2311,2020,Data!$F$4:$F$2311,3)</f>
        <v>0.176369809748</v>
      </c>
      <c r="E8" s="12" t="n">
        <f aca="false">SUMIFS(Data!$H$4:$H$2311,Data!$B$4:$B$2311,"UCO",Data!$C$4:$C$2311,"Brazil",Data!$E$4:$E$2311,2020,Data!$F$4:$F$2311,4)</f>
        <v>0.100259622973872</v>
      </c>
      <c r="F8" s="12" t="n">
        <f aca="false">SUMIFS(Data!$H$4:$H$2311,Data!$B$4:$B$2311,"UCO",Data!$C$4:$C$2311,"Brazil",Data!$E$4:$E$2311,2020,Data!$F$4:$F$2311,5)</f>
        <v>0.165875806067994</v>
      </c>
      <c r="G8" s="12" t="n">
        <f aca="false">SUMIFS(Data!$H$4:$H$2311,Data!$B$4:$B$2311,"UCO",Data!$C$4:$C$2311,"Brazil",Data!$E$4:$E$2311,2020,Data!$F$4:$F$2311,6)</f>
        <v>0.131373462036042</v>
      </c>
      <c r="H8" s="12" t="n">
        <f aca="false">SUMIFS(Data!$H$4:$H$2311,Data!$B$4:$B$2311,"UCO",Data!$C$4:$C$2311,"Brazil",Data!$E$4:$E$2311,2020,Data!$F$4:$F$2311,7)</f>
        <v>0.0558585233698134</v>
      </c>
      <c r="I8" s="12" t="n">
        <f aca="false">SUMIFS(Data!$H$4:$H$2311,Data!$B$4:$B$2311,"UCO",Data!$C$4:$C$2311,"Brazil",Data!$E$4:$E$2311,2020,Data!$F$4:$F$2311,8)</f>
        <v>0.106099668299153</v>
      </c>
      <c r="J8" s="12" t="n">
        <f aca="false">SUMIFS(Data!$H$4:$H$2311,Data!$B$4:$B$2311,"UCO",Data!$C$4:$C$2311,"Brazil",Data!$E$4:$E$2311,2020,Data!$F$4:$F$2311,9)</f>
        <v>0.310018442329791</v>
      </c>
      <c r="K8" s="12" t="n">
        <f aca="false">SUMIFS(Data!$H$4:$H$2311,Data!$B$4:$B$2311,"UCO",Data!$C$4:$C$2311,"Brazil",Data!$E$4:$E$2311,2020,Data!$F$4:$F$2311,10)</f>
        <v>0</v>
      </c>
      <c r="L8" s="12" t="n">
        <f aca="false">SUMIFS(Data!$H$4:$H$2311,Data!$B$4:$B$2311,"UCO",Data!$C$4:$C$2311,"Brazil",Data!$E$4:$E$2311,2020,Data!$F$4:$F$2311,11)</f>
        <v>0.0443702348873531</v>
      </c>
      <c r="M8" s="12" t="n">
        <f aca="false">SUMIFS(Data!$H$4:$H$2311,Data!$B$4:$B$2311,"UCO",Data!$C$4:$C$2311,"Brazil",Data!$E$4:$E$2311,2020,Data!$F$4:$F$2311,12)</f>
        <v>0.077690901193994</v>
      </c>
      <c r="N8" s="13" t="n">
        <f aca="false">SUM(B8:M8)</f>
        <v>1.28969982453701</v>
      </c>
      <c r="Q8" s="4" t="s">
        <v>50</v>
      </c>
      <c r="R8" s="5" t="n">
        <f aca="false">SUMIFS(Data!$H$4:$H$2311,Data!$B$4:$B$2311,"UCO",Data!$C$4:$C$2311,"World Total",Data!$E$4:$E$2311,2021,Data!$F$4:$F$2311,1)</f>
        <v>16.636858331643</v>
      </c>
      <c r="S8" s="5" t="n">
        <f aca="false">SUMIFS(Data!$H$4:$H$2311,Data!$B$4:$B$2311,"UCO",Data!$C$4:$C$2311,"World Total",Data!$E$4:$E$2311,2022,Data!$F$4:$F$2311,1)</f>
        <v>53.6674856325593</v>
      </c>
      <c r="T8" s="5" t="n">
        <f aca="false">SUMIFS(Data!$H$4:$H$2311,Data!$B$4:$B$2311,"UCO",Data!$C$4:$C$2311,"World Total",Data!$E$4:$E$2311,2023,Data!$F$4:$F$2311,1)</f>
        <v>140.082759769604</v>
      </c>
      <c r="U8" s="5" t="n">
        <f aca="false">SUMIFS(Data!$H$4:$H$2311,Data!$B$4:$B$2311,"UCO",Data!$C$4:$C$2311,"World Total",Data!$E$4:$E$2311,2024,Data!$F$4:$F$2311,1)</f>
        <v>492.76874520646</v>
      </c>
      <c r="V8" s="5" t="n">
        <f aca="false">SUMIFS(Data!$H$4:$H$2311,Data!$B$4:$B$2311,"UCO",Data!$C$4:$C$2311,"World Total",Data!$E$4:$E$2311,2025,Data!$F$4:$F$2311,1)</f>
        <v>605.533265473916</v>
      </c>
      <c r="W8" s="5" t="n">
        <f aca="false">SUMIFS(Data!$H$4:$H$2311,Data!$B$4:$B$2311,"UCO",Data!$C$4:$C$2311,"World Total",Data!$E$4:$E$2311,2026,Data!$F$4:$F$2311,1)</f>
        <v>108.592097790418</v>
      </c>
    </row>
    <row r="9" customFormat="false" ht="15" hidden="false" customHeight="false" outlineLevel="0" collapsed="false">
      <c r="A9" s="11" t="s">
        <v>51</v>
      </c>
      <c r="B9" s="12" t="n">
        <f aca="false">SUMIFS(Data!$H$4:$H$2311,Data!$B$4:$B$2311,"UCO",Data!$C$4:$C$2311,"India",Data!$E$4:$E$2311,2020,Data!$F$4:$F$2311,1)</f>
        <v>0.0532570686760305</v>
      </c>
      <c r="C9" s="12" t="n">
        <f aca="false">SUMIFS(Data!$H$4:$H$2311,Data!$B$4:$B$2311,"UCO",Data!$C$4:$C$2311,"India",Data!$E$4:$E$2311,2020,Data!$F$4:$F$2311,2)</f>
        <v>0.0834449662370225</v>
      </c>
      <c r="D9" s="12" t="n">
        <f aca="false">SUMIFS(Data!$H$4:$H$2311,Data!$B$4:$B$2311,"UCO",Data!$C$4:$C$2311,"India",Data!$E$4:$E$2311,2020,Data!$F$4:$F$2311,3)</f>
        <v>0.11810824772037</v>
      </c>
      <c r="E9" s="12" t="n">
        <f aca="false">SUMIFS(Data!$H$4:$H$2311,Data!$B$4:$B$2311,"UCO",Data!$C$4:$C$2311,"India",Data!$E$4:$E$2311,2020,Data!$F$4:$F$2311,4)</f>
        <v>0.0361800618471804</v>
      </c>
      <c r="F9" s="12" t="n">
        <f aca="false">SUMIFS(Data!$H$4:$H$2311,Data!$B$4:$B$2311,"UCO",Data!$C$4:$C$2311,"India",Data!$E$4:$E$2311,2020,Data!$F$4:$F$2311,5)</f>
        <v>0.037875416643383</v>
      </c>
      <c r="G9" s="12" t="n">
        <f aca="false">SUMIFS(Data!$H$4:$H$2311,Data!$B$4:$B$2311,"UCO",Data!$C$4:$C$2311,"India",Data!$E$4:$E$2311,2020,Data!$F$4:$F$2311,6)</f>
        <v>0.036684920427584</v>
      </c>
      <c r="H9" s="12" t="n">
        <f aca="false">SUMIFS(Data!$H$4:$H$2311,Data!$B$4:$B$2311,"UCO",Data!$C$4:$C$2311,"India",Data!$E$4:$E$2311,2020,Data!$F$4:$F$2311,7)</f>
        <v>0.0698997648483761</v>
      </c>
      <c r="I9" s="12" t="n">
        <f aca="false">SUMIFS(Data!$H$4:$H$2311,Data!$B$4:$B$2311,"UCO",Data!$C$4:$C$2311,"India",Data!$E$4:$E$2311,2020,Data!$F$4:$F$2311,8)</f>
        <v>0.0198195573704315</v>
      </c>
      <c r="J9" s="12" t="n">
        <f aca="false">SUMIFS(Data!$H$4:$H$2311,Data!$B$4:$B$2311,"UCO",Data!$C$4:$C$2311,"India",Data!$E$4:$E$2311,2020,Data!$F$4:$F$2311,9)</f>
        <v>0</v>
      </c>
      <c r="K9" s="12" t="n">
        <f aca="false">SUMIFS(Data!$H$4:$H$2311,Data!$B$4:$B$2311,"UCO",Data!$C$4:$C$2311,"India",Data!$E$4:$E$2311,2020,Data!$F$4:$F$2311,10)</f>
        <v>0.0983901029905436</v>
      </c>
      <c r="L9" s="12" t="n">
        <f aca="false">SUMIFS(Data!$H$4:$H$2311,Data!$B$4:$B$2311,"UCO",Data!$C$4:$C$2311,"India",Data!$E$4:$E$2311,2020,Data!$F$4:$F$2311,11)</f>
        <v>0.112845813522014</v>
      </c>
      <c r="M9" s="12" t="n">
        <f aca="false">SUMIFS(Data!$H$4:$H$2311,Data!$B$4:$B$2311,"UCO",Data!$C$4:$C$2311,"India",Data!$E$4:$E$2311,2020,Data!$F$4:$F$2311,12)</f>
        <v>0.168682290665609</v>
      </c>
      <c r="N9" s="13" t="n">
        <f aca="false">SUM(B9:M9)</f>
        <v>0.835188210948545</v>
      </c>
      <c r="Q9" s="4" t="s">
        <v>52</v>
      </c>
      <c r="R9" s="5" t="n">
        <f aca="false">SUMIFS(Data!$H$4:$H$2311,Data!$B$4:$B$2311,"UCO",Data!$C$4:$C$2311,"World Total",Data!$E$4:$E$2311,2021,Data!$F$4:$F$2311,2)</f>
        <v>18.960098469039</v>
      </c>
      <c r="S9" s="5" t="n">
        <f aca="false">SUMIFS(Data!$H$4:$H$2311,Data!$B$4:$B$2311,"UCO",Data!$C$4:$C$2311,"World Total",Data!$E$4:$E$2311,2022,Data!$F$4:$F$2311,2)</f>
        <v>26.844549876372</v>
      </c>
      <c r="T9" s="5" t="n">
        <f aca="false">SUMIFS(Data!$H$4:$H$2311,Data!$B$4:$B$2311,"UCO",Data!$C$4:$C$2311,"World Total",Data!$E$4:$E$2311,2023,Data!$F$4:$F$2311,2)</f>
        <v>204.014551655821</v>
      </c>
      <c r="U9" s="5" t="n">
        <f aca="false">SUMIFS(Data!$H$4:$H$2311,Data!$B$4:$B$2311,"UCO",Data!$C$4:$C$2311,"World Total",Data!$E$4:$E$2311,2024,Data!$F$4:$F$2311,2)</f>
        <v>183.957516745809</v>
      </c>
      <c r="V9" s="5" t="n">
        <f aca="false">SUMIFS(Data!$H$4:$H$2311,Data!$B$4:$B$2311,"UCO",Data!$C$4:$C$2311,"World Total",Data!$E$4:$E$2311,2025,Data!$F$4:$F$2311,2)</f>
        <v>455.012157722394</v>
      </c>
      <c r="W9" s="5" t="n">
        <f aca="false">SUMIFS(Data!$H$4:$H$2311,Data!$B$4:$B$2311,"UCO",Data!$C$4:$C$2311,"World Total",Data!$E$4:$E$2311,2026,Data!$F$4:$F$2311,2)</f>
        <v>232.935033717738</v>
      </c>
    </row>
    <row r="10" customFormat="false" ht="15" hidden="false" customHeight="false" outlineLevel="0" collapsed="false">
      <c r="A10" s="11" t="s">
        <v>53</v>
      </c>
      <c r="B10" s="12" t="n">
        <f aca="false">SUMIFS(Data!$H$4:$H$2311,Data!$B$4:$B$2311,"UCO",Data!$C$4:$C$2311,"France",Data!$E$4:$E$2311,2020,Data!$F$4:$F$2311,1)</f>
        <v>0.0142396575145292</v>
      </c>
      <c r="C10" s="12" t="n">
        <f aca="false">SUMIFS(Data!$H$4:$H$2311,Data!$B$4:$B$2311,"UCO",Data!$C$4:$C$2311,"France",Data!$E$4:$E$2311,2020,Data!$F$4:$F$2311,2)</f>
        <v>0.0641302674469947</v>
      </c>
      <c r="D10" s="12" t="n">
        <f aca="false">SUMIFS(Data!$H$4:$H$2311,Data!$B$4:$B$2311,"UCO",Data!$C$4:$C$2311,"France",Data!$E$4:$E$2311,2020,Data!$F$4:$F$2311,3)</f>
        <v>0.0869525208283859</v>
      </c>
      <c r="E10" s="12" t="n">
        <f aca="false">SUMIFS(Data!$H$4:$H$2311,Data!$B$4:$B$2311,"UCO",Data!$C$4:$C$2311,"France",Data!$E$4:$E$2311,2020,Data!$F$4:$F$2311,4)</f>
        <v>0.202554112627712</v>
      </c>
      <c r="F10" s="12" t="n">
        <f aca="false">SUMIFS(Data!$H$4:$H$2311,Data!$B$4:$B$2311,"UCO",Data!$C$4:$C$2311,"France",Data!$E$4:$E$2311,2020,Data!$F$4:$F$2311,5)</f>
        <v>0.0414204498193178</v>
      </c>
      <c r="G10" s="12" t="n">
        <f aca="false">SUMIFS(Data!$H$4:$H$2311,Data!$B$4:$B$2311,"UCO",Data!$C$4:$C$2311,"France",Data!$E$4:$E$2311,2020,Data!$F$4:$F$2311,6)</f>
        <v>0.0297602007723532</v>
      </c>
      <c r="H10" s="12" t="n">
        <f aca="false">SUMIFS(Data!$H$4:$H$2311,Data!$B$4:$B$2311,"UCO",Data!$C$4:$C$2311,"France",Data!$E$4:$E$2311,2020,Data!$F$4:$F$2311,7)</f>
        <v>0.0168763861702618</v>
      </c>
      <c r="I10" s="12" t="n">
        <f aca="false">SUMIFS(Data!$H$4:$H$2311,Data!$B$4:$B$2311,"UCO",Data!$C$4:$C$2311,"France",Data!$E$4:$E$2311,2020,Data!$F$4:$F$2311,8)</f>
        <v>0.0316429484914131</v>
      </c>
      <c r="J10" s="12" t="n">
        <f aca="false">SUMIFS(Data!$H$4:$H$2311,Data!$B$4:$B$2311,"UCO",Data!$C$4:$C$2311,"France",Data!$E$4:$E$2311,2020,Data!$F$4:$F$2311,9)</f>
        <v>0.0025441345056149</v>
      </c>
      <c r="K10" s="12" t="n">
        <f aca="false">SUMIFS(Data!$H$4:$H$2311,Data!$B$4:$B$2311,"UCO",Data!$C$4:$C$2311,"France",Data!$E$4:$E$2311,2020,Data!$F$4:$F$2311,10)</f>
        <v>0.0125575304540576</v>
      </c>
      <c r="L10" s="12" t="n">
        <f aca="false">SUMIFS(Data!$H$4:$H$2311,Data!$B$4:$B$2311,"UCO",Data!$C$4:$C$2311,"France",Data!$E$4:$E$2311,2020,Data!$F$4:$F$2311,11)</f>
        <v>0.0218478101825335</v>
      </c>
      <c r="M10" s="12" t="n">
        <f aca="false">SUMIFS(Data!$H$4:$H$2311,Data!$B$4:$B$2311,"UCO",Data!$C$4:$C$2311,"France",Data!$E$4:$E$2311,2020,Data!$F$4:$F$2311,12)</f>
        <v>0.0343259742222045</v>
      </c>
      <c r="N10" s="13" t="n">
        <f aca="false">SUM(B10:M10)</f>
        <v>0.558851993035378</v>
      </c>
      <c r="Q10" s="4" t="s">
        <v>54</v>
      </c>
      <c r="R10" s="5" t="n">
        <f aca="false">SUMIFS(Data!$H$4:$H$2311,Data!$B$4:$B$2311,"UCO",Data!$C$4:$C$2311,"World Total",Data!$E$4:$E$2311,2021,Data!$F$4:$F$2311,3)</f>
        <v>28.0031187473613</v>
      </c>
      <c r="S10" s="5" t="n">
        <f aca="false">SUMIFS(Data!$H$4:$H$2311,Data!$B$4:$B$2311,"UCO",Data!$C$4:$C$2311,"World Total",Data!$E$4:$E$2311,2022,Data!$F$4:$F$2311,3)</f>
        <v>48.0997707258879</v>
      </c>
      <c r="T10" s="5" t="n">
        <f aca="false">SUMIFS(Data!$H$4:$H$2311,Data!$B$4:$B$2311,"UCO",Data!$C$4:$C$2311,"World Total",Data!$E$4:$E$2311,2023,Data!$F$4:$F$2311,3)</f>
        <v>226.363587200678</v>
      </c>
      <c r="U10" s="5" t="n">
        <f aca="false">SUMIFS(Data!$H$4:$H$2311,Data!$B$4:$B$2311,"UCO",Data!$C$4:$C$2311,"World Total",Data!$E$4:$E$2311,2024,Data!$F$4:$F$2311,3)</f>
        <v>634.560539455635</v>
      </c>
      <c r="V10" s="5" t="n">
        <f aca="false">SUMIFS(Data!$H$4:$H$2311,Data!$B$4:$B$2311,"UCO",Data!$C$4:$C$2311,"World Total",Data!$E$4:$E$2311,2025,Data!$F$4:$F$2311,3)</f>
        <v>509.651491712985</v>
      </c>
      <c r="W10" s="5" t="n">
        <f aca="false">SUMIFS(Data!$H$4:$H$2311,Data!$B$4:$B$2311,"UCO",Data!$C$4:$C$2311,"World Total",Data!$E$4:$E$2311,2026,Data!$F$4:$F$2311,3)</f>
        <v>173.025805085839</v>
      </c>
    </row>
    <row r="11" customFormat="false" ht="15" hidden="false" customHeight="false" outlineLevel="0" collapsed="false">
      <c r="A11" s="11" t="s">
        <v>55</v>
      </c>
      <c r="B11" s="12" t="n">
        <f aca="false">SUMIFS(Data!$H$4:$H$2311,Data!$B$4:$B$2311,"UCO",Data!$C$4:$C$2311,"Aruba",Data!$E$4:$E$2311,2020,Data!$F$4:$F$2311,1)</f>
        <v>0.0485016976807</v>
      </c>
      <c r="C11" s="12" t="n">
        <f aca="false">SUMIFS(Data!$H$4:$H$2311,Data!$B$4:$B$2311,"UCO",Data!$C$4:$C$2311,"Aruba",Data!$E$4:$E$2311,2020,Data!$F$4:$F$2311,2)</f>
        <v>0.0485016976807</v>
      </c>
      <c r="D11" s="12" t="n">
        <f aca="false">SUMIFS(Data!$H$4:$H$2311,Data!$B$4:$B$2311,"UCO",Data!$C$4:$C$2311,"Aruba",Data!$E$4:$E$2311,2020,Data!$F$4:$F$2311,3)</f>
        <v>0.050000841063558</v>
      </c>
      <c r="E11" s="12" t="n">
        <f aca="false">SUMIFS(Data!$H$4:$H$2311,Data!$B$4:$B$2311,"UCO",Data!$C$4:$C$2311,"Aruba",Data!$E$4:$E$2311,2020,Data!$F$4:$F$2311,4)</f>
        <v>0</v>
      </c>
      <c r="F11" s="12" t="n">
        <f aca="false">SUMIFS(Data!$H$4:$H$2311,Data!$B$4:$B$2311,"UCO",Data!$C$4:$C$2311,"Aruba",Data!$E$4:$E$2311,2020,Data!$F$4:$F$2311,5)</f>
        <v>0</v>
      </c>
      <c r="G11" s="12" t="n">
        <f aca="false">SUMIFS(Data!$H$4:$H$2311,Data!$B$4:$B$2311,"UCO",Data!$C$4:$C$2311,"Aruba",Data!$E$4:$E$2311,2020,Data!$F$4:$F$2311,6)</f>
        <v>0</v>
      </c>
      <c r="H11" s="12" t="n">
        <f aca="false">SUMIFS(Data!$H$4:$H$2311,Data!$B$4:$B$2311,"UCO",Data!$C$4:$C$2311,"Aruba",Data!$E$4:$E$2311,2020,Data!$F$4:$F$2311,7)</f>
        <v>0</v>
      </c>
      <c r="I11" s="12" t="n">
        <f aca="false">SUMIFS(Data!$H$4:$H$2311,Data!$B$4:$B$2311,"UCO",Data!$C$4:$C$2311,"Aruba",Data!$E$4:$E$2311,2020,Data!$F$4:$F$2311,8)</f>
        <v>0</v>
      </c>
      <c r="J11" s="12" t="n">
        <f aca="false">SUMIFS(Data!$H$4:$H$2311,Data!$B$4:$B$2311,"UCO",Data!$C$4:$C$2311,"Aruba",Data!$E$4:$E$2311,2020,Data!$F$4:$F$2311,9)</f>
        <v>0</v>
      </c>
      <c r="K11" s="12" t="n">
        <f aca="false">SUMIFS(Data!$H$4:$H$2311,Data!$B$4:$B$2311,"UCO",Data!$C$4:$C$2311,"Aruba",Data!$E$4:$E$2311,2020,Data!$F$4:$F$2311,10)</f>
        <v>0</v>
      </c>
      <c r="L11" s="12" t="n">
        <f aca="false">SUMIFS(Data!$H$4:$H$2311,Data!$B$4:$B$2311,"UCO",Data!$C$4:$C$2311,"Aruba",Data!$E$4:$E$2311,2020,Data!$F$4:$F$2311,11)</f>
        <v>0.048678067490448</v>
      </c>
      <c r="M11" s="12" t="n">
        <f aca="false">SUMIFS(Data!$H$4:$H$2311,Data!$B$4:$B$2311,"UCO",Data!$C$4:$C$2311,"Aruba",Data!$E$4:$E$2311,2020,Data!$F$4:$F$2311,12)</f>
        <v>0.098634816101569</v>
      </c>
      <c r="N11" s="13" t="n">
        <f aca="false">SUM(B11:M11)</f>
        <v>0.294317120016975</v>
      </c>
      <c r="Q11" s="4" t="s">
        <v>56</v>
      </c>
      <c r="R11" s="5" t="n">
        <f aca="false">SUMIFS(Data!$H$4:$H$2311,Data!$B$4:$B$2311,"UCO",Data!$C$4:$C$2311,"World Total",Data!$E$4:$E$2311,2021,Data!$F$4:$F$2311,4)</f>
        <v>19.7551956176092</v>
      </c>
      <c r="S11" s="5" t="n">
        <f aca="false">SUMIFS(Data!$H$4:$H$2311,Data!$B$4:$B$2311,"UCO",Data!$C$4:$C$2311,"World Total",Data!$E$4:$E$2311,2022,Data!$F$4:$F$2311,4)</f>
        <v>44.9640962876235</v>
      </c>
      <c r="T11" s="5" t="n">
        <f aca="false">SUMIFS(Data!$H$4:$H$2311,Data!$B$4:$B$2311,"UCO",Data!$C$4:$C$2311,"World Total",Data!$E$4:$E$2311,2023,Data!$F$4:$F$2311,4)</f>
        <v>136.871191197582</v>
      </c>
      <c r="U11" s="5" t="n">
        <f aca="false">SUMIFS(Data!$H$4:$H$2311,Data!$B$4:$B$2311,"UCO",Data!$C$4:$C$2311,"World Total",Data!$E$4:$E$2311,2024,Data!$F$4:$F$2311,4)</f>
        <v>274.415848309065</v>
      </c>
      <c r="V11" s="5" t="n">
        <f aca="false">SUMIFS(Data!$H$4:$H$2311,Data!$B$4:$B$2311,"UCO",Data!$C$4:$C$2311,"World Total",Data!$E$4:$E$2311,2025,Data!$F$4:$F$2311,4)</f>
        <v>213.540333582008</v>
      </c>
      <c r="W11" s="5" t="n">
        <f aca="false">SUMIFS(Data!$H$4:$H$2311,Data!$B$4:$B$2311,"UCO",Data!$C$4:$C$2311,"World Total",Data!$E$4:$E$2311,2026,Data!$F$4:$F$2311,4)</f>
        <v>230.187057599884</v>
      </c>
    </row>
    <row r="12" customFormat="false" ht="15" hidden="false" customHeight="false" outlineLevel="0" collapsed="false">
      <c r="A12" s="11" t="s">
        <v>57</v>
      </c>
      <c r="B12" s="12" t="n">
        <f aca="false">SUMIFS(Data!$H$4:$H$2311,Data!$B$4:$B$2311,"UCO",Data!$C$4:$C$2311,"China",Data!$E$4:$E$2311,2020,Data!$F$4:$F$2311,1)</f>
        <v>0.094049201048121</v>
      </c>
      <c r="C12" s="12" t="n">
        <f aca="false">SUMIFS(Data!$H$4:$H$2311,Data!$B$4:$B$2311,"UCO",Data!$C$4:$C$2311,"China",Data!$E$4:$E$2311,2020,Data!$F$4:$F$2311,2)</f>
        <v>0.046693907130783</v>
      </c>
      <c r="D12" s="12" t="n">
        <f aca="false">SUMIFS(Data!$H$4:$H$2311,Data!$B$4:$B$2311,"UCO",Data!$C$4:$C$2311,"China",Data!$E$4:$E$2311,2020,Data!$F$4:$F$2311,3)</f>
        <v>0</v>
      </c>
      <c r="E12" s="12" t="n">
        <f aca="false">SUMIFS(Data!$H$4:$H$2311,Data!$B$4:$B$2311,"UCO",Data!$C$4:$C$2311,"China",Data!$E$4:$E$2311,2020,Data!$F$4:$F$2311,4)</f>
        <v>0</v>
      </c>
      <c r="F12" s="12" t="n">
        <f aca="false">SUMIFS(Data!$H$4:$H$2311,Data!$B$4:$B$2311,"UCO",Data!$C$4:$C$2311,"China",Data!$E$4:$E$2311,2020,Data!$F$4:$F$2311,5)</f>
        <v>0</v>
      </c>
      <c r="G12" s="12" t="n">
        <f aca="false">SUMIFS(Data!$H$4:$H$2311,Data!$B$4:$B$2311,"UCO",Data!$C$4:$C$2311,"China",Data!$E$4:$E$2311,2020,Data!$F$4:$F$2311,6)</f>
        <v>0.0352739619496</v>
      </c>
      <c r="H12" s="12" t="n">
        <f aca="false">SUMIFS(Data!$H$4:$H$2311,Data!$B$4:$B$2311,"UCO",Data!$C$4:$C$2311,"China",Data!$E$4:$E$2311,2020,Data!$F$4:$F$2311,7)</f>
        <v>0.0156484113698913</v>
      </c>
      <c r="I12" s="12" t="n">
        <f aca="false">SUMIFS(Data!$H$4:$H$2311,Data!$B$4:$B$2311,"UCO",Data!$C$4:$C$2311,"China",Data!$E$4:$E$2311,2020,Data!$F$4:$F$2311,8)</f>
        <v>0</v>
      </c>
      <c r="J12" s="12" t="n">
        <f aca="false">SUMIFS(Data!$H$4:$H$2311,Data!$B$4:$B$2311,"UCO",Data!$C$4:$C$2311,"China",Data!$E$4:$E$2311,2020,Data!$F$4:$F$2311,9)</f>
        <v>0.0240722744079801</v>
      </c>
      <c r="K12" s="12" t="n">
        <f aca="false">SUMIFS(Data!$H$4:$H$2311,Data!$B$4:$B$2311,"UCO",Data!$C$4:$C$2311,"China",Data!$E$4:$E$2311,2020,Data!$F$4:$F$2311,10)</f>
        <v>0</v>
      </c>
      <c r="L12" s="12" t="n">
        <f aca="false">SUMIFS(Data!$H$4:$H$2311,Data!$B$4:$B$2311,"UCO",Data!$C$4:$C$2311,"China",Data!$E$4:$E$2311,2020,Data!$F$4:$F$2311,11)</f>
        <v>0</v>
      </c>
      <c r="M12" s="12" t="n">
        <f aca="false">SUMIFS(Data!$H$4:$H$2311,Data!$B$4:$B$2311,"UCO",Data!$C$4:$C$2311,"China",Data!$E$4:$E$2311,2020,Data!$F$4:$F$2311,12)</f>
        <v>0.0176369809748</v>
      </c>
      <c r="N12" s="13" t="n">
        <f aca="false">SUM(B12:M12)</f>
        <v>0.233374736881175</v>
      </c>
      <c r="Q12" s="4" t="s">
        <v>58</v>
      </c>
      <c r="R12" s="5" t="n">
        <f aca="false">SUMIFS(Data!$H$4:$H$2311,Data!$B$4:$B$2311,"UCO",Data!$C$4:$C$2311,"World Total",Data!$E$4:$E$2311,2021,Data!$F$4:$F$2311,5)</f>
        <v>23.5162068533162</v>
      </c>
      <c r="S12" s="5" t="n">
        <f aca="false">SUMIFS(Data!$H$4:$H$2311,Data!$B$4:$B$2311,"UCO",Data!$C$4:$C$2311,"World Total",Data!$E$4:$E$2311,2022,Data!$F$4:$F$2311,5)</f>
        <v>62.5826113433428</v>
      </c>
      <c r="T12" s="5" t="n">
        <f aca="false">SUMIFS(Data!$H$4:$H$2311,Data!$B$4:$B$2311,"UCO",Data!$C$4:$C$2311,"World Total",Data!$E$4:$E$2311,2023,Data!$F$4:$F$2311,5)</f>
        <v>272.966699153402</v>
      </c>
      <c r="U12" s="5" t="n">
        <f aca="false">SUMIFS(Data!$H$4:$H$2311,Data!$B$4:$B$2311,"UCO",Data!$C$4:$C$2311,"World Total",Data!$E$4:$E$2311,2024,Data!$F$4:$F$2311,5)</f>
        <v>307.47081349732</v>
      </c>
      <c r="V12" s="5" t="n">
        <f aca="false">SUMIFS(Data!$H$4:$H$2311,Data!$B$4:$B$2311,"UCO",Data!$C$4:$C$2311,"World Total",Data!$E$4:$E$2311,2025,Data!$F$4:$F$2311,5)</f>
        <v>468.513987570201</v>
      </c>
      <c r="W12" s="5" t="n">
        <f aca="false">SUMIFS(Data!$H$4:$H$2311,Data!$B$4:$B$2311,"UCO",Data!$C$4:$C$2311,"World Total",Data!$E$4:$E$2311,2026,Data!$F$4:$F$2311,5)</f>
        <v>318.229680539115</v>
      </c>
    </row>
    <row r="13" customFormat="false" ht="15" hidden="false" customHeight="false" outlineLevel="0" collapsed="false">
      <c r="A13" s="11" t="s">
        <v>59</v>
      </c>
      <c r="B13" s="12" t="n">
        <f aca="false">SUMIFS(Data!$H$4:$H$2311,Data!$B$4:$B$2311,"UCO",Data!$C$4:$C$2311,"Germany",Data!$E$4:$E$2311,2020,Data!$F$4:$F$2311,1)</f>
        <v>7.49571691429E-005</v>
      </c>
      <c r="C13" s="12" t="n">
        <f aca="false">SUMIFS(Data!$H$4:$H$2311,Data!$B$4:$B$2311,"UCO",Data!$C$4:$C$2311,"Germany",Data!$E$4:$E$2311,2020,Data!$F$4:$F$2311,2)</f>
        <v>0.00763901738471025</v>
      </c>
      <c r="D13" s="12" t="n">
        <f aca="false">SUMIFS(Data!$H$4:$H$2311,Data!$B$4:$B$2311,"UCO",Data!$C$4:$C$2311,"Germany",Data!$E$4:$E$2311,2020,Data!$F$4:$F$2311,3)</f>
        <v>0.0083599289820552</v>
      </c>
      <c r="E13" s="12" t="n">
        <f aca="false">SUMIFS(Data!$H$4:$H$2311,Data!$B$4:$B$2311,"UCO",Data!$C$4:$C$2311,"Germany",Data!$E$4:$E$2311,2020,Data!$F$4:$F$2311,4)</f>
        <v>9.25941501177E-005</v>
      </c>
      <c r="F13" s="12" t="n">
        <f aca="false">SUMIFS(Data!$H$4:$H$2311,Data!$B$4:$B$2311,"UCO",Data!$C$4:$C$2311,"Germany",Data!$E$4:$E$2311,2020,Data!$F$4:$F$2311,5)</f>
        <v>0.00185849687021955</v>
      </c>
      <c r="G13" s="12" t="n">
        <f aca="false">SUMIFS(Data!$H$4:$H$2311,Data!$B$4:$B$2311,"UCO",Data!$C$4:$C$2311,"Germany",Data!$E$4:$E$2311,2020,Data!$F$4:$F$2311,6)</f>
        <v>0.0147643576985295</v>
      </c>
      <c r="H13" s="12" t="n">
        <f aca="false">SUMIFS(Data!$H$4:$H$2311,Data!$B$4:$B$2311,"UCO",Data!$C$4:$C$2311,"Germany",Data!$E$4:$E$2311,2020,Data!$F$4:$F$2311,7)</f>
        <v>0.00365305968440545</v>
      </c>
      <c r="I13" s="12" t="n">
        <f aca="false">SUMIFS(Data!$H$4:$H$2311,Data!$B$4:$B$2311,"UCO",Data!$C$4:$C$2311,"Germany",Data!$E$4:$E$2311,2020,Data!$F$4:$F$2311,8)</f>
        <v>0.00678362380743245</v>
      </c>
      <c r="J13" s="12" t="n">
        <f aca="false">SUMIFS(Data!$H$4:$H$2311,Data!$B$4:$B$2311,"UCO",Data!$C$4:$C$2311,"Germany",Data!$E$4:$E$2311,2020,Data!$F$4:$F$2311,9)</f>
        <v>0.129742041295873</v>
      </c>
      <c r="K13" s="12" t="n">
        <f aca="false">SUMIFS(Data!$H$4:$H$2311,Data!$B$4:$B$2311,"UCO",Data!$C$4:$C$2311,"Germany",Data!$E$4:$E$2311,2020,Data!$F$4:$F$2311,10)</f>
        <v>0.0120945597034691</v>
      </c>
      <c r="L13" s="12" t="n">
        <f aca="false">SUMIFS(Data!$H$4:$H$2311,Data!$B$4:$B$2311,"UCO",Data!$C$4:$C$2311,"Germany",Data!$E$4:$E$2311,2020,Data!$F$4:$F$2311,11)</f>
        <v>0.0163781414577237</v>
      </c>
      <c r="M13" s="12" t="n">
        <f aca="false">SUMIFS(Data!$H$4:$H$2311,Data!$B$4:$B$2311,"UCO",Data!$C$4:$C$2311,"Germany",Data!$E$4:$E$2311,2020,Data!$F$4:$F$2311,12)</f>
        <v>0.00622364966148255</v>
      </c>
      <c r="N13" s="13" t="n">
        <f aca="false">SUM(B13:M13)</f>
        <v>0.207664427865161</v>
      </c>
      <c r="Q13" s="4" t="s">
        <v>60</v>
      </c>
      <c r="R13" s="5" t="n">
        <f aca="false">SUMIFS(Data!$H$4:$H$2311,Data!$B$4:$B$2311,"UCO",Data!$C$4:$C$2311,"World Total",Data!$E$4:$E$2311,2021,Data!$F$4:$F$2311,6)</f>
        <v>18.1414162676603</v>
      </c>
      <c r="S13" s="5" t="n">
        <f aca="false">SUMIFS(Data!$H$4:$H$2311,Data!$B$4:$B$2311,"UCO",Data!$C$4:$C$2311,"World Total",Data!$E$4:$E$2311,2022,Data!$F$4:$F$2311,6)</f>
        <v>80.1141694689886</v>
      </c>
      <c r="T13" s="5" t="n">
        <f aca="false">SUMIFS(Data!$H$4:$H$2311,Data!$B$4:$B$2311,"UCO",Data!$C$4:$C$2311,"World Total",Data!$E$4:$E$2311,2023,Data!$F$4:$F$2311,6)</f>
        <v>205.255295630417</v>
      </c>
      <c r="U13" s="5" t="n">
        <f aca="false">SUMIFS(Data!$H$4:$H$2311,Data!$B$4:$B$2311,"UCO",Data!$C$4:$C$2311,"World Total",Data!$E$4:$E$2311,2024,Data!$F$4:$F$2311,6)</f>
        <v>370.339677451129</v>
      </c>
      <c r="V13" s="5" t="n">
        <f aca="false">SUMIFS(Data!$H$4:$H$2311,Data!$B$4:$B$2311,"UCO",Data!$C$4:$C$2311,"World Total",Data!$E$4:$E$2311,2025,Data!$F$4:$F$2311,6)</f>
        <v>206.360428858298</v>
      </c>
      <c r="W13" s="5" t="n">
        <f aca="false">SUMIFS(Data!$H$4:$H$2311,Data!$B$4:$B$2311,"UCO",Data!$C$4:$C$2311,"World Total",Data!$E$4:$E$2311,2026,Data!$F$4:$F$2311,6)</f>
        <v>406.815709885293</v>
      </c>
    </row>
    <row r="14" customFormat="false" ht="15" hidden="false" customHeight="false" outlineLevel="0" collapsed="false">
      <c r="A14" s="11" t="s">
        <v>61</v>
      </c>
      <c r="B14" s="12" t="n">
        <f aca="false">SUMIFS(Data!$H$4:$H$2311,Data!$B$4:$B$2311,"UCO",Data!$C$4:$C$2311,"Netherlands",Data!$E$4:$E$2311,2020,Data!$F$4:$F$2311,1)</f>
        <v>0.0837756596303</v>
      </c>
      <c r="C14" s="12" t="n">
        <f aca="false">SUMIFS(Data!$H$4:$H$2311,Data!$B$4:$B$2311,"UCO",Data!$C$4:$C$2311,"Netherlands",Data!$E$4:$E$2311,2020,Data!$F$4:$F$2311,2)</f>
        <v>0</v>
      </c>
      <c r="D14" s="12" t="n">
        <f aca="false">SUMIFS(Data!$H$4:$H$2311,Data!$B$4:$B$2311,"UCO",Data!$C$4:$C$2311,"Netherlands",Data!$E$4:$E$2311,2020,Data!$F$4:$F$2311,3)</f>
        <v>0</v>
      </c>
      <c r="E14" s="12" t="n">
        <f aca="false">SUMIFS(Data!$H$4:$H$2311,Data!$B$4:$B$2311,"UCO",Data!$C$4:$C$2311,"Netherlands",Data!$E$4:$E$2311,2020,Data!$F$4:$F$2311,4)</f>
        <v>0</v>
      </c>
      <c r="F14" s="12" t="n">
        <f aca="false">SUMIFS(Data!$H$4:$H$2311,Data!$B$4:$B$2311,"UCO",Data!$C$4:$C$2311,"Netherlands",Data!$E$4:$E$2311,2020,Data!$F$4:$F$2311,5)</f>
        <v>0</v>
      </c>
      <c r="G14" s="12" t="n">
        <f aca="false">SUMIFS(Data!$H$4:$H$2311,Data!$B$4:$B$2311,"UCO",Data!$C$4:$C$2311,"Netherlands",Data!$E$4:$E$2311,2020,Data!$F$4:$F$2311,6)</f>
        <v>0</v>
      </c>
      <c r="H14" s="12" t="n">
        <f aca="false">SUMIFS(Data!$H$4:$H$2311,Data!$B$4:$B$2311,"UCO",Data!$C$4:$C$2311,"Netherlands",Data!$E$4:$E$2311,2020,Data!$F$4:$F$2311,7)</f>
        <v>0</v>
      </c>
      <c r="I14" s="12" t="n">
        <f aca="false">SUMIFS(Data!$H$4:$H$2311,Data!$B$4:$B$2311,"UCO",Data!$C$4:$C$2311,"Netherlands",Data!$E$4:$E$2311,2020,Data!$F$4:$F$2311,8)</f>
        <v>0</v>
      </c>
      <c r="J14" s="12" t="n">
        <f aca="false">SUMIFS(Data!$H$4:$H$2311,Data!$B$4:$B$2311,"UCO",Data!$C$4:$C$2311,"Netherlands",Data!$E$4:$E$2311,2020,Data!$F$4:$F$2311,9)</f>
        <v>0</v>
      </c>
      <c r="K14" s="12" t="n">
        <f aca="false">SUMIFS(Data!$H$4:$H$2311,Data!$B$4:$B$2311,"UCO",Data!$C$4:$C$2311,"Netherlands",Data!$E$4:$E$2311,2020,Data!$F$4:$F$2311,10)</f>
        <v>0</v>
      </c>
      <c r="L14" s="12" t="n">
        <f aca="false">SUMIFS(Data!$H$4:$H$2311,Data!$B$4:$B$2311,"UCO",Data!$C$4:$C$2311,"Netherlands",Data!$E$4:$E$2311,2020,Data!$F$4:$F$2311,11)</f>
        <v>0</v>
      </c>
      <c r="M14" s="12" t="n">
        <f aca="false">SUMIFS(Data!$H$4:$H$2311,Data!$B$4:$B$2311,"UCO",Data!$C$4:$C$2311,"Netherlands",Data!$E$4:$E$2311,2020,Data!$F$4:$F$2311,12)</f>
        <v>0.0837756596303</v>
      </c>
      <c r="N14" s="13" t="n">
        <f aca="false">SUM(B14:M14)</f>
        <v>0.1675513192606</v>
      </c>
      <c r="Q14" s="4" t="s">
        <v>62</v>
      </c>
      <c r="R14" s="5" t="n">
        <f aca="false">SUMIFS(Data!$H$4:$H$2311,Data!$B$4:$B$2311,"UCO",Data!$C$4:$C$2311,"World Total",Data!$E$4:$E$2311,2021,Data!$F$4:$F$2311,7)</f>
        <v>19.5810899552939</v>
      </c>
      <c r="S14" s="5" t="n">
        <f aca="false">SUMIFS(Data!$H$4:$H$2311,Data!$B$4:$B$2311,"UCO",Data!$C$4:$C$2311,"World Total",Data!$E$4:$E$2311,2022,Data!$F$4:$F$2311,7)</f>
        <v>51.0147977136671</v>
      </c>
      <c r="T14" s="5" t="n">
        <f aca="false">SUMIFS(Data!$H$4:$H$2311,Data!$B$4:$B$2311,"UCO",Data!$C$4:$C$2311,"World Total",Data!$E$4:$E$2311,2023,Data!$F$4:$F$2311,7)</f>
        <v>122.481363608543</v>
      </c>
      <c r="U14" s="5" t="n">
        <f aca="false">SUMIFS(Data!$H$4:$H$2311,Data!$B$4:$B$2311,"UCO",Data!$C$4:$C$2311,"World Total",Data!$E$4:$E$2311,2024,Data!$F$4:$F$2311,7)</f>
        <v>436.63988660151</v>
      </c>
      <c r="V14" s="5" t="n">
        <f aca="false">SUMIFS(Data!$H$4:$H$2311,Data!$B$4:$B$2311,"UCO",Data!$C$4:$C$2311,"World Total",Data!$E$4:$E$2311,2025,Data!$F$4:$F$2311,7)</f>
        <v>443.719004797439</v>
      </c>
      <c r="W14" s="5" t="n">
        <f aca="false">SUMIFS(Data!$H$4:$H$2311,Data!$B$4:$B$2311,"UCO",Data!$C$4:$C$2311,"World Total",Data!$E$4:$E$2311,2026,Data!$F$4:$F$2311,7)</f>
        <v>746.006695395224</v>
      </c>
    </row>
    <row r="15" customFormat="false" ht="15" hidden="false" customHeight="false" outlineLevel="0" collapsed="false">
      <c r="A15" s="11" t="s">
        <v>63</v>
      </c>
      <c r="B15" s="12" t="n">
        <f aca="false">SUMIFS(Data!$H$4:$H$2311,Data!$B$4:$B$2311,"UCO",Data!$C$4:$C$2311,"Peru",Data!$E$4:$E$2311,2020,Data!$F$4:$F$2311,1)</f>
        <v>0.139574658189324</v>
      </c>
      <c r="C15" s="12" t="n">
        <f aca="false">SUMIFS(Data!$H$4:$H$2311,Data!$B$4:$B$2311,"UCO",Data!$C$4:$C$2311,"Peru",Data!$E$4:$E$2311,2020,Data!$F$4:$F$2311,2)</f>
        <v>0</v>
      </c>
      <c r="D15" s="12" t="n">
        <f aca="false">SUMIFS(Data!$H$4:$H$2311,Data!$B$4:$B$2311,"UCO",Data!$C$4:$C$2311,"Peru",Data!$E$4:$E$2311,2020,Data!$F$4:$F$2311,3)</f>
        <v>0</v>
      </c>
      <c r="E15" s="12" t="n">
        <f aca="false">SUMIFS(Data!$H$4:$H$2311,Data!$B$4:$B$2311,"UCO",Data!$C$4:$C$2311,"Peru",Data!$E$4:$E$2311,2020,Data!$F$4:$F$2311,4)</f>
        <v>0</v>
      </c>
      <c r="F15" s="12" t="n">
        <f aca="false">SUMIFS(Data!$H$4:$H$2311,Data!$B$4:$B$2311,"UCO",Data!$C$4:$C$2311,"Peru",Data!$E$4:$E$2311,2020,Data!$F$4:$F$2311,5)</f>
        <v>0</v>
      </c>
      <c r="G15" s="12" t="n">
        <f aca="false">SUMIFS(Data!$H$4:$H$2311,Data!$B$4:$B$2311,"UCO",Data!$C$4:$C$2311,"Peru",Data!$E$4:$E$2311,2020,Data!$F$4:$F$2311,6)</f>
        <v>0</v>
      </c>
      <c r="H15" s="12" t="n">
        <f aca="false">SUMIFS(Data!$H$4:$H$2311,Data!$B$4:$B$2311,"UCO",Data!$C$4:$C$2311,"Peru",Data!$E$4:$E$2311,2020,Data!$F$4:$F$2311,7)</f>
        <v>0</v>
      </c>
      <c r="I15" s="12" t="n">
        <f aca="false">SUMIFS(Data!$H$4:$H$2311,Data!$B$4:$B$2311,"UCO",Data!$C$4:$C$2311,"Peru",Data!$E$4:$E$2311,2020,Data!$F$4:$F$2311,8)</f>
        <v>0</v>
      </c>
      <c r="J15" s="12" t="n">
        <f aca="false">SUMIFS(Data!$H$4:$H$2311,Data!$B$4:$B$2311,"UCO",Data!$C$4:$C$2311,"Peru",Data!$E$4:$E$2311,2020,Data!$F$4:$F$2311,9)</f>
        <v>0</v>
      </c>
      <c r="K15" s="12" t="n">
        <f aca="false">SUMIFS(Data!$H$4:$H$2311,Data!$B$4:$B$2311,"UCO",Data!$C$4:$C$2311,"Peru",Data!$E$4:$E$2311,2020,Data!$F$4:$F$2311,10)</f>
        <v>0</v>
      </c>
      <c r="L15" s="12" t="n">
        <f aca="false">SUMIFS(Data!$H$4:$H$2311,Data!$B$4:$B$2311,"UCO",Data!$C$4:$C$2311,"Peru",Data!$E$4:$E$2311,2020,Data!$F$4:$F$2311,11)</f>
        <v>0</v>
      </c>
      <c r="M15" s="12" t="n">
        <f aca="false">SUMIFS(Data!$H$4:$H$2311,Data!$B$4:$B$2311,"UCO",Data!$C$4:$C$2311,"Peru",Data!$E$4:$E$2311,2020,Data!$F$4:$F$2311,12)</f>
        <v>0</v>
      </c>
      <c r="N15" s="13" t="n">
        <f aca="false">SUM(B15:M15)</f>
        <v>0.139574658189324</v>
      </c>
      <c r="Q15" s="4" t="s">
        <v>64</v>
      </c>
      <c r="R15" s="5" t="n">
        <f aca="false">SUMIFS(Data!$H$4:$H$2311,Data!$B$4:$B$2311,"UCO",Data!$C$4:$C$2311,"World Total",Data!$E$4:$E$2311,2021,Data!$F$4:$F$2311,8)</f>
        <v>21.508920002348</v>
      </c>
      <c r="S15" s="5" t="n">
        <f aca="false">SUMIFS(Data!$H$4:$H$2311,Data!$B$4:$B$2311,"UCO",Data!$C$4:$C$2311,"World Total",Data!$E$4:$E$2311,2022,Data!$F$4:$F$2311,8)</f>
        <v>108.406239284905</v>
      </c>
      <c r="T15" s="5" t="n">
        <f aca="false">SUMIFS(Data!$H$4:$H$2311,Data!$B$4:$B$2311,"UCO",Data!$C$4:$C$2311,"World Total",Data!$E$4:$E$2311,2023,Data!$F$4:$F$2311,8)</f>
        <v>286.870843969603</v>
      </c>
      <c r="U15" s="5" t="n">
        <f aca="false">SUMIFS(Data!$H$4:$H$2311,Data!$B$4:$B$2311,"UCO",Data!$C$4:$C$2311,"World Total",Data!$E$4:$E$2311,2024,Data!$F$4:$F$2311,8)</f>
        <v>540.755917036559</v>
      </c>
      <c r="V15" s="5" t="n">
        <f aca="false">SUMIFS(Data!$H$4:$H$2311,Data!$B$4:$B$2311,"UCO",Data!$C$4:$C$2311,"World Total",Data!$E$4:$E$2311,2025,Data!$F$4:$F$2311,8)</f>
        <v>361.874047837469</v>
      </c>
      <c r="W15" s="5" t="n">
        <f aca="false">SUMIFS(Data!$H$4:$H$2311,Data!$B$4:$B$2311,"UCO",Data!$C$4:$C$2311,"World Total",Data!$E$4:$E$2311,2026,Data!$F$4:$F$2311,8)</f>
        <v>586.760425445754</v>
      </c>
    </row>
    <row r="16" customFormat="false" ht="15" hidden="false" customHeight="false" outlineLevel="0" collapsed="false">
      <c r="A16" s="11" t="s">
        <v>65</v>
      </c>
      <c r="B16" s="12" t="n">
        <f aca="false">SUMIFS(Data!$H$4:$H$2311,Data!$B$4:$B$2311,"UCO",Data!$C$4:$C$2311,"Malaysia",Data!$E$4:$E$2311,2020,Data!$F$4:$F$2311,1)</f>
        <v>0</v>
      </c>
      <c r="C16" s="12" t="n">
        <f aca="false">SUMIFS(Data!$H$4:$H$2311,Data!$B$4:$B$2311,"UCO",Data!$C$4:$C$2311,"Malaysia",Data!$E$4:$E$2311,2020,Data!$F$4:$F$2311,2)</f>
        <v>0</v>
      </c>
      <c r="D16" s="12" t="n">
        <f aca="false">SUMIFS(Data!$H$4:$H$2311,Data!$B$4:$B$2311,"UCO",Data!$C$4:$C$2311,"Malaysia",Data!$E$4:$E$2311,2020,Data!$F$4:$F$2311,3)</f>
        <v>0</v>
      </c>
      <c r="E16" s="12" t="n">
        <f aca="false">SUMIFS(Data!$H$4:$H$2311,Data!$B$4:$B$2311,"UCO",Data!$C$4:$C$2311,"Malaysia",Data!$E$4:$E$2311,2020,Data!$F$4:$F$2311,4)</f>
        <v>0</v>
      </c>
      <c r="F16" s="12" t="n">
        <f aca="false">SUMIFS(Data!$H$4:$H$2311,Data!$B$4:$B$2311,"UCO",Data!$C$4:$C$2311,"Malaysia",Data!$E$4:$E$2311,2020,Data!$F$4:$F$2311,5)</f>
        <v>0</v>
      </c>
      <c r="G16" s="12" t="n">
        <f aca="false">SUMIFS(Data!$H$4:$H$2311,Data!$B$4:$B$2311,"UCO",Data!$C$4:$C$2311,"Malaysia",Data!$E$4:$E$2311,2020,Data!$F$4:$F$2311,6)</f>
        <v>0</v>
      </c>
      <c r="H16" s="12" t="n">
        <f aca="false">SUMIFS(Data!$H$4:$H$2311,Data!$B$4:$B$2311,"UCO",Data!$C$4:$C$2311,"Malaysia",Data!$E$4:$E$2311,2020,Data!$F$4:$F$2311,7)</f>
        <v>0</v>
      </c>
      <c r="I16" s="12" t="n">
        <f aca="false">SUMIFS(Data!$H$4:$H$2311,Data!$B$4:$B$2311,"UCO",Data!$C$4:$C$2311,"Malaysia",Data!$E$4:$E$2311,2020,Data!$F$4:$F$2311,8)</f>
        <v>0</v>
      </c>
      <c r="J16" s="12" t="n">
        <f aca="false">SUMIFS(Data!$H$4:$H$2311,Data!$B$4:$B$2311,"UCO",Data!$C$4:$C$2311,"Malaysia",Data!$E$4:$E$2311,2020,Data!$F$4:$F$2311,9)</f>
        <v>0.046076612796665</v>
      </c>
      <c r="K16" s="12" t="n">
        <f aca="false">SUMIFS(Data!$H$4:$H$2311,Data!$B$4:$B$2311,"UCO",Data!$C$4:$C$2311,"Malaysia",Data!$E$4:$E$2311,2020,Data!$F$4:$F$2311,10)</f>
        <v>0</v>
      </c>
      <c r="L16" s="12" t="n">
        <f aca="false">SUMIFS(Data!$H$4:$H$2311,Data!$B$4:$B$2311,"UCO",Data!$C$4:$C$2311,"Malaysia",Data!$E$4:$E$2311,2020,Data!$F$4:$F$2311,11)</f>
        <v>0</v>
      </c>
      <c r="M16" s="12" t="n">
        <f aca="false">SUMIFS(Data!$H$4:$H$2311,Data!$B$4:$B$2311,"UCO",Data!$C$4:$C$2311,"Malaysia",Data!$E$4:$E$2311,2020,Data!$F$4:$F$2311,12)</f>
        <v>0</v>
      </c>
      <c r="N16" s="13" t="n">
        <f aca="false">SUM(B16:M16)</f>
        <v>0.046076612796665</v>
      </c>
      <c r="Q16" s="4" t="s">
        <v>66</v>
      </c>
      <c r="R16" s="5" t="n">
        <f aca="false">SUMIFS(Data!$H$4:$H$2311,Data!$B$4:$B$2311,"UCO",Data!$C$4:$C$2311,"World Total",Data!$E$4:$E$2311,2021,Data!$F$4:$F$2311,9)</f>
        <v>17.57496714507</v>
      </c>
      <c r="S16" s="5" t="n">
        <f aca="false">SUMIFS(Data!$H$4:$H$2311,Data!$B$4:$B$2311,"UCO",Data!$C$4:$C$2311,"World Total",Data!$E$4:$E$2311,2022,Data!$F$4:$F$2311,9)</f>
        <v>38.3431383557216</v>
      </c>
      <c r="T16" s="5" t="n">
        <f aca="false">SUMIFS(Data!$H$4:$H$2311,Data!$B$4:$B$2311,"UCO",Data!$C$4:$C$2311,"World Total",Data!$E$4:$E$2311,2023,Data!$F$4:$F$2311,9)</f>
        <v>382.930738010643</v>
      </c>
      <c r="U16" s="5" t="n">
        <f aca="false">SUMIFS(Data!$H$4:$H$2311,Data!$B$4:$B$2311,"UCO",Data!$C$4:$C$2311,"World Total",Data!$E$4:$E$2311,2024,Data!$F$4:$F$2311,9)</f>
        <v>691.840993710221</v>
      </c>
      <c r="V16" s="5" t="n">
        <f aca="false">SUMIFS(Data!$H$4:$H$2311,Data!$B$4:$B$2311,"UCO",Data!$C$4:$C$2311,"World Total",Data!$E$4:$E$2311,2025,Data!$F$4:$F$2311,9)</f>
        <v>388.754475742389</v>
      </c>
    </row>
    <row r="17" customFormat="false" ht="15" hidden="false" customHeight="false" outlineLevel="0" collapsed="false">
      <c r="A17" s="11" t="s">
        <v>67</v>
      </c>
      <c r="B17" s="12" t="n">
        <f aca="false">SUMIFS(Data!$H$4:$H$2311,Data!$B$4:$B$2311,"UCO",Data!$C$4:$C$2311,"Japan",Data!$E$4:$E$2311,2020,Data!$F$4:$F$2311,1)</f>
        <v>0.006349313150928</v>
      </c>
      <c r="C17" s="12" t="n">
        <f aca="false">SUMIFS(Data!$H$4:$H$2311,Data!$B$4:$B$2311,"UCO",Data!$C$4:$C$2311,"Japan",Data!$E$4:$E$2311,2020,Data!$F$4:$F$2311,2)</f>
        <v>0.00264554714622</v>
      </c>
      <c r="D17" s="12" t="n">
        <f aca="false">SUMIFS(Data!$H$4:$H$2311,Data!$B$4:$B$2311,"UCO",Data!$C$4:$C$2311,"Japan",Data!$E$4:$E$2311,2020,Data!$F$4:$F$2311,3)</f>
        <v>0.005555649007062</v>
      </c>
      <c r="E17" s="12" t="n">
        <f aca="false">SUMIFS(Data!$H$4:$H$2311,Data!$B$4:$B$2311,"UCO",Data!$C$4:$C$2311,"Japan",Data!$E$4:$E$2311,2020,Data!$F$4:$F$2311,4)</f>
        <v>0</v>
      </c>
      <c r="F17" s="12" t="n">
        <f aca="false">SUMIFS(Data!$H$4:$H$2311,Data!$B$4:$B$2311,"UCO",Data!$C$4:$C$2311,"Japan",Data!$E$4:$E$2311,2020,Data!$F$4:$F$2311,5)</f>
        <v>0.003791950909582</v>
      </c>
      <c r="G17" s="12" t="n">
        <f aca="false">SUMIFS(Data!$H$4:$H$2311,Data!$B$4:$B$2311,"UCO",Data!$C$4:$C$2311,"Japan",Data!$E$4:$E$2311,2020,Data!$F$4:$F$2311,6)</f>
        <v>0.00220462262185</v>
      </c>
      <c r="H17" s="12" t="n">
        <f aca="false">SUMIFS(Data!$H$4:$H$2311,Data!$B$4:$B$2311,"UCO",Data!$C$4:$C$2311,"Japan",Data!$E$4:$E$2311,2020,Data!$F$4:$F$2311,7)</f>
        <v>0</v>
      </c>
      <c r="I17" s="12" t="n">
        <f aca="false">SUMIFS(Data!$H$4:$H$2311,Data!$B$4:$B$2311,"UCO",Data!$C$4:$C$2311,"Japan",Data!$E$4:$E$2311,2020,Data!$F$4:$F$2311,8)</f>
        <v>0.002469177336472</v>
      </c>
      <c r="J17" s="12" t="n">
        <f aca="false">SUMIFS(Data!$H$4:$H$2311,Data!$B$4:$B$2311,"UCO",Data!$C$4:$C$2311,"Japan",Data!$E$4:$E$2311,2020,Data!$F$4:$F$2311,9)</f>
        <v>0.00264554714622</v>
      </c>
      <c r="K17" s="12" t="n">
        <f aca="false">SUMIFS(Data!$H$4:$H$2311,Data!$B$4:$B$2311,"UCO",Data!$C$4:$C$2311,"Japan",Data!$E$4:$E$2311,2020,Data!$F$4:$F$2311,10)</f>
        <v>0.0055336027808435</v>
      </c>
      <c r="L17" s="12" t="n">
        <f aca="false">SUMIFS(Data!$H$4:$H$2311,Data!$B$4:$B$2311,"UCO",Data!$C$4:$C$2311,"Japan",Data!$E$4:$E$2311,2020,Data!$F$4:$F$2311,11)</f>
        <v>0.0008730305582526</v>
      </c>
      <c r="M17" s="12" t="n">
        <f aca="false">SUMIFS(Data!$H$4:$H$2311,Data!$B$4:$B$2311,"UCO",Data!$C$4:$C$2311,"Japan",Data!$E$4:$E$2311,2020,Data!$F$4:$F$2311,12)</f>
        <v>0.0101324455700226</v>
      </c>
      <c r="N17" s="13" t="n">
        <f aca="false">SUM(B17:M17)</f>
        <v>0.0422008862274527</v>
      </c>
    </row>
    <row r="18" customFormat="false" ht="15" hidden="false" customHeight="false" outlineLevel="0" collapsed="false">
      <c r="A18" s="11" t="s">
        <v>68</v>
      </c>
      <c r="B18" s="12" t="n">
        <f aca="false">SUMIFS(Data!$H$4:$H$2311,Data!$B$4:$B$2311,"UCO",Data!$C$4:$C$2311,"Argentina",Data!$E$4:$E$2311,2020,Data!$F$4:$F$2311,1)</f>
        <v>0</v>
      </c>
      <c r="C18" s="12" t="n">
        <f aca="false">SUMIFS(Data!$H$4:$H$2311,Data!$B$4:$B$2311,"UCO",Data!$C$4:$C$2311,"Argentina",Data!$E$4:$E$2311,2020,Data!$F$4:$F$2311,2)</f>
        <v>0</v>
      </c>
      <c r="D18" s="12" t="n">
        <f aca="false">SUMIFS(Data!$H$4:$H$2311,Data!$B$4:$B$2311,"UCO",Data!$C$4:$C$2311,"Argentina",Data!$E$4:$E$2311,2020,Data!$F$4:$F$2311,3)</f>
        <v>0</v>
      </c>
      <c r="E18" s="12" t="n">
        <f aca="false">SUMIFS(Data!$H$4:$H$2311,Data!$B$4:$B$2311,"UCO",Data!$C$4:$C$2311,"Argentina",Data!$E$4:$E$2311,2020,Data!$F$4:$F$2311,4)</f>
        <v>0</v>
      </c>
      <c r="F18" s="12" t="n">
        <f aca="false">SUMIFS(Data!$H$4:$H$2311,Data!$B$4:$B$2311,"UCO",Data!$C$4:$C$2311,"Argentina",Data!$E$4:$E$2311,2020,Data!$F$4:$F$2311,5)</f>
        <v>0</v>
      </c>
      <c r="G18" s="12" t="n">
        <f aca="false">SUMIFS(Data!$H$4:$H$2311,Data!$B$4:$B$2311,"UCO",Data!$C$4:$C$2311,"Argentina",Data!$E$4:$E$2311,2020,Data!$F$4:$F$2311,6)</f>
        <v>0</v>
      </c>
      <c r="H18" s="12" t="n">
        <f aca="false">SUMIFS(Data!$H$4:$H$2311,Data!$B$4:$B$2311,"UCO",Data!$C$4:$C$2311,"Argentina",Data!$E$4:$E$2311,2020,Data!$F$4:$F$2311,7)</f>
        <v>0</v>
      </c>
      <c r="I18" s="12" t="n">
        <f aca="false">SUMIFS(Data!$H$4:$H$2311,Data!$B$4:$B$2311,"UCO",Data!$C$4:$C$2311,"Argentina",Data!$E$4:$E$2311,2020,Data!$F$4:$F$2311,8)</f>
        <v>0</v>
      </c>
      <c r="J18" s="12" t="n">
        <f aca="false">SUMIFS(Data!$H$4:$H$2311,Data!$B$4:$B$2311,"UCO",Data!$C$4:$C$2311,"Argentina",Data!$E$4:$E$2311,2020,Data!$F$4:$F$2311,9)</f>
        <v>0.0396832071933</v>
      </c>
      <c r="K18" s="12" t="n">
        <f aca="false">SUMIFS(Data!$H$4:$H$2311,Data!$B$4:$B$2311,"UCO",Data!$C$4:$C$2311,"Argentina",Data!$E$4:$E$2311,2020,Data!$F$4:$F$2311,10)</f>
        <v>0</v>
      </c>
      <c r="L18" s="12" t="n">
        <f aca="false">SUMIFS(Data!$H$4:$H$2311,Data!$B$4:$B$2311,"UCO",Data!$C$4:$C$2311,"Argentina",Data!$E$4:$E$2311,2020,Data!$F$4:$F$2311,11)</f>
        <v>0</v>
      </c>
      <c r="M18" s="12" t="n">
        <f aca="false">SUMIFS(Data!$H$4:$H$2311,Data!$B$4:$B$2311,"UCO",Data!$C$4:$C$2311,"Argentina",Data!$E$4:$E$2311,2020,Data!$F$4:$F$2311,12)</f>
        <v>0</v>
      </c>
      <c r="N18" s="13" t="n">
        <f aca="false">SUM(B18:M18)</f>
        <v>0.0396832071933</v>
      </c>
    </row>
    <row r="19" customFormat="false" ht="15" hidden="false" customHeight="false" outlineLevel="0" collapsed="false">
      <c r="A19" s="11" t="s">
        <v>69</v>
      </c>
      <c r="B19" s="12" t="n">
        <f aca="false">SUMIFS(Data!$H$4:$H$2311,Data!$B$4:$B$2311,"UCO",Data!$C$4:$C$2311,"Spain",Data!$E$4:$E$2311,2020,Data!$F$4:$F$2311,1)</f>
        <v>0</v>
      </c>
      <c r="C19" s="12" t="n">
        <f aca="false">SUMIFS(Data!$H$4:$H$2311,Data!$B$4:$B$2311,"UCO",Data!$C$4:$C$2311,"Spain",Data!$E$4:$E$2311,2020,Data!$F$4:$F$2311,2)</f>
        <v>0</v>
      </c>
      <c r="D19" s="12" t="n">
        <f aca="false">SUMIFS(Data!$H$4:$H$2311,Data!$B$4:$B$2311,"UCO",Data!$C$4:$C$2311,"Spain",Data!$E$4:$E$2311,2020,Data!$F$4:$F$2311,3)</f>
        <v>0.00148812026974875</v>
      </c>
      <c r="E19" s="12" t="n">
        <f aca="false">SUMIFS(Data!$H$4:$H$2311,Data!$B$4:$B$2311,"UCO",Data!$C$4:$C$2311,"Spain",Data!$E$4:$E$2311,2020,Data!$F$4:$F$2311,4)</f>
        <v>0.00898383718403875</v>
      </c>
      <c r="F19" s="12" t="n">
        <f aca="false">SUMIFS(Data!$H$4:$H$2311,Data!$B$4:$B$2311,"UCO",Data!$C$4:$C$2311,"Spain",Data!$E$4:$E$2311,2020,Data!$F$4:$F$2311,5)</f>
        <v>0.00485237439069185</v>
      </c>
      <c r="G19" s="12" t="n">
        <f aca="false">SUMIFS(Data!$H$4:$H$2311,Data!$B$4:$B$2311,"UCO",Data!$C$4:$C$2311,"Spain",Data!$E$4:$E$2311,2020,Data!$F$4:$F$2311,6)</f>
        <v>0.002513269788909</v>
      </c>
      <c r="H19" s="12" t="n">
        <f aca="false">SUMIFS(Data!$H$4:$H$2311,Data!$B$4:$B$2311,"UCO",Data!$C$4:$C$2311,"Spain",Data!$E$4:$E$2311,2020,Data!$F$4:$F$2311,7)</f>
        <v>0.000661386786555</v>
      </c>
      <c r="I19" s="12" t="n">
        <f aca="false">SUMIFS(Data!$H$4:$H$2311,Data!$B$4:$B$2311,"UCO",Data!$C$4:$C$2311,"Spain",Data!$E$4:$E$2311,2020,Data!$F$4:$F$2311,8)</f>
        <v>0.00220462262185</v>
      </c>
      <c r="J19" s="12" t="n">
        <f aca="false">SUMIFS(Data!$H$4:$H$2311,Data!$B$4:$B$2311,"UCO",Data!$C$4:$C$2311,"Spain",Data!$E$4:$E$2311,2020,Data!$F$4:$F$2311,9)</f>
        <v>0</v>
      </c>
      <c r="K19" s="12" t="n">
        <f aca="false">SUMIFS(Data!$H$4:$H$2311,Data!$B$4:$B$2311,"UCO",Data!$C$4:$C$2311,"Spain",Data!$E$4:$E$2311,2020,Data!$F$4:$F$2311,10)</f>
        <v>0</v>
      </c>
      <c r="L19" s="12" t="n">
        <f aca="false">SUMIFS(Data!$H$4:$H$2311,Data!$B$4:$B$2311,"UCO",Data!$C$4:$C$2311,"Spain",Data!$E$4:$E$2311,2020,Data!$F$4:$F$2311,11)</f>
        <v>0.0044092452437</v>
      </c>
      <c r="M19" s="12" t="n">
        <f aca="false">SUMIFS(Data!$H$4:$H$2311,Data!$B$4:$B$2311,"UCO",Data!$C$4:$C$2311,"Spain",Data!$E$4:$E$2311,2020,Data!$F$4:$F$2311,12)</f>
        <v>0.00308647167059</v>
      </c>
      <c r="N19" s="13" t="n">
        <f aca="false">SUM(B19:M19)</f>
        <v>0.0281993279560834</v>
      </c>
    </row>
    <row r="20" customFormat="false" ht="15" hidden="false" customHeight="false" outlineLevel="0" collapsed="false">
      <c r="A20" s="11" t="s">
        <v>70</v>
      </c>
      <c r="B20" s="12" t="n">
        <f aca="false">SUMIFS(Data!$H$4:$H$2311,Data!$B$4:$B$2311,"UCO",Data!$C$4:$C$2311,"Sweden",Data!$E$4:$E$2311,2020,Data!$F$4:$F$2311,1)</f>
        <v>0</v>
      </c>
      <c r="C20" s="12" t="n">
        <f aca="false">SUMIFS(Data!$H$4:$H$2311,Data!$B$4:$B$2311,"UCO",Data!$C$4:$C$2311,"Sweden",Data!$E$4:$E$2311,2020,Data!$F$4:$F$2311,2)</f>
        <v>0.0052381833495156</v>
      </c>
      <c r="D20" s="12" t="n">
        <f aca="false">SUMIFS(Data!$H$4:$H$2311,Data!$B$4:$B$2311,"UCO",Data!$C$4:$C$2311,"Sweden",Data!$E$4:$E$2311,2020,Data!$F$4:$F$2311,3)</f>
        <v>0</v>
      </c>
      <c r="E20" s="12" t="n">
        <f aca="false">SUMIFS(Data!$H$4:$H$2311,Data!$B$4:$B$2311,"UCO",Data!$C$4:$C$2311,"Sweden",Data!$E$4:$E$2311,2020,Data!$F$4:$F$2311,4)</f>
        <v>0</v>
      </c>
      <c r="F20" s="12" t="n">
        <f aca="false">SUMIFS(Data!$H$4:$H$2311,Data!$B$4:$B$2311,"UCO",Data!$C$4:$C$2311,"Sweden",Data!$E$4:$E$2311,2020,Data!$F$4:$F$2311,5)</f>
        <v>0</v>
      </c>
      <c r="G20" s="12" t="n">
        <f aca="false">SUMIFS(Data!$H$4:$H$2311,Data!$B$4:$B$2311,"UCO",Data!$C$4:$C$2311,"Sweden",Data!$E$4:$E$2311,2020,Data!$F$4:$F$2311,6)</f>
        <v>0</v>
      </c>
      <c r="H20" s="12" t="n">
        <f aca="false">SUMIFS(Data!$H$4:$H$2311,Data!$B$4:$B$2311,"UCO",Data!$C$4:$C$2311,"Sweden",Data!$E$4:$E$2311,2020,Data!$F$4:$F$2311,7)</f>
        <v>0.0019047939452784</v>
      </c>
      <c r="I20" s="12" t="n">
        <f aca="false">SUMIFS(Data!$H$4:$H$2311,Data!$B$4:$B$2311,"UCO",Data!$C$4:$C$2311,"Sweden",Data!$E$4:$E$2311,2020,Data!$F$4:$F$2311,8)</f>
        <v>0.0123811606443096</v>
      </c>
      <c r="J20" s="12" t="n">
        <f aca="false">SUMIFS(Data!$H$4:$H$2311,Data!$B$4:$B$2311,"UCO",Data!$C$4:$C$2311,"Sweden",Data!$E$4:$E$2311,2020,Data!$F$4:$F$2311,9)</f>
        <v>0</v>
      </c>
      <c r="K20" s="12" t="n">
        <f aca="false">SUMIFS(Data!$H$4:$H$2311,Data!$B$4:$B$2311,"UCO",Data!$C$4:$C$2311,"Sweden",Data!$E$4:$E$2311,2020,Data!$F$4:$F$2311,10)</f>
        <v>0</v>
      </c>
      <c r="L20" s="12" t="n">
        <f aca="false">SUMIFS(Data!$H$4:$H$2311,Data!$B$4:$B$2311,"UCO",Data!$C$4:$C$2311,"Sweden",Data!$E$4:$E$2311,2020,Data!$F$4:$F$2311,11)</f>
        <v>0</v>
      </c>
      <c r="M20" s="12" t="n">
        <f aca="false">SUMIFS(Data!$H$4:$H$2311,Data!$B$4:$B$2311,"UCO",Data!$C$4:$C$2311,"Sweden",Data!$E$4:$E$2311,2020,Data!$F$4:$F$2311,12)</f>
        <v>0</v>
      </c>
      <c r="N20" s="13" t="n">
        <f aca="false">SUM(B20:M20)</f>
        <v>0.0195241379391036</v>
      </c>
    </row>
    <row r="21" customFormat="false" ht="15" hidden="false" customHeight="false" outlineLevel="0" collapsed="false">
      <c r="A21" s="11" t="s">
        <v>71</v>
      </c>
      <c r="B21" s="12" t="n">
        <f aca="false">SUMIFS(Data!$H$4:$H$2311,Data!$B$4:$B$2311,"UCO",Data!$C$4:$C$2311,"Ecuador",Data!$E$4:$E$2311,2020,Data!$F$4:$F$2311,1)</f>
        <v>0</v>
      </c>
      <c r="C21" s="12" t="n">
        <f aca="false">SUMIFS(Data!$H$4:$H$2311,Data!$B$4:$B$2311,"UCO",Data!$C$4:$C$2311,"Ecuador",Data!$E$4:$E$2311,2020,Data!$F$4:$F$2311,2)</f>
        <v>0</v>
      </c>
      <c r="D21" s="12" t="n">
        <f aca="false">SUMIFS(Data!$H$4:$H$2311,Data!$B$4:$B$2311,"UCO",Data!$C$4:$C$2311,"Ecuador",Data!$E$4:$E$2311,2020,Data!$F$4:$F$2311,3)</f>
        <v>0.00267861648554775</v>
      </c>
      <c r="E21" s="12" t="n">
        <f aca="false">SUMIFS(Data!$H$4:$H$2311,Data!$B$4:$B$2311,"UCO",Data!$C$4:$C$2311,"Ecuador",Data!$E$4:$E$2311,2020,Data!$F$4:$F$2311,4)</f>
        <v>0</v>
      </c>
      <c r="F21" s="12" t="n">
        <f aca="false">SUMIFS(Data!$H$4:$H$2311,Data!$B$4:$B$2311,"UCO",Data!$C$4:$C$2311,"Ecuador",Data!$E$4:$E$2311,2020,Data!$F$4:$F$2311,5)</f>
        <v>0</v>
      </c>
      <c r="G21" s="12" t="n">
        <f aca="false">SUMIFS(Data!$H$4:$H$2311,Data!$B$4:$B$2311,"UCO",Data!$C$4:$C$2311,"Ecuador",Data!$E$4:$E$2311,2020,Data!$F$4:$F$2311,6)</f>
        <v>0.00267861648554775</v>
      </c>
      <c r="H21" s="12" t="n">
        <f aca="false">SUMIFS(Data!$H$4:$H$2311,Data!$B$4:$B$2311,"UCO",Data!$C$4:$C$2311,"Ecuador",Data!$E$4:$E$2311,2020,Data!$F$4:$F$2311,7)</f>
        <v>0</v>
      </c>
      <c r="I21" s="12" t="n">
        <f aca="false">SUMIFS(Data!$H$4:$H$2311,Data!$B$4:$B$2311,"UCO",Data!$C$4:$C$2311,"Ecuador",Data!$E$4:$E$2311,2020,Data!$F$4:$F$2311,8)</f>
        <v>0</v>
      </c>
      <c r="J21" s="12" t="n">
        <f aca="false">SUMIFS(Data!$H$4:$H$2311,Data!$B$4:$B$2311,"UCO",Data!$C$4:$C$2311,"Ecuador",Data!$E$4:$E$2311,2020,Data!$F$4:$F$2311,9)</f>
        <v>0</v>
      </c>
      <c r="K21" s="12" t="n">
        <f aca="false">SUMIFS(Data!$H$4:$H$2311,Data!$B$4:$B$2311,"UCO",Data!$C$4:$C$2311,"Ecuador",Data!$E$4:$E$2311,2020,Data!$F$4:$F$2311,10)</f>
        <v>0.00267861648554775</v>
      </c>
      <c r="L21" s="12" t="n">
        <f aca="false">SUMIFS(Data!$H$4:$H$2311,Data!$B$4:$B$2311,"UCO",Data!$C$4:$C$2311,"Ecuador",Data!$E$4:$E$2311,2020,Data!$F$4:$F$2311,11)</f>
        <v>0</v>
      </c>
      <c r="M21" s="12" t="n">
        <f aca="false">SUMIFS(Data!$H$4:$H$2311,Data!$B$4:$B$2311,"UCO",Data!$C$4:$C$2311,"Ecuador",Data!$E$4:$E$2311,2020,Data!$F$4:$F$2311,12)</f>
        <v>0</v>
      </c>
      <c r="N21" s="13" t="n">
        <f aca="false">SUM(B21:M21)</f>
        <v>0.00803584945664325</v>
      </c>
    </row>
    <row r="22" customFormat="false" ht="15" hidden="false" customHeight="false" outlineLevel="0" collapsed="false">
      <c r="A22" s="11" t="s">
        <v>72</v>
      </c>
      <c r="B22" s="12" t="n">
        <f aca="false">SUMIFS(Data!$H$4:$H$2311,Data!$B$4:$B$2311,"UCO",Data!$C$4:$C$2311,"Jamaica",Data!$E$4:$E$2311,2020,Data!$F$4:$F$2311,1)</f>
        <v>0</v>
      </c>
      <c r="C22" s="12" t="n">
        <f aca="false">SUMIFS(Data!$H$4:$H$2311,Data!$B$4:$B$2311,"UCO",Data!$C$4:$C$2311,"Jamaica",Data!$E$4:$E$2311,2020,Data!$F$4:$F$2311,2)</f>
        <v>0</v>
      </c>
      <c r="D22" s="12" t="n">
        <f aca="false">SUMIFS(Data!$H$4:$H$2311,Data!$B$4:$B$2311,"UCO",Data!$C$4:$C$2311,"Jamaica",Data!$E$4:$E$2311,2020,Data!$F$4:$F$2311,3)</f>
        <v>0.00423067081133015</v>
      </c>
      <c r="E22" s="12" t="n">
        <f aca="false">SUMIFS(Data!$H$4:$H$2311,Data!$B$4:$B$2311,"UCO",Data!$C$4:$C$2311,"Jamaica",Data!$E$4:$E$2311,2020,Data!$F$4:$F$2311,4)</f>
        <v>0</v>
      </c>
      <c r="F22" s="12" t="n">
        <f aca="false">SUMIFS(Data!$H$4:$H$2311,Data!$B$4:$B$2311,"UCO",Data!$C$4:$C$2311,"Jamaica",Data!$E$4:$E$2311,2020,Data!$F$4:$F$2311,5)</f>
        <v>0</v>
      </c>
      <c r="G22" s="12" t="n">
        <f aca="false">SUMIFS(Data!$H$4:$H$2311,Data!$B$4:$B$2311,"UCO",Data!$C$4:$C$2311,"Jamaica",Data!$E$4:$E$2311,2020,Data!$F$4:$F$2311,6)</f>
        <v>0</v>
      </c>
      <c r="H22" s="12" t="n">
        <f aca="false">SUMIFS(Data!$H$4:$H$2311,Data!$B$4:$B$2311,"UCO",Data!$C$4:$C$2311,"Jamaica",Data!$E$4:$E$2311,2020,Data!$F$4:$F$2311,7)</f>
        <v>0</v>
      </c>
      <c r="I22" s="12" t="n">
        <f aca="false">SUMIFS(Data!$H$4:$H$2311,Data!$B$4:$B$2311,"UCO",Data!$C$4:$C$2311,"Jamaica",Data!$E$4:$E$2311,2020,Data!$F$4:$F$2311,8)</f>
        <v>0</v>
      </c>
      <c r="J22" s="12" t="n">
        <f aca="false">SUMIFS(Data!$H$4:$H$2311,Data!$B$4:$B$2311,"UCO",Data!$C$4:$C$2311,"Jamaica",Data!$E$4:$E$2311,2020,Data!$F$4:$F$2311,9)</f>
        <v>0</v>
      </c>
      <c r="K22" s="12" t="n">
        <f aca="false">SUMIFS(Data!$H$4:$H$2311,Data!$B$4:$B$2311,"UCO",Data!$C$4:$C$2311,"Jamaica",Data!$E$4:$E$2311,2020,Data!$F$4:$F$2311,10)</f>
        <v>0</v>
      </c>
      <c r="L22" s="12" t="n">
        <f aca="false">SUMIFS(Data!$H$4:$H$2311,Data!$B$4:$B$2311,"UCO",Data!$C$4:$C$2311,"Jamaica",Data!$E$4:$E$2311,2020,Data!$F$4:$F$2311,11)</f>
        <v>0</v>
      </c>
      <c r="M22" s="12" t="n">
        <f aca="false">SUMIFS(Data!$H$4:$H$2311,Data!$B$4:$B$2311,"UCO",Data!$C$4:$C$2311,"Jamaica",Data!$E$4:$E$2311,2020,Data!$F$4:$F$2311,12)</f>
        <v>0</v>
      </c>
      <c r="N22" s="13" t="n">
        <f aca="false">SUM(B22:M22)</f>
        <v>0.00423067081133015</v>
      </c>
    </row>
    <row r="23" customFormat="false" ht="15" hidden="false" customHeight="false" outlineLevel="0" collapsed="false">
      <c r="A23" s="11" t="s">
        <v>73</v>
      </c>
      <c r="B23" s="12" t="n">
        <f aca="false">SUMIFS(Data!$H$4:$H$2311,Data!$B$4:$B$2311,"UCO",Data!$C$4:$C$2311,"Belgium",Data!$E$4:$E$2311,2020,Data!$F$4:$F$2311,1)</f>
        <v>0</v>
      </c>
      <c r="C23" s="12" t="n">
        <f aca="false">SUMIFS(Data!$H$4:$H$2311,Data!$B$4:$B$2311,"UCO",Data!$C$4:$C$2311,"Belgium",Data!$E$4:$E$2311,2020,Data!$F$4:$F$2311,2)</f>
        <v>0</v>
      </c>
      <c r="D23" s="12" t="n">
        <f aca="false">SUMIFS(Data!$H$4:$H$2311,Data!$B$4:$B$2311,"UCO",Data!$C$4:$C$2311,"Belgium",Data!$E$4:$E$2311,2020,Data!$F$4:$F$2311,3)</f>
        <v>0</v>
      </c>
      <c r="E23" s="12" t="n">
        <f aca="false">SUMIFS(Data!$H$4:$H$2311,Data!$B$4:$B$2311,"UCO",Data!$C$4:$C$2311,"Belgium",Data!$E$4:$E$2311,2020,Data!$F$4:$F$2311,4)</f>
        <v>0.0023148537529425</v>
      </c>
      <c r="F23" s="12" t="n">
        <f aca="false">SUMIFS(Data!$H$4:$H$2311,Data!$B$4:$B$2311,"UCO",Data!$C$4:$C$2311,"Belgium",Data!$E$4:$E$2311,2020,Data!$F$4:$F$2311,5)</f>
        <v>0</v>
      </c>
      <c r="G23" s="12" t="n">
        <f aca="false">SUMIFS(Data!$H$4:$H$2311,Data!$B$4:$B$2311,"UCO",Data!$C$4:$C$2311,"Belgium",Data!$E$4:$E$2311,2020,Data!$F$4:$F$2311,6)</f>
        <v>0</v>
      </c>
      <c r="H23" s="12" t="n">
        <f aca="false">SUMIFS(Data!$H$4:$H$2311,Data!$B$4:$B$2311,"UCO",Data!$C$4:$C$2311,"Belgium",Data!$E$4:$E$2311,2020,Data!$F$4:$F$2311,7)</f>
        <v>0</v>
      </c>
      <c r="I23" s="12" t="n">
        <f aca="false">SUMIFS(Data!$H$4:$H$2311,Data!$B$4:$B$2311,"UCO",Data!$C$4:$C$2311,"Belgium",Data!$E$4:$E$2311,2020,Data!$F$4:$F$2311,8)</f>
        <v>0</v>
      </c>
      <c r="J23" s="12" t="n">
        <f aca="false">SUMIFS(Data!$H$4:$H$2311,Data!$B$4:$B$2311,"UCO",Data!$C$4:$C$2311,"Belgium",Data!$E$4:$E$2311,2020,Data!$F$4:$F$2311,9)</f>
        <v>0</v>
      </c>
      <c r="K23" s="12" t="n">
        <f aca="false">SUMIFS(Data!$H$4:$H$2311,Data!$B$4:$B$2311,"UCO",Data!$C$4:$C$2311,"Belgium",Data!$E$4:$E$2311,2020,Data!$F$4:$F$2311,10)</f>
        <v>0</v>
      </c>
      <c r="L23" s="12" t="n">
        <f aca="false">SUMIFS(Data!$H$4:$H$2311,Data!$B$4:$B$2311,"UCO",Data!$C$4:$C$2311,"Belgium",Data!$E$4:$E$2311,2020,Data!$F$4:$F$2311,11)</f>
        <v>0.00143080008158065</v>
      </c>
      <c r="M23" s="12" t="n">
        <f aca="false">SUMIFS(Data!$H$4:$H$2311,Data!$B$4:$B$2311,"UCO",Data!$C$4:$C$2311,"Belgium",Data!$E$4:$E$2311,2020,Data!$F$4:$F$2311,12)</f>
        <v>0</v>
      </c>
      <c r="N23" s="13" t="n">
        <f aca="false">SUM(B23:M23)</f>
        <v>0.00374565383452315</v>
      </c>
    </row>
    <row r="24" customFormat="false" ht="15" hidden="false" customHeight="false" outlineLevel="0" collapsed="false">
      <c r="A24" s="11" t="s">
        <v>74</v>
      </c>
      <c r="B24" s="12" t="n">
        <f aca="false">SUMIFS(Data!$H$4:$H$2311,Data!$B$4:$B$2311,"UCO",Data!$C$4:$C$2311,"United Kingdom",Data!$E$4:$E$2311,2020,Data!$F$4:$F$2311,1)</f>
        <v>0</v>
      </c>
      <c r="C24" s="12" t="n">
        <f aca="false">SUMIFS(Data!$H$4:$H$2311,Data!$B$4:$B$2311,"UCO",Data!$C$4:$C$2311,"United Kingdom",Data!$E$4:$E$2311,2020,Data!$F$4:$F$2311,2)</f>
        <v>0</v>
      </c>
      <c r="D24" s="12" t="n">
        <f aca="false">SUMIFS(Data!$H$4:$H$2311,Data!$B$4:$B$2311,"UCO",Data!$C$4:$C$2311,"United Kingdom",Data!$E$4:$E$2311,2020,Data!$F$4:$F$2311,3)</f>
        <v>0.000529109429244</v>
      </c>
      <c r="E24" s="12" t="n">
        <f aca="false">SUMIFS(Data!$H$4:$H$2311,Data!$B$4:$B$2311,"UCO",Data!$C$4:$C$2311,"United Kingdom",Data!$E$4:$E$2311,2020,Data!$F$4:$F$2311,4)</f>
        <v>0.00259925007116115</v>
      </c>
      <c r="F24" s="12" t="n">
        <f aca="false">SUMIFS(Data!$H$4:$H$2311,Data!$B$4:$B$2311,"UCO",Data!$C$4:$C$2311,"United Kingdom",Data!$E$4:$E$2311,2020,Data!$F$4:$F$2311,5)</f>
        <v>0</v>
      </c>
      <c r="G24" s="12" t="n">
        <f aca="false">SUMIFS(Data!$H$4:$H$2311,Data!$B$4:$B$2311,"UCO",Data!$C$4:$C$2311,"United Kingdom",Data!$E$4:$E$2311,2020,Data!$F$4:$F$2311,6)</f>
        <v>0</v>
      </c>
      <c r="H24" s="12" t="n">
        <f aca="false">SUMIFS(Data!$H$4:$H$2311,Data!$B$4:$B$2311,"UCO",Data!$C$4:$C$2311,"United Kingdom",Data!$E$4:$E$2311,2020,Data!$F$4:$F$2311,7)</f>
        <v>0</v>
      </c>
      <c r="I24" s="12" t="n">
        <f aca="false">SUMIFS(Data!$H$4:$H$2311,Data!$B$4:$B$2311,"UCO",Data!$C$4:$C$2311,"United Kingdom",Data!$E$4:$E$2311,2020,Data!$F$4:$F$2311,8)</f>
        <v>0</v>
      </c>
      <c r="J24" s="12" t="n">
        <f aca="false">SUMIFS(Data!$H$4:$H$2311,Data!$B$4:$B$2311,"UCO",Data!$C$4:$C$2311,"United Kingdom",Data!$E$4:$E$2311,2020,Data!$F$4:$F$2311,9)</f>
        <v>0</v>
      </c>
      <c r="K24" s="12" t="n">
        <f aca="false">SUMIFS(Data!$H$4:$H$2311,Data!$B$4:$B$2311,"UCO",Data!$C$4:$C$2311,"United Kingdom",Data!$E$4:$E$2311,2020,Data!$F$4:$F$2311,10)</f>
        <v>0.0004629707505885</v>
      </c>
      <c r="L24" s="12" t="n">
        <f aca="false">SUMIFS(Data!$H$4:$H$2311,Data!$B$4:$B$2311,"UCO",Data!$C$4:$C$2311,"United Kingdom",Data!$E$4:$E$2311,2020,Data!$F$4:$F$2311,11)</f>
        <v>0</v>
      </c>
      <c r="M24" s="12" t="n">
        <f aca="false">SUMIFS(Data!$H$4:$H$2311,Data!$B$4:$B$2311,"UCO",Data!$C$4:$C$2311,"United Kingdom",Data!$E$4:$E$2311,2020,Data!$F$4:$F$2311,12)</f>
        <v>0</v>
      </c>
      <c r="N24" s="13" t="n">
        <f aca="false">SUM(B24:M24)</f>
        <v>0.00359133025099365</v>
      </c>
    </row>
    <row r="25" customFormat="false" ht="15" hidden="false" customHeight="false" outlineLevel="0" collapsed="false">
      <c r="A25" s="11" t="s">
        <v>75</v>
      </c>
      <c r="B25" s="12" t="n">
        <f aca="false">SUMIFS(Data!$H$4:$H$2311,Data!$B$4:$B$2311,"UCO",Data!$C$4:$C$2311,"Vietnam",Data!$E$4:$E$2311,2020,Data!$F$4:$F$2311,1)</f>
        <v>0</v>
      </c>
      <c r="C25" s="12" t="n">
        <f aca="false">SUMIFS(Data!$H$4:$H$2311,Data!$B$4:$B$2311,"UCO",Data!$C$4:$C$2311,"Vietnam",Data!$E$4:$E$2311,2020,Data!$F$4:$F$2311,2)</f>
        <v>0</v>
      </c>
      <c r="D25" s="12" t="n">
        <f aca="false">SUMIFS(Data!$H$4:$H$2311,Data!$B$4:$B$2311,"UCO",Data!$C$4:$C$2311,"Vietnam",Data!$E$4:$E$2311,2020,Data!$F$4:$F$2311,3)</f>
        <v>0</v>
      </c>
      <c r="E25" s="12" t="n">
        <f aca="false">SUMIFS(Data!$H$4:$H$2311,Data!$B$4:$B$2311,"UCO",Data!$C$4:$C$2311,"Vietnam",Data!$E$4:$E$2311,2020,Data!$F$4:$F$2311,4)</f>
        <v>0</v>
      </c>
      <c r="F25" s="12" t="n">
        <f aca="false">SUMIFS(Data!$H$4:$H$2311,Data!$B$4:$B$2311,"UCO",Data!$C$4:$C$2311,"Vietnam",Data!$E$4:$E$2311,2020,Data!$F$4:$F$2311,5)</f>
        <v>0</v>
      </c>
      <c r="G25" s="12" t="n">
        <f aca="false">SUMIFS(Data!$H$4:$H$2311,Data!$B$4:$B$2311,"UCO",Data!$C$4:$C$2311,"Vietnam",Data!$E$4:$E$2311,2020,Data!$F$4:$F$2311,6)</f>
        <v>0</v>
      </c>
      <c r="H25" s="12" t="n">
        <f aca="false">SUMIFS(Data!$H$4:$H$2311,Data!$B$4:$B$2311,"UCO",Data!$C$4:$C$2311,"Vietnam",Data!$E$4:$E$2311,2020,Data!$F$4:$F$2311,7)</f>
        <v>0</v>
      </c>
      <c r="I25" s="12" t="n">
        <f aca="false">SUMIFS(Data!$H$4:$H$2311,Data!$B$4:$B$2311,"UCO",Data!$C$4:$C$2311,"Vietnam",Data!$E$4:$E$2311,2020,Data!$F$4:$F$2311,8)</f>
        <v>0</v>
      </c>
      <c r="J25" s="12" t="n">
        <f aca="false">SUMIFS(Data!$H$4:$H$2311,Data!$B$4:$B$2311,"UCO",Data!$C$4:$C$2311,"Vietnam",Data!$E$4:$E$2311,2020,Data!$F$4:$F$2311,9)</f>
        <v>0</v>
      </c>
      <c r="K25" s="12" t="n">
        <f aca="false">SUMIFS(Data!$H$4:$H$2311,Data!$B$4:$B$2311,"UCO",Data!$C$4:$C$2311,"Vietnam",Data!$E$4:$E$2311,2020,Data!$F$4:$F$2311,10)</f>
        <v>0</v>
      </c>
      <c r="L25" s="12" t="n">
        <f aca="false">SUMIFS(Data!$H$4:$H$2311,Data!$B$4:$B$2311,"UCO",Data!$C$4:$C$2311,"Vietnam",Data!$E$4:$E$2311,2020,Data!$F$4:$F$2311,11)</f>
        <v>0</v>
      </c>
      <c r="M25" s="12" t="n">
        <f aca="false">SUMIFS(Data!$H$4:$H$2311,Data!$B$4:$B$2311,"UCO",Data!$C$4:$C$2311,"Vietnam",Data!$E$4:$E$2311,2020,Data!$F$4:$F$2311,12)</f>
        <v>0.0028086892202369</v>
      </c>
      <c r="N25" s="13" t="n">
        <f aca="false">SUM(B25:M25)</f>
        <v>0.0028086892202369</v>
      </c>
    </row>
    <row r="26" customFormat="false" ht="15" hidden="false" customHeight="false" outlineLevel="0" collapsed="false">
      <c r="A26" s="11" t="s">
        <v>76</v>
      </c>
      <c r="B26" s="12" t="n">
        <f aca="false">SUMIFS(Data!$H$4:$H$2311,Data!$B$4:$B$2311,"UCO",Data!$C$4:$C$2311,"Switzerland",Data!$E$4:$E$2311,2020,Data!$F$4:$F$2311,1)</f>
        <v>0.0004188782981515</v>
      </c>
      <c r="C26" s="12" t="n">
        <f aca="false">SUMIFS(Data!$H$4:$H$2311,Data!$B$4:$B$2311,"UCO",Data!$C$4:$C$2311,"Switzerland",Data!$E$4:$E$2311,2020,Data!$F$4:$F$2311,2)</f>
        <v>0.00016534669663875</v>
      </c>
      <c r="D26" s="12" t="n">
        <f aca="false">SUMIFS(Data!$H$4:$H$2311,Data!$B$4:$B$2311,"UCO",Data!$C$4:$C$2311,"Switzerland",Data!$E$4:$E$2311,2020,Data!$F$4:$F$2311,3)</f>
        <v>0.000837756596303</v>
      </c>
      <c r="E26" s="12" t="n">
        <f aca="false">SUMIFS(Data!$H$4:$H$2311,Data!$B$4:$B$2311,"UCO",Data!$C$4:$C$2311,"Switzerland",Data!$E$4:$E$2311,2020,Data!$F$4:$F$2311,4)</f>
        <v>0</v>
      </c>
      <c r="F26" s="12" t="n">
        <f aca="false">SUMIFS(Data!$H$4:$H$2311,Data!$B$4:$B$2311,"UCO",Data!$C$4:$C$2311,"Switzerland",Data!$E$4:$E$2311,2020,Data!$F$4:$F$2311,5)</f>
        <v>0</v>
      </c>
      <c r="G26" s="12" t="n">
        <f aca="false">SUMIFS(Data!$H$4:$H$2311,Data!$B$4:$B$2311,"UCO",Data!$C$4:$C$2311,"Switzerland",Data!$E$4:$E$2311,2020,Data!$F$4:$F$2311,6)</f>
        <v>0</v>
      </c>
      <c r="H26" s="12" t="n">
        <f aca="false">SUMIFS(Data!$H$4:$H$2311,Data!$B$4:$B$2311,"UCO",Data!$C$4:$C$2311,"Switzerland",Data!$E$4:$E$2311,2020,Data!$F$4:$F$2311,7)</f>
        <v>0</v>
      </c>
      <c r="I26" s="12" t="n">
        <f aca="false">SUMIFS(Data!$H$4:$H$2311,Data!$B$4:$B$2311,"UCO",Data!$C$4:$C$2311,"Switzerland",Data!$E$4:$E$2311,2020,Data!$F$4:$F$2311,8)</f>
        <v>0</v>
      </c>
      <c r="J26" s="12" t="n">
        <f aca="false">SUMIFS(Data!$H$4:$H$2311,Data!$B$4:$B$2311,"UCO",Data!$C$4:$C$2311,"Switzerland",Data!$E$4:$E$2311,2020,Data!$F$4:$F$2311,9)</f>
        <v>0</v>
      </c>
      <c r="K26" s="12" t="n">
        <f aca="false">SUMIFS(Data!$H$4:$H$2311,Data!$B$4:$B$2311,"UCO",Data!$C$4:$C$2311,"Switzerland",Data!$E$4:$E$2311,2020,Data!$F$4:$F$2311,10)</f>
        <v>0</v>
      </c>
      <c r="L26" s="12" t="n">
        <f aca="false">SUMIFS(Data!$H$4:$H$2311,Data!$B$4:$B$2311,"UCO",Data!$C$4:$C$2311,"Switzerland",Data!$E$4:$E$2311,2020,Data!$F$4:$F$2311,11)</f>
        <v>0</v>
      </c>
      <c r="M26" s="12" t="n">
        <f aca="false">SUMIFS(Data!$H$4:$H$2311,Data!$B$4:$B$2311,"UCO",Data!$C$4:$C$2311,"Switzerland",Data!$E$4:$E$2311,2020,Data!$F$4:$F$2311,12)</f>
        <v>0</v>
      </c>
      <c r="N26" s="13" t="n">
        <f aca="false">SUM(B26:M26)</f>
        <v>0.00142198159109325</v>
      </c>
    </row>
    <row r="27" customFormat="false" ht="15" hidden="false" customHeight="false" outlineLevel="0" collapsed="false">
      <c r="A27" s="11" t="s">
        <v>77</v>
      </c>
      <c r="B27" s="12" t="n">
        <f aca="false">SUMIFS(Data!$H$4:$H$2311,Data!$B$4:$B$2311,"UCO",Data!$C$4:$C$2311,"Portugal",Data!$E$4:$E$2311,2020,Data!$F$4:$F$2311,1)</f>
        <v>0.0011111298014124</v>
      </c>
      <c r="C27" s="12" t="n">
        <f aca="false">SUMIFS(Data!$H$4:$H$2311,Data!$B$4:$B$2311,"UCO",Data!$C$4:$C$2311,"Portugal",Data!$E$4:$E$2311,2020,Data!$F$4:$F$2311,2)</f>
        <v>0</v>
      </c>
      <c r="D27" s="12" t="n">
        <f aca="false">SUMIFS(Data!$H$4:$H$2311,Data!$B$4:$B$2311,"UCO",Data!$C$4:$C$2311,"Portugal",Data!$E$4:$E$2311,2020,Data!$F$4:$F$2311,3)</f>
        <v>0</v>
      </c>
      <c r="E27" s="12" t="n">
        <f aca="false">SUMIFS(Data!$H$4:$H$2311,Data!$B$4:$B$2311,"UCO",Data!$C$4:$C$2311,"Portugal",Data!$E$4:$E$2311,2020,Data!$F$4:$F$2311,4)</f>
        <v>0</v>
      </c>
      <c r="F27" s="12" t="n">
        <f aca="false">SUMIFS(Data!$H$4:$H$2311,Data!$B$4:$B$2311,"UCO",Data!$C$4:$C$2311,"Portugal",Data!$E$4:$E$2311,2020,Data!$F$4:$F$2311,5)</f>
        <v>0</v>
      </c>
      <c r="G27" s="12" t="n">
        <f aca="false">SUMIFS(Data!$H$4:$H$2311,Data!$B$4:$B$2311,"UCO",Data!$C$4:$C$2311,"Portugal",Data!$E$4:$E$2311,2020,Data!$F$4:$F$2311,6)</f>
        <v>0</v>
      </c>
      <c r="H27" s="12" t="n">
        <f aca="false">SUMIFS(Data!$H$4:$H$2311,Data!$B$4:$B$2311,"UCO",Data!$C$4:$C$2311,"Portugal",Data!$E$4:$E$2311,2020,Data!$F$4:$F$2311,7)</f>
        <v>0</v>
      </c>
      <c r="I27" s="12" t="n">
        <f aca="false">SUMIFS(Data!$H$4:$H$2311,Data!$B$4:$B$2311,"UCO",Data!$C$4:$C$2311,"Portugal",Data!$E$4:$E$2311,2020,Data!$F$4:$F$2311,8)</f>
        <v>0</v>
      </c>
      <c r="J27" s="12" t="n">
        <f aca="false">SUMIFS(Data!$H$4:$H$2311,Data!$B$4:$B$2311,"UCO",Data!$C$4:$C$2311,"Portugal",Data!$E$4:$E$2311,2020,Data!$F$4:$F$2311,9)</f>
        <v>0</v>
      </c>
      <c r="K27" s="12" t="n">
        <f aca="false">SUMIFS(Data!$H$4:$H$2311,Data!$B$4:$B$2311,"UCO",Data!$C$4:$C$2311,"Portugal",Data!$E$4:$E$2311,2020,Data!$F$4:$F$2311,10)</f>
        <v>0</v>
      </c>
      <c r="L27" s="12" t="n">
        <f aca="false">SUMIFS(Data!$H$4:$H$2311,Data!$B$4:$B$2311,"UCO",Data!$C$4:$C$2311,"Portugal",Data!$E$4:$E$2311,2020,Data!$F$4:$F$2311,11)</f>
        <v>0</v>
      </c>
      <c r="M27" s="12" t="n">
        <f aca="false">SUMIFS(Data!$H$4:$H$2311,Data!$B$4:$B$2311,"UCO",Data!$C$4:$C$2311,"Portugal",Data!$E$4:$E$2311,2020,Data!$F$4:$F$2311,12)</f>
        <v>0</v>
      </c>
      <c r="N27" s="13" t="n">
        <f aca="false">SUM(B27:M27)</f>
        <v>0.0011111298014124</v>
      </c>
    </row>
    <row r="28" customFormat="false" ht="15" hidden="false" customHeight="false" outlineLevel="0" collapsed="false">
      <c r="A28" s="11" t="s">
        <v>78</v>
      </c>
      <c r="B28" s="12" t="n">
        <f aca="false">SUMIFS(Data!$H$4:$H$2311,Data!$B$4:$B$2311,"UCO",Data!$C$4:$C$2311,"New Zealand",Data!$E$4:$E$2311,2020,Data!$F$4:$F$2311,1)</f>
        <v>0</v>
      </c>
      <c r="C28" s="12" t="n">
        <f aca="false">SUMIFS(Data!$H$4:$H$2311,Data!$B$4:$B$2311,"UCO",Data!$C$4:$C$2311,"New Zealand",Data!$E$4:$E$2311,2020,Data!$F$4:$F$2311,2)</f>
        <v>0</v>
      </c>
      <c r="D28" s="12" t="n">
        <f aca="false">SUMIFS(Data!$H$4:$H$2311,Data!$B$4:$B$2311,"UCO",Data!$C$4:$C$2311,"New Zealand",Data!$E$4:$E$2311,2020,Data!$F$4:$F$2311,3)</f>
        <v>7.716179176475E-005</v>
      </c>
      <c r="E28" s="12" t="n">
        <f aca="false">SUMIFS(Data!$H$4:$H$2311,Data!$B$4:$B$2311,"UCO",Data!$C$4:$C$2311,"New Zealand",Data!$E$4:$E$2311,2020,Data!$F$4:$F$2311,4)</f>
        <v>0</v>
      </c>
      <c r="F28" s="12" t="n">
        <f aca="false">SUMIFS(Data!$H$4:$H$2311,Data!$B$4:$B$2311,"UCO",Data!$C$4:$C$2311,"New Zealand",Data!$E$4:$E$2311,2020,Data!$F$4:$F$2311,5)</f>
        <v>0</v>
      </c>
      <c r="G28" s="12" t="n">
        <f aca="false">SUMIFS(Data!$H$4:$H$2311,Data!$B$4:$B$2311,"UCO",Data!$C$4:$C$2311,"New Zealand",Data!$E$4:$E$2311,2020,Data!$F$4:$F$2311,6)</f>
        <v>0</v>
      </c>
      <c r="H28" s="12" t="n">
        <f aca="false">SUMIFS(Data!$H$4:$H$2311,Data!$B$4:$B$2311,"UCO",Data!$C$4:$C$2311,"New Zealand",Data!$E$4:$E$2311,2020,Data!$F$4:$F$2311,7)</f>
        <v>0</v>
      </c>
      <c r="I28" s="12" t="n">
        <f aca="false">SUMIFS(Data!$H$4:$H$2311,Data!$B$4:$B$2311,"UCO",Data!$C$4:$C$2311,"New Zealand",Data!$E$4:$E$2311,2020,Data!$F$4:$F$2311,8)</f>
        <v>0</v>
      </c>
      <c r="J28" s="12" t="n">
        <f aca="false">SUMIFS(Data!$H$4:$H$2311,Data!$B$4:$B$2311,"UCO",Data!$C$4:$C$2311,"New Zealand",Data!$E$4:$E$2311,2020,Data!$F$4:$F$2311,9)</f>
        <v>0</v>
      </c>
      <c r="K28" s="12" t="n">
        <f aca="false">SUMIFS(Data!$H$4:$H$2311,Data!$B$4:$B$2311,"UCO",Data!$C$4:$C$2311,"New Zealand",Data!$E$4:$E$2311,2020,Data!$F$4:$F$2311,10)</f>
        <v>0</v>
      </c>
      <c r="L28" s="12" t="n">
        <f aca="false">SUMIFS(Data!$H$4:$H$2311,Data!$B$4:$B$2311,"UCO",Data!$C$4:$C$2311,"New Zealand",Data!$E$4:$E$2311,2020,Data!$F$4:$F$2311,11)</f>
        <v>0</v>
      </c>
      <c r="M28" s="12" t="n">
        <f aca="false">SUMIFS(Data!$H$4:$H$2311,Data!$B$4:$B$2311,"UCO",Data!$C$4:$C$2311,"New Zealand",Data!$E$4:$E$2311,2020,Data!$F$4:$F$2311,12)</f>
        <v>0</v>
      </c>
      <c r="N28" s="13" t="n">
        <f aca="false">SUM(B28:M28)</f>
        <v>7.716179176475E-005</v>
      </c>
    </row>
    <row r="29" customFormat="false" ht="15" hidden="false" customHeight="false" outlineLevel="0" collapsed="false">
      <c r="A29" s="11" t="s">
        <v>79</v>
      </c>
      <c r="B29" s="12" t="n">
        <f aca="false">SUMIFS(Data!$H$4:$H$2311,Data!$B$4:$B$2311,"UCO",Data!$C$4:$C$2311,"Italy",Data!$E$4:$E$2311,2020,Data!$F$4:$F$2311,1)</f>
        <v>0</v>
      </c>
      <c r="C29" s="12" t="n">
        <f aca="false">SUMIFS(Data!$H$4:$H$2311,Data!$B$4:$B$2311,"UCO",Data!$C$4:$C$2311,"Italy",Data!$E$4:$E$2311,2020,Data!$F$4:$F$2311,2)</f>
        <v>0</v>
      </c>
      <c r="D29" s="12" t="n">
        <f aca="false">SUMIFS(Data!$H$4:$H$2311,Data!$B$4:$B$2311,"UCO",Data!$C$4:$C$2311,"Italy",Data!$E$4:$E$2311,2020,Data!$F$4:$F$2311,3)</f>
        <v>0</v>
      </c>
      <c r="E29" s="12" t="n">
        <f aca="false">SUMIFS(Data!$H$4:$H$2311,Data!$B$4:$B$2311,"UCO",Data!$C$4:$C$2311,"Italy",Data!$E$4:$E$2311,2020,Data!$F$4:$F$2311,4)</f>
        <v>0</v>
      </c>
      <c r="F29" s="12" t="n">
        <f aca="false">SUMIFS(Data!$H$4:$H$2311,Data!$B$4:$B$2311,"UCO",Data!$C$4:$C$2311,"Italy",Data!$E$4:$E$2311,2020,Data!$F$4:$F$2311,5)</f>
        <v>0</v>
      </c>
      <c r="G29" s="12" t="n">
        <f aca="false">SUMIFS(Data!$H$4:$H$2311,Data!$B$4:$B$2311,"UCO",Data!$C$4:$C$2311,"Italy",Data!$E$4:$E$2311,2020,Data!$F$4:$F$2311,6)</f>
        <v>0</v>
      </c>
      <c r="H29" s="12" t="n">
        <f aca="false">SUMIFS(Data!$H$4:$H$2311,Data!$B$4:$B$2311,"UCO",Data!$C$4:$C$2311,"Italy",Data!$E$4:$E$2311,2020,Data!$F$4:$F$2311,7)</f>
        <v>0</v>
      </c>
      <c r="I29" s="12" t="n">
        <f aca="false">SUMIFS(Data!$H$4:$H$2311,Data!$B$4:$B$2311,"UCO",Data!$C$4:$C$2311,"Italy",Data!$E$4:$E$2311,2020,Data!$F$4:$F$2311,8)</f>
        <v>0</v>
      </c>
      <c r="J29" s="12" t="n">
        <f aca="false">SUMIFS(Data!$H$4:$H$2311,Data!$B$4:$B$2311,"UCO",Data!$C$4:$C$2311,"Italy",Data!$E$4:$E$2311,2020,Data!$F$4:$F$2311,9)</f>
        <v>2.20462262185E-005</v>
      </c>
      <c r="K29" s="12" t="n">
        <f aca="false">SUMIFS(Data!$H$4:$H$2311,Data!$B$4:$B$2311,"UCO",Data!$C$4:$C$2311,"Italy",Data!$E$4:$E$2311,2020,Data!$F$4:$F$2311,10)</f>
        <v>0</v>
      </c>
      <c r="L29" s="12" t="n">
        <f aca="false">SUMIFS(Data!$H$4:$H$2311,Data!$B$4:$B$2311,"UCO",Data!$C$4:$C$2311,"Italy",Data!$E$4:$E$2311,2020,Data!$F$4:$F$2311,11)</f>
        <v>0</v>
      </c>
      <c r="M29" s="12" t="n">
        <f aca="false">SUMIFS(Data!$H$4:$H$2311,Data!$B$4:$B$2311,"UCO",Data!$C$4:$C$2311,"Italy",Data!$E$4:$E$2311,2020,Data!$F$4:$F$2311,12)</f>
        <v>0</v>
      </c>
      <c r="N29" s="13" t="n">
        <f aca="false">SUM(B29:M29)</f>
        <v>2.20462262185E-005</v>
      </c>
    </row>
    <row r="31" customFormat="false" ht="15" hidden="false" customHeight="false" outlineLevel="0" collapsed="false">
      <c r="A31" s="8"/>
      <c r="B31" s="9" t="s">
        <v>80</v>
      </c>
      <c r="C31" s="9" t="s">
        <v>81</v>
      </c>
      <c r="D31" s="9" t="s">
        <v>82</v>
      </c>
      <c r="E31" s="9" t="s">
        <v>83</v>
      </c>
      <c r="F31" s="9" t="s">
        <v>84</v>
      </c>
      <c r="G31" s="9" t="s">
        <v>85</v>
      </c>
      <c r="H31" s="9" t="s">
        <v>86</v>
      </c>
      <c r="I31" s="9" t="s">
        <v>87</v>
      </c>
      <c r="J31" s="9" t="s">
        <v>88</v>
      </c>
      <c r="K31" s="9" t="s">
        <v>89</v>
      </c>
      <c r="L31" s="9" t="s">
        <v>90</v>
      </c>
      <c r="M31" s="9" t="s">
        <v>91</v>
      </c>
      <c r="N31" s="9" t="s">
        <v>33</v>
      </c>
    </row>
    <row r="32" customFormat="false" ht="15" hidden="false" customHeight="false" outlineLevel="0" collapsed="false">
      <c r="A32" s="10" t="s">
        <v>35</v>
      </c>
      <c r="B32" s="10" t="n">
        <f aca="false">SUM(B33:B57)</f>
        <v>16.636858331643</v>
      </c>
      <c r="C32" s="10" t="n">
        <f aca="false">SUM(C33:C57)</f>
        <v>18.960098469039</v>
      </c>
      <c r="D32" s="10" t="n">
        <f aca="false">SUM(D33:D57)</f>
        <v>28.0031187473613</v>
      </c>
      <c r="E32" s="10" t="n">
        <f aca="false">SUM(E33:E57)</f>
        <v>19.7551956176092</v>
      </c>
      <c r="F32" s="10" t="n">
        <f aca="false">SUM(F33:F57)</f>
        <v>23.5162068533162</v>
      </c>
      <c r="G32" s="10" t="n">
        <f aca="false">SUM(G33:G57)</f>
        <v>18.1414162676603</v>
      </c>
      <c r="H32" s="10" t="n">
        <f aca="false">SUM(H33:H57)</f>
        <v>19.5810899552938</v>
      </c>
      <c r="I32" s="10" t="n">
        <f aca="false">SUM(I33:I57)</f>
        <v>21.508920002348</v>
      </c>
      <c r="J32" s="10" t="n">
        <f aca="false">SUM(J33:J57)</f>
        <v>17.57496714507</v>
      </c>
      <c r="K32" s="10" t="n">
        <f aca="false">SUM(K33:K57)</f>
        <v>29.9719150919747</v>
      </c>
      <c r="L32" s="10" t="n">
        <f aca="false">SUM(L33:L57)</f>
        <v>42.3016462997617</v>
      </c>
      <c r="M32" s="10" t="n">
        <f aca="false">SUM(M33:M57)</f>
        <v>27.7010986759036</v>
      </c>
      <c r="N32" s="10" t="n">
        <f aca="false">SUM(B32:M32)</f>
        <v>283.652531456981</v>
      </c>
    </row>
    <row r="33" customFormat="false" ht="15" hidden="false" customHeight="false" outlineLevel="0" collapsed="false">
      <c r="A33" s="11" t="s">
        <v>43</v>
      </c>
      <c r="B33" s="12" t="n">
        <f aca="false">SUMIFS(Data!$H$4:$H$2311,Data!$B$4:$B$2311,"UCO",Data!$C$4:$C$2311,"Canada",Data!$E$4:$E$2311,2021,Data!$F$4:$F$2311,1)</f>
        <v>14.3842763492773</v>
      </c>
      <c r="C33" s="12" t="n">
        <f aca="false">SUMIFS(Data!$H$4:$H$2311,Data!$B$4:$B$2311,"UCO",Data!$C$4:$C$2311,"Canada",Data!$E$4:$E$2311,2021,Data!$F$4:$F$2311,2)</f>
        <v>16.949685463193</v>
      </c>
      <c r="D33" s="12" t="n">
        <f aca="false">SUMIFS(Data!$H$4:$H$2311,Data!$B$4:$B$2311,"UCO",Data!$C$4:$C$2311,"Canada",Data!$E$4:$E$2311,2021,Data!$F$4:$F$2311,3)</f>
        <v>25.4411598678488</v>
      </c>
      <c r="E33" s="12" t="n">
        <f aca="false">SUMIFS(Data!$H$4:$H$2311,Data!$B$4:$B$2311,"UCO",Data!$C$4:$C$2311,"Canada",Data!$E$4:$E$2311,2021,Data!$F$4:$F$2311,4)</f>
        <v>18.2989674187081</v>
      </c>
      <c r="F33" s="12" t="n">
        <f aca="false">SUMIFS(Data!$H$4:$H$2311,Data!$B$4:$B$2311,"UCO",Data!$C$4:$C$2311,"Canada",Data!$E$4:$E$2311,2021,Data!$F$4:$F$2311,5)</f>
        <v>21.8685600906504</v>
      </c>
      <c r="G33" s="12" t="n">
        <f aca="false">SUMIFS(Data!$H$4:$H$2311,Data!$B$4:$B$2311,"UCO",Data!$C$4:$C$2311,"Canada",Data!$E$4:$E$2311,2021,Data!$F$4:$F$2311,6)</f>
        <v>16.5757682387915</v>
      </c>
      <c r="H33" s="12" t="n">
        <f aca="false">SUMIFS(Data!$H$4:$H$2311,Data!$B$4:$B$2311,"UCO",Data!$C$4:$C$2311,"Canada",Data!$E$4:$E$2311,2021,Data!$F$4:$F$2311,7)</f>
        <v>16.1157869564783</v>
      </c>
      <c r="I33" s="12" t="n">
        <f aca="false">SUMIFS(Data!$H$4:$H$2311,Data!$B$4:$B$2311,"UCO",Data!$C$4:$C$2311,"Canada",Data!$E$4:$E$2311,2021,Data!$F$4:$F$2311,8)</f>
        <v>16.7232574921933</v>
      </c>
      <c r="J33" s="12" t="n">
        <f aca="false">SUMIFS(Data!$H$4:$H$2311,Data!$B$4:$B$2311,"UCO",Data!$C$4:$C$2311,"Canada",Data!$E$4:$E$2311,2021,Data!$F$4:$F$2311,9)</f>
        <v>14.1925910261753</v>
      </c>
      <c r="K33" s="12" t="n">
        <f aca="false">SUMIFS(Data!$H$4:$H$2311,Data!$B$4:$B$2311,"UCO",Data!$C$4:$C$2311,"Canada",Data!$E$4:$E$2311,2021,Data!$F$4:$F$2311,10)</f>
        <v>25.1061079356479</v>
      </c>
      <c r="L33" s="12" t="n">
        <f aca="false">SUMIFS(Data!$H$4:$H$2311,Data!$B$4:$B$2311,"UCO",Data!$C$4:$C$2311,"Canada",Data!$E$4:$E$2311,2021,Data!$F$4:$F$2311,11)</f>
        <v>28.6908904574546</v>
      </c>
      <c r="M33" s="12" t="n">
        <f aca="false">SUMIFS(Data!$H$4:$H$2311,Data!$B$4:$B$2311,"UCO",Data!$C$4:$C$2311,"Canada",Data!$E$4:$E$2311,2021,Data!$F$4:$F$2311,12)</f>
        <v>23.0577621929703</v>
      </c>
      <c r="N33" s="13" t="n">
        <f aca="false">SUM(B33:M33)</f>
        <v>237.404813489389</v>
      </c>
    </row>
    <row r="34" customFormat="false" ht="15" hidden="false" customHeight="false" outlineLevel="0" collapsed="false">
      <c r="A34" s="11" t="s">
        <v>45</v>
      </c>
      <c r="B34" s="12" t="n">
        <f aca="false">SUMIFS(Data!$H$4:$H$2311,Data!$B$4:$B$2311,"UCO",Data!$C$4:$C$2311,"Chile",Data!$E$4:$E$2311,2021,Data!$F$4:$F$2311,1)</f>
        <v>1.60414735371409</v>
      </c>
      <c r="C34" s="12" t="n">
        <f aca="false">SUMIFS(Data!$H$4:$H$2311,Data!$B$4:$B$2311,"UCO",Data!$C$4:$C$2311,"Chile",Data!$E$4:$E$2311,2021,Data!$F$4:$F$2311,2)</f>
        <v>1.13773959645813</v>
      </c>
      <c r="D34" s="12" t="n">
        <f aca="false">SUMIFS(Data!$H$4:$H$2311,Data!$B$4:$B$2311,"UCO",Data!$C$4:$C$2311,"Chile",Data!$E$4:$E$2311,2021,Data!$F$4:$F$2311,3)</f>
        <v>1.74535563726621</v>
      </c>
      <c r="E34" s="12" t="n">
        <f aca="false">SUMIFS(Data!$H$4:$H$2311,Data!$B$4:$B$2311,"UCO",Data!$C$4:$C$2311,"Chile",Data!$E$4:$E$2311,2021,Data!$F$4:$F$2311,4)</f>
        <v>1.00956283722377</v>
      </c>
      <c r="F34" s="12" t="n">
        <f aca="false">SUMIFS(Data!$H$4:$H$2311,Data!$B$4:$B$2311,"UCO",Data!$C$4:$C$2311,"Chile",Data!$E$4:$E$2311,2021,Data!$F$4:$F$2311,5)</f>
        <v>0.96518378384593</v>
      </c>
      <c r="G34" s="12" t="n">
        <f aca="false">SUMIFS(Data!$H$4:$H$2311,Data!$B$4:$B$2311,"UCO",Data!$C$4:$C$2311,"Chile",Data!$E$4:$E$2311,2021,Data!$F$4:$F$2311,6)</f>
        <v>0.225047877238448</v>
      </c>
      <c r="H34" s="12" t="n">
        <f aca="false">SUMIFS(Data!$H$4:$H$2311,Data!$B$4:$B$2311,"UCO",Data!$C$4:$C$2311,"Chile",Data!$E$4:$E$2311,2021,Data!$F$4:$F$2311,7)</f>
        <v>1.00570474763553</v>
      </c>
      <c r="I34" s="12" t="n">
        <f aca="false">SUMIFS(Data!$H$4:$H$2311,Data!$B$4:$B$2311,"UCO",Data!$C$4:$C$2311,"Chile",Data!$E$4:$E$2311,2021,Data!$F$4:$F$2311,8)</f>
        <v>0.510722876577771</v>
      </c>
      <c r="J34" s="12" t="n">
        <f aca="false">SUMIFS(Data!$H$4:$H$2311,Data!$B$4:$B$2311,"UCO",Data!$C$4:$C$2311,"Chile",Data!$E$4:$E$2311,2021,Data!$F$4:$F$2311,9)</f>
        <v>0.929314573788431</v>
      </c>
      <c r="K34" s="12" t="n">
        <f aca="false">SUMIFS(Data!$H$4:$H$2311,Data!$B$4:$B$2311,"UCO",Data!$C$4:$C$2311,"Chile",Data!$E$4:$E$2311,2021,Data!$F$4:$F$2311,10)</f>
        <v>0.369891583493993</v>
      </c>
      <c r="L34" s="12" t="n">
        <f aca="false">SUMIFS(Data!$H$4:$H$2311,Data!$B$4:$B$2311,"UCO",Data!$C$4:$C$2311,"Chile",Data!$E$4:$E$2311,2021,Data!$F$4:$F$2311,11)</f>
        <v>6.3257633720814</v>
      </c>
      <c r="M34" s="12" t="n">
        <f aca="false">SUMIFS(Data!$H$4:$H$2311,Data!$B$4:$B$2311,"UCO",Data!$C$4:$C$2311,"Chile",Data!$E$4:$E$2311,2021,Data!$F$4:$F$2311,12)</f>
        <v>1.78228968005006</v>
      </c>
      <c r="N34" s="13" t="n">
        <f aca="false">SUM(B34:M34)</f>
        <v>17.6107239193738</v>
      </c>
    </row>
    <row r="35" customFormat="false" ht="15" hidden="false" customHeight="false" outlineLevel="0" collapsed="false">
      <c r="A35" s="11" t="s">
        <v>49</v>
      </c>
      <c r="B35" s="12" t="n">
        <f aca="false">SUMIFS(Data!$H$4:$H$2311,Data!$B$4:$B$2311,"UCO",Data!$C$4:$C$2311,"Brazil",Data!$E$4:$E$2311,2021,Data!$F$4:$F$2311,1)</f>
        <v>0</v>
      </c>
      <c r="C35" s="12" t="n">
        <f aca="false">SUMIFS(Data!$H$4:$H$2311,Data!$B$4:$B$2311,"UCO",Data!$C$4:$C$2311,"Brazil",Data!$E$4:$E$2311,2021,Data!$F$4:$F$2311,2)</f>
        <v>0.170915573381543</v>
      </c>
      <c r="D35" s="12" t="n">
        <f aca="false">SUMIFS(Data!$H$4:$H$2311,Data!$B$4:$B$2311,"UCO",Data!$C$4:$C$2311,"Brazil",Data!$E$4:$E$2311,2021,Data!$F$4:$F$2311,3)</f>
        <v>0.168821181890786</v>
      </c>
      <c r="E35" s="12" t="n">
        <f aca="false">SUMIFS(Data!$H$4:$H$2311,Data!$B$4:$B$2311,"UCO",Data!$C$4:$C$2311,"Brazil",Data!$E$4:$E$2311,2021,Data!$F$4:$F$2311,4)</f>
        <v>0.033598448756994</v>
      </c>
      <c r="F35" s="12" t="n">
        <f aca="false">SUMIFS(Data!$H$4:$H$2311,Data!$B$4:$B$2311,"UCO",Data!$C$4:$C$2311,"Brazil",Data!$E$4:$E$2311,2021,Data!$F$4:$F$2311,5)</f>
        <v>0.132277357311</v>
      </c>
      <c r="G35" s="12" t="n">
        <f aca="false">SUMIFS(Data!$H$4:$H$2311,Data!$B$4:$B$2311,"UCO",Data!$C$4:$C$2311,"Brazil",Data!$E$4:$E$2311,2021,Data!$F$4:$F$2311,6)</f>
        <v>0.397228904004933</v>
      </c>
      <c r="H35" s="12" t="n">
        <f aca="false">SUMIFS(Data!$H$4:$H$2311,Data!$B$4:$B$2311,"UCO",Data!$C$4:$C$2311,"Brazil",Data!$E$4:$E$2311,2021,Data!$F$4:$F$2311,7)</f>
        <v>1.7372426260178</v>
      </c>
      <c r="I35" s="12" t="n">
        <f aca="false">SUMIFS(Data!$H$4:$H$2311,Data!$B$4:$B$2311,"UCO",Data!$C$4:$C$2311,"Brazil",Data!$E$4:$E$2311,2021,Data!$F$4:$F$2311,8)</f>
        <v>3.47813831172001</v>
      </c>
      <c r="J35" s="12" t="n">
        <f aca="false">SUMIFS(Data!$H$4:$H$2311,Data!$B$4:$B$2311,"UCO",Data!$C$4:$C$2311,"Brazil",Data!$E$4:$E$2311,2021,Data!$F$4:$F$2311,9)</f>
        <v>1.33873504089219</v>
      </c>
      <c r="K35" s="12" t="n">
        <f aca="false">SUMIFS(Data!$H$4:$H$2311,Data!$B$4:$B$2311,"UCO",Data!$C$4:$C$2311,"Brazil",Data!$E$4:$E$2311,2021,Data!$F$4:$F$2311,10)</f>
        <v>2.80328789481337</v>
      </c>
      <c r="L35" s="12" t="n">
        <f aca="false">SUMIFS(Data!$H$4:$H$2311,Data!$B$4:$B$2311,"UCO",Data!$C$4:$C$2311,"Brazil",Data!$E$4:$E$2311,2021,Data!$F$4:$F$2311,11)</f>
        <v>0.2557362241346</v>
      </c>
      <c r="M35" s="12" t="n">
        <f aca="false">SUMIFS(Data!$H$4:$H$2311,Data!$B$4:$B$2311,"UCO",Data!$C$4:$C$2311,"Brazil",Data!$E$4:$E$2311,2021,Data!$F$4:$F$2311,12)</f>
        <v>1.26006308263148</v>
      </c>
      <c r="N35" s="13" t="n">
        <f aca="false">SUM(B35:M35)</f>
        <v>11.7760446455547</v>
      </c>
    </row>
    <row r="36" customFormat="false" ht="15" hidden="false" customHeight="false" outlineLevel="0" collapsed="false">
      <c r="A36" s="11" t="s">
        <v>92</v>
      </c>
      <c r="B36" s="12" t="n">
        <f aca="false">SUMIFS(Data!$H$4:$H$2311,Data!$B$4:$B$2311,"UCO",Data!$C$4:$C$2311,"Colombia",Data!$E$4:$E$2311,2021,Data!$F$4:$F$2311,1)</f>
        <v>0</v>
      </c>
      <c r="C36" s="12" t="n">
        <f aca="false">SUMIFS(Data!$H$4:$H$2311,Data!$B$4:$B$2311,"UCO",Data!$C$4:$C$2311,"Colombia",Data!$E$4:$E$2311,2021,Data!$F$4:$F$2311,2)</f>
        <v>0</v>
      </c>
      <c r="D36" s="12" t="n">
        <f aca="false">SUMIFS(Data!$H$4:$H$2311,Data!$B$4:$B$2311,"UCO",Data!$C$4:$C$2311,"Colombia",Data!$E$4:$E$2311,2021,Data!$F$4:$F$2311,3)</f>
        <v>0</v>
      </c>
      <c r="E36" s="12" t="n">
        <f aca="false">SUMIFS(Data!$H$4:$H$2311,Data!$B$4:$B$2311,"UCO",Data!$C$4:$C$2311,"Colombia",Data!$E$4:$E$2311,2021,Data!$F$4:$F$2311,4)</f>
        <v>0</v>
      </c>
      <c r="F36" s="12" t="n">
        <f aca="false">SUMIFS(Data!$H$4:$H$2311,Data!$B$4:$B$2311,"UCO",Data!$C$4:$C$2311,"Colombia",Data!$E$4:$E$2311,2021,Data!$F$4:$F$2311,5)</f>
        <v>0</v>
      </c>
      <c r="G36" s="12" t="n">
        <f aca="false">SUMIFS(Data!$H$4:$H$2311,Data!$B$4:$B$2311,"UCO",Data!$C$4:$C$2311,"Colombia",Data!$E$4:$E$2311,2021,Data!$F$4:$F$2311,6)</f>
        <v>0</v>
      </c>
      <c r="H36" s="12" t="n">
        <f aca="false">SUMIFS(Data!$H$4:$H$2311,Data!$B$4:$B$2311,"UCO",Data!$C$4:$C$2311,"Colombia",Data!$E$4:$E$2311,2021,Data!$F$4:$F$2311,7)</f>
        <v>0</v>
      </c>
      <c r="I36" s="12" t="n">
        <f aca="false">SUMIFS(Data!$H$4:$H$2311,Data!$B$4:$B$2311,"UCO",Data!$C$4:$C$2311,"Colombia",Data!$E$4:$E$2311,2021,Data!$F$4:$F$2311,8)</f>
        <v>0</v>
      </c>
      <c r="J36" s="12" t="n">
        <f aca="false">SUMIFS(Data!$H$4:$H$2311,Data!$B$4:$B$2311,"UCO",Data!$C$4:$C$2311,"Colombia",Data!$E$4:$E$2311,2021,Data!$F$4:$F$2311,9)</f>
        <v>0.247369681284679</v>
      </c>
      <c r="K36" s="12" t="n">
        <f aca="false">SUMIFS(Data!$H$4:$H$2311,Data!$B$4:$B$2311,"UCO",Data!$C$4:$C$2311,"Colombia",Data!$E$4:$E$2311,2021,Data!$F$4:$F$2311,10)</f>
        <v>0.175867155790218</v>
      </c>
      <c r="L36" s="12" t="n">
        <f aca="false">SUMIFS(Data!$H$4:$H$2311,Data!$B$4:$B$2311,"UCO",Data!$C$4:$C$2311,"Colombia",Data!$E$4:$E$2311,2021,Data!$F$4:$F$2311,11)</f>
        <v>6.48490185141702</v>
      </c>
      <c r="M36" s="12" t="n">
        <f aca="false">SUMIFS(Data!$H$4:$H$2311,Data!$B$4:$B$2311,"UCO",Data!$C$4:$C$2311,"Colombia",Data!$E$4:$E$2311,2021,Data!$F$4:$F$2311,12)</f>
        <v>0.182571413183264</v>
      </c>
      <c r="N36" s="13" t="n">
        <f aca="false">SUM(B36:M36)</f>
        <v>7.09071010167518</v>
      </c>
    </row>
    <row r="37" customFormat="false" ht="15" hidden="false" customHeight="false" outlineLevel="0" collapsed="false">
      <c r="A37" s="11" t="s">
        <v>47</v>
      </c>
      <c r="B37" s="12" t="n">
        <f aca="false">SUMIFS(Data!$H$4:$H$2311,Data!$B$4:$B$2311,"UCO",Data!$C$4:$C$2311,"Mexico",Data!$E$4:$E$2311,2021,Data!$F$4:$F$2311,1)</f>
        <v>0.523476618445173</v>
      </c>
      <c r="C37" s="12" t="n">
        <f aca="false">SUMIFS(Data!$H$4:$H$2311,Data!$B$4:$B$2311,"UCO",Data!$C$4:$C$2311,"Mexico",Data!$E$4:$E$2311,2021,Data!$F$4:$F$2311,2)</f>
        <v>0.336381319641873</v>
      </c>
      <c r="D37" s="12" t="n">
        <f aca="false">SUMIFS(Data!$H$4:$H$2311,Data!$B$4:$B$2311,"UCO",Data!$C$4:$C$2311,"Mexico",Data!$E$4:$E$2311,2021,Data!$F$4:$F$2311,3)</f>
        <v>0.495025963510199</v>
      </c>
      <c r="E37" s="12" t="n">
        <f aca="false">SUMIFS(Data!$H$4:$H$2311,Data!$B$4:$B$2311,"UCO",Data!$C$4:$C$2311,"Mexico",Data!$E$4:$E$2311,2021,Data!$F$4:$F$2311,4)</f>
        <v>0.172745410157679</v>
      </c>
      <c r="F37" s="12" t="n">
        <f aca="false">SUMIFS(Data!$H$4:$H$2311,Data!$B$4:$B$2311,"UCO",Data!$C$4:$C$2311,"Mexico",Data!$E$4:$E$2311,2021,Data!$F$4:$F$2311,5)</f>
        <v>0.400557884163927</v>
      </c>
      <c r="G37" s="12" t="n">
        <f aca="false">SUMIFS(Data!$H$4:$H$2311,Data!$B$4:$B$2311,"UCO",Data!$C$4:$C$2311,"Mexico",Data!$E$4:$E$2311,2021,Data!$F$4:$F$2311,6)</f>
        <v>0.513130324480831</v>
      </c>
      <c r="H37" s="12" t="n">
        <f aca="false">SUMIFS(Data!$H$4:$H$2311,Data!$B$4:$B$2311,"UCO",Data!$C$4:$C$2311,"Mexico",Data!$E$4:$E$2311,2021,Data!$F$4:$F$2311,7)</f>
        <v>0.444209412076557</v>
      </c>
      <c r="I37" s="12" t="n">
        <f aca="false">SUMIFS(Data!$H$4:$H$2311,Data!$B$4:$B$2311,"UCO",Data!$C$4:$C$2311,"Mexico",Data!$E$4:$E$2311,2021,Data!$F$4:$F$2311,8)</f>
        <v>0.427388141471841</v>
      </c>
      <c r="J37" s="12" t="n">
        <f aca="false">SUMIFS(Data!$H$4:$H$2311,Data!$B$4:$B$2311,"UCO",Data!$C$4:$C$2311,"Mexico",Data!$E$4:$E$2311,2021,Data!$F$4:$F$2311,9)</f>
        <v>0.595424477709248</v>
      </c>
      <c r="K37" s="12" t="n">
        <f aca="false">SUMIFS(Data!$H$4:$H$2311,Data!$B$4:$B$2311,"UCO",Data!$C$4:$C$2311,"Mexico",Data!$E$4:$E$2311,2021,Data!$F$4:$F$2311,10)</f>
        <v>1.35758676893163</v>
      </c>
      <c r="L37" s="12" t="n">
        <f aca="false">SUMIFS(Data!$H$4:$H$2311,Data!$B$4:$B$2311,"UCO",Data!$C$4:$C$2311,"Mexico",Data!$E$4:$E$2311,2021,Data!$F$4:$F$2311,11)</f>
        <v>0.263187848596453</v>
      </c>
      <c r="M37" s="12" t="n">
        <f aca="false">SUMIFS(Data!$H$4:$H$2311,Data!$B$4:$B$2311,"UCO",Data!$C$4:$C$2311,"Mexico",Data!$E$4:$E$2311,2021,Data!$F$4:$F$2311,12)</f>
        <v>1.12612123524098</v>
      </c>
      <c r="N37" s="13" t="n">
        <f aca="false">SUM(B37:M37)</f>
        <v>6.65523540442639</v>
      </c>
    </row>
    <row r="38" customFormat="false" ht="15" hidden="false" customHeight="false" outlineLevel="0" collapsed="false">
      <c r="A38" s="11" t="s">
        <v>53</v>
      </c>
      <c r="B38" s="12" t="n">
        <f aca="false">SUMIFS(Data!$H$4:$H$2311,Data!$B$4:$B$2311,"UCO",Data!$C$4:$C$2311,"France",Data!$E$4:$E$2311,2021,Data!$F$4:$F$2311,1)</f>
        <v>0.0504153101164658</v>
      </c>
      <c r="C38" s="12" t="n">
        <f aca="false">SUMIFS(Data!$H$4:$H$2311,Data!$B$4:$B$2311,"UCO",Data!$C$4:$C$2311,"France",Data!$E$4:$E$2311,2021,Data!$F$4:$F$2311,2)</f>
        <v>0.170933210362518</v>
      </c>
      <c r="D38" s="12" t="n">
        <f aca="false">SUMIFS(Data!$H$4:$H$2311,Data!$B$4:$B$2311,"UCO",Data!$C$4:$C$2311,"France",Data!$E$4:$E$2311,2021,Data!$F$4:$F$2311,3)</f>
        <v>0.0598290487117653</v>
      </c>
      <c r="E38" s="12" t="n">
        <f aca="false">SUMIFS(Data!$H$4:$H$2311,Data!$B$4:$B$2311,"UCO",Data!$C$4:$C$2311,"France",Data!$E$4:$E$2311,2021,Data!$F$4:$F$2311,4)</f>
        <v>0.117550478197042</v>
      </c>
      <c r="F38" s="12" t="n">
        <f aca="false">SUMIFS(Data!$H$4:$H$2311,Data!$B$4:$B$2311,"UCO",Data!$C$4:$C$2311,"France",Data!$E$4:$E$2311,2021,Data!$F$4:$F$2311,5)</f>
        <v>0.0501265045530035</v>
      </c>
      <c r="G38" s="12" t="n">
        <f aca="false">SUMIFS(Data!$H$4:$H$2311,Data!$B$4:$B$2311,"UCO",Data!$C$4:$C$2311,"France",Data!$E$4:$E$2311,2021,Data!$F$4:$F$2311,6)</f>
        <v>0.211255758116154</v>
      </c>
      <c r="H38" s="12" t="n">
        <f aca="false">SUMIFS(Data!$H$4:$H$2311,Data!$B$4:$B$2311,"UCO",Data!$C$4:$C$2311,"France",Data!$E$4:$E$2311,2021,Data!$F$4:$F$2311,7)</f>
        <v>0.0410875518034185</v>
      </c>
      <c r="I38" s="12" t="n">
        <f aca="false">SUMIFS(Data!$H$4:$H$2311,Data!$B$4:$B$2311,"UCO",Data!$C$4:$C$2311,"France",Data!$E$4:$E$2311,2021,Data!$F$4:$F$2311,8)</f>
        <v>0.086906223753327</v>
      </c>
      <c r="J38" s="12" t="n">
        <f aca="false">SUMIFS(Data!$H$4:$H$2311,Data!$B$4:$B$2311,"UCO",Data!$C$4:$C$2311,"France",Data!$E$4:$E$2311,2021,Data!$F$4:$F$2311,9)</f>
        <v>0.0072487991806428</v>
      </c>
      <c r="K38" s="12" t="n">
        <f aca="false">SUMIFS(Data!$H$4:$H$2311,Data!$B$4:$B$2311,"UCO",Data!$C$4:$C$2311,"France",Data!$E$4:$E$2311,2021,Data!$F$4:$F$2311,10)</f>
        <v>0.116282820189478</v>
      </c>
      <c r="L38" s="12" t="n">
        <f aca="false">SUMIFS(Data!$H$4:$H$2311,Data!$B$4:$B$2311,"UCO",Data!$C$4:$C$2311,"France",Data!$E$4:$E$2311,2021,Data!$F$4:$F$2311,11)</f>
        <v>0.124428900777214</v>
      </c>
      <c r="M38" s="12" t="n">
        <f aca="false">SUMIFS(Data!$H$4:$H$2311,Data!$B$4:$B$2311,"UCO",Data!$C$4:$C$2311,"France",Data!$E$4:$E$2311,2021,Data!$F$4:$F$2311,12)</f>
        <v>0.0576398584482683</v>
      </c>
      <c r="N38" s="13" t="n">
        <f aca="false">SUM(B38:M38)</f>
        <v>1.0937044642093</v>
      </c>
    </row>
    <row r="39" customFormat="false" ht="15" hidden="false" customHeight="false" outlineLevel="0" collapsed="false">
      <c r="A39" s="11" t="s">
        <v>51</v>
      </c>
      <c r="B39" s="12" t="n">
        <f aca="false">SUMIFS(Data!$H$4:$H$2311,Data!$B$4:$B$2311,"UCO",Data!$C$4:$C$2311,"India",Data!$E$4:$E$2311,2021,Data!$F$4:$F$2311,1)</f>
        <v>0.0363784778831469</v>
      </c>
      <c r="C39" s="12" t="n">
        <f aca="false">SUMIFS(Data!$H$4:$H$2311,Data!$B$4:$B$2311,"UCO",Data!$C$4:$C$2311,"India",Data!$E$4:$E$2311,2021,Data!$F$4:$F$2311,2)</f>
        <v>0.093123259546944</v>
      </c>
      <c r="D39" s="12" t="n">
        <f aca="false">SUMIFS(Data!$H$4:$H$2311,Data!$B$4:$B$2311,"UCO",Data!$C$4:$C$2311,"India",Data!$E$4:$E$2311,2021,Data!$F$4:$F$2311,3)</f>
        <v>0.033598448756994</v>
      </c>
      <c r="E39" s="12" t="n">
        <f aca="false">SUMIFS(Data!$H$4:$H$2311,Data!$B$4:$B$2311,"UCO",Data!$C$4:$C$2311,"India",Data!$E$4:$E$2311,2021,Data!$F$4:$F$2311,4)</f>
        <v>0.0787006183548013</v>
      </c>
      <c r="F39" s="12" t="n">
        <f aca="false">SUMIFS(Data!$H$4:$H$2311,Data!$B$4:$B$2311,"UCO",Data!$C$4:$C$2311,"India",Data!$E$4:$E$2311,2021,Data!$F$4:$F$2311,5)</f>
        <v>0.0013448197993285</v>
      </c>
      <c r="G39" s="12" t="n">
        <f aca="false">SUMIFS(Data!$H$4:$H$2311,Data!$B$4:$B$2311,"UCO",Data!$C$4:$C$2311,"India",Data!$E$4:$E$2311,2021,Data!$F$4:$F$2311,6)</f>
        <v>0.0314511463233121</v>
      </c>
      <c r="H39" s="12" t="n">
        <f aca="false">SUMIFS(Data!$H$4:$H$2311,Data!$B$4:$B$2311,"UCO",Data!$C$4:$C$2311,"India",Data!$E$4:$E$2311,2021,Data!$F$4:$F$2311,7)</f>
        <v>0.219428294175352</v>
      </c>
      <c r="I39" s="12" t="n">
        <f aca="false">SUMIFS(Data!$H$4:$H$2311,Data!$B$4:$B$2311,"UCO",Data!$C$4:$C$2311,"India",Data!$E$4:$E$2311,2021,Data!$F$4:$F$2311,8)</f>
        <v>0.142345868824989</v>
      </c>
      <c r="J39" s="12" t="n">
        <f aca="false">SUMIFS(Data!$H$4:$H$2311,Data!$B$4:$B$2311,"UCO",Data!$C$4:$C$2311,"India",Data!$E$4:$E$2311,2021,Data!$F$4:$F$2311,9)</f>
        <v>0.0585944600435293</v>
      </c>
      <c r="K39" s="12" t="n">
        <f aca="false">SUMIFS(Data!$H$4:$H$2311,Data!$B$4:$B$2311,"UCO",Data!$C$4:$C$2311,"India",Data!$E$4:$E$2311,2021,Data!$F$4:$F$2311,10)</f>
        <v>0.0354415132688606</v>
      </c>
      <c r="L39" s="12" t="n">
        <f aca="false">SUMIFS(Data!$H$4:$H$2311,Data!$B$4:$B$2311,"UCO",Data!$C$4:$C$2311,"India",Data!$E$4:$E$2311,2021,Data!$F$4:$F$2311,11)</f>
        <v>0.101908680695016</v>
      </c>
      <c r="M39" s="12" t="n">
        <f aca="false">SUMIFS(Data!$H$4:$H$2311,Data!$B$4:$B$2311,"UCO",Data!$C$4:$C$2311,"India",Data!$E$4:$E$2311,2021,Data!$F$4:$F$2311,12)</f>
        <v>0.0705479238992</v>
      </c>
      <c r="N39" s="13" t="n">
        <f aca="false">SUM(B39:M39)</f>
        <v>0.902863511571474</v>
      </c>
    </row>
    <row r="40" customFormat="false" ht="15" hidden="false" customHeight="false" outlineLevel="0" collapsed="false">
      <c r="A40" s="11" t="s">
        <v>57</v>
      </c>
      <c r="B40" s="12" t="n">
        <f aca="false">SUMIFS(Data!$H$4:$H$2311,Data!$B$4:$B$2311,"UCO",Data!$C$4:$C$2311,"China",Data!$E$4:$E$2311,2021,Data!$F$4:$F$2311,1)</f>
        <v>0</v>
      </c>
      <c r="C40" s="12" t="n">
        <f aca="false">SUMIFS(Data!$H$4:$H$2311,Data!$B$4:$B$2311,"UCO",Data!$C$4:$C$2311,"China",Data!$E$4:$E$2311,2021,Data!$F$4:$F$2311,2)</f>
        <v>0.0232896333772234</v>
      </c>
      <c r="D40" s="12" t="n">
        <f aca="false">SUMIFS(Data!$H$4:$H$2311,Data!$B$4:$B$2311,"UCO",Data!$C$4:$C$2311,"China",Data!$E$4:$E$2311,2021,Data!$F$4:$F$2311,3)</f>
        <v>0</v>
      </c>
      <c r="E40" s="12" t="n">
        <f aca="false">SUMIFS(Data!$H$4:$H$2311,Data!$B$4:$B$2311,"UCO",Data!$C$4:$C$2311,"China",Data!$E$4:$E$2311,2021,Data!$F$4:$F$2311,4)</f>
        <v>0</v>
      </c>
      <c r="F40" s="12" t="n">
        <f aca="false">SUMIFS(Data!$H$4:$H$2311,Data!$B$4:$B$2311,"UCO",Data!$C$4:$C$2311,"China",Data!$E$4:$E$2311,2021,Data!$F$4:$F$2311,5)</f>
        <v>0.0352739619496</v>
      </c>
      <c r="G40" s="12" t="n">
        <f aca="false">SUMIFS(Data!$H$4:$H$2311,Data!$B$4:$B$2311,"UCO",Data!$C$4:$C$2311,"China",Data!$E$4:$E$2311,2021,Data!$F$4:$F$2311,6)</f>
        <v>0.176369809748</v>
      </c>
      <c r="H40" s="12" t="n">
        <f aca="false">SUMIFS(Data!$H$4:$H$2311,Data!$B$4:$B$2311,"UCO",Data!$C$4:$C$2311,"China",Data!$E$4:$E$2311,2021,Data!$F$4:$F$2311,7)</f>
        <v>0</v>
      </c>
      <c r="I40" s="12" t="n">
        <f aca="false">SUMIFS(Data!$H$4:$H$2311,Data!$B$4:$B$2311,"UCO",Data!$C$4:$C$2311,"China",Data!$E$4:$E$2311,2021,Data!$F$4:$F$2311,8)</f>
        <v>0.00230383063983325</v>
      </c>
      <c r="J40" s="12" t="n">
        <f aca="false">SUMIFS(Data!$H$4:$H$2311,Data!$B$4:$B$2311,"UCO",Data!$C$4:$C$2311,"China",Data!$E$4:$E$2311,2021,Data!$F$4:$F$2311,9)</f>
        <v>0</v>
      </c>
      <c r="K40" s="12" t="n">
        <f aca="false">SUMIFS(Data!$H$4:$H$2311,Data!$B$4:$B$2311,"UCO",Data!$C$4:$C$2311,"China",Data!$E$4:$E$2311,2021,Data!$F$4:$F$2311,10)</f>
        <v>0</v>
      </c>
      <c r="L40" s="12" t="n">
        <f aca="false">SUMIFS(Data!$H$4:$H$2311,Data!$B$4:$B$2311,"UCO",Data!$C$4:$C$2311,"China",Data!$E$4:$E$2311,2021,Data!$F$4:$F$2311,11)</f>
        <v>0.039330467573804</v>
      </c>
      <c r="M40" s="12" t="n">
        <f aca="false">SUMIFS(Data!$H$4:$H$2311,Data!$B$4:$B$2311,"UCO",Data!$C$4:$C$2311,"China",Data!$E$4:$E$2311,2021,Data!$F$4:$F$2311,12)</f>
        <v>0.01102311310925</v>
      </c>
      <c r="N40" s="13" t="n">
        <f aca="false">SUM(B40:M40)</f>
        <v>0.287590816397711</v>
      </c>
    </row>
    <row r="41" customFormat="false" ht="15" hidden="false" customHeight="false" outlineLevel="0" collapsed="false">
      <c r="A41" s="11" t="s">
        <v>55</v>
      </c>
      <c r="B41" s="12" t="n">
        <f aca="false">SUMIFS(Data!$H$4:$H$2311,Data!$B$4:$B$2311,"UCO",Data!$C$4:$C$2311,"Aruba",Data!$E$4:$E$2311,2021,Data!$F$4:$F$2311,1)</f>
        <v>0</v>
      </c>
      <c r="C41" s="12" t="n">
        <f aca="false">SUMIFS(Data!$H$4:$H$2311,Data!$B$4:$B$2311,"UCO",Data!$C$4:$C$2311,"Aruba",Data!$E$4:$E$2311,2021,Data!$F$4:$F$2311,2)</f>
        <v>0</v>
      </c>
      <c r="D41" s="12" t="n">
        <f aca="false">SUMIFS(Data!$H$4:$H$2311,Data!$B$4:$B$2311,"UCO",Data!$C$4:$C$2311,"Aruba",Data!$E$4:$E$2311,2021,Data!$F$4:$F$2311,3)</f>
        <v>0</v>
      </c>
      <c r="E41" s="12" t="n">
        <f aca="false">SUMIFS(Data!$H$4:$H$2311,Data!$B$4:$B$2311,"UCO",Data!$C$4:$C$2311,"Aruba",Data!$E$4:$E$2311,2021,Data!$F$4:$F$2311,4)</f>
        <v>0</v>
      </c>
      <c r="F41" s="12" t="n">
        <f aca="false">SUMIFS(Data!$H$4:$H$2311,Data!$B$4:$B$2311,"UCO",Data!$C$4:$C$2311,"Aruba",Data!$E$4:$E$2311,2021,Data!$F$4:$F$2311,5)</f>
        <v>0</v>
      </c>
      <c r="G41" s="12" t="n">
        <f aca="false">SUMIFS(Data!$H$4:$H$2311,Data!$B$4:$B$2311,"UCO",Data!$C$4:$C$2311,"Aruba",Data!$E$4:$E$2311,2021,Data!$F$4:$F$2311,6)</f>
        <v>0</v>
      </c>
      <c r="H41" s="12" t="n">
        <f aca="false">SUMIFS(Data!$H$4:$H$2311,Data!$B$4:$B$2311,"UCO",Data!$C$4:$C$2311,"Aruba",Data!$E$4:$E$2311,2021,Data!$F$4:$F$2311,7)</f>
        <v>0</v>
      </c>
      <c r="I41" s="12" t="n">
        <f aca="false">SUMIFS(Data!$H$4:$H$2311,Data!$B$4:$B$2311,"UCO",Data!$C$4:$C$2311,"Aruba",Data!$E$4:$E$2311,2021,Data!$F$4:$F$2311,8)</f>
        <v>0.097929336862577</v>
      </c>
      <c r="J41" s="12" t="n">
        <f aca="false">SUMIFS(Data!$H$4:$H$2311,Data!$B$4:$B$2311,"UCO",Data!$C$4:$C$2311,"Aruba",Data!$E$4:$E$2311,2021,Data!$F$4:$F$2311,9)</f>
        <v>0</v>
      </c>
      <c r="K41" s="12" t="n">
        <f aca="false">SUMIFS(Data!$H$4:$H$2311,Data!$B$4:$B$2311,"UCO",Data!$C$4:$C$2311,"Aruba",Data!$E$4:$E$2311,2021,Data!$F$4:$F$2311,10)</f>
        <v>0</v>
      </c>
      <c r="L41" s="12" t="n">
        <f aca="false">SUMIFS(Data!$H$4:$H$2311,Data!$B$4:$B$2311,"UCO",Data!$C$4:$C$2311,"Aruba",Data!$E$4:$E$2311,2021,Data!$F$4:$F$2311,11)</f>
        <v>0</v>
      </c>
      <c r="M41" s="12" t="n">
        <f aca="false">SUMIFS(Data!$H$4:$H$2311,Data!$B$4:$B$2311,"UCO",Data!$C$4:$C$2311,"Aruba",Data!$E$4:$E$2311,2021,Data!$F$4:$F$2311,12)</f>
        <v>0.0970033953614</v>
      </c>
      <c r="N41" s="13" t="n">
        <f aca="false">SUM(B41:M41)</f>
        <v>0.194932732223977</v>
      </c>
    </row>
    <row r="42" customFormat="false" ht="15" hidden="false" customHeight="false" outlineLevel="0" collapsed="false">
      <c r="A42" s="11" t="s">
        <v>68</v>
      </c>
      <c r="B42" s="12" t="n">
        <f aca="false">SUMIFS(Data!$H$4:$H$2311,Data!$B$4:$B$2311,"UCO",Data!$C$4:$C$2311,"Argentina",Data!$E$4:$E$2311,2021,Data!$F$4:$F$2311,1)</f>
        <v>0</v>
      </c>
      <c r="C42" s="12" t="n">
        <f aca="false">SUMIFS(Data!$H$4:$H$2311,Data!$B$4:$B$2311,"UCO",Data!$C$4:$C$2311,"Argentina",Data!$E$4:$E$2311,2021,Data!$F$4:$F$2311,2)</f>
        <v>0.04188782981515</v>
      </c>
      <c r="D42" s="12" t="n">
        <f aca="false">SUMIFS(Data!$H$4:$H$2311,Data!$B$4:$B$2311,"UCO",Data!$C$4:$C$2311,"Argentina",Data!$E$4:$E$2311,2021,Data!$F$4:$F$2311,3)</f>
        <v>0</v>
      </c>
      <c r="E42" s="12" t="n">
        <f aca="false">SUMIFS(Data!$H$4:$H$2311,Data!$B$4:$B$2311,"UCO",Data!$C$4:$C$2311,"Argentina",Data!$E$4:$E$2311,2021,Data!$F$4:$F$2311,4)</f>
        <v>0</v>
      </c>
      <c r="F42" s="12" t="n">
        <f aca="false">SUMIFS(Data!$H$4:$H$2311,Data!$B$4:$B$2311,"UCO",Data!$C$4:$C$2311,"Argentina",Data!$E$4:$E$2311,2021,Data!$F$4:$F$2311,5)</f>
        <v>0.04188782981515</v>
      </c>
      <c r="G42" s="12" t="n">
        <f aca="false">SUMIFS(Data!$H$4:$H$2311,Data!$B$4:$B$2311,"UCO",Data!$C$4:$C$2311,"Argentina",Data!$E$4:$E$2311,2021,Data!$F$4:$F$2311,6)</f>
        <v>0</v>
      </c>
      <c r="H42" s="12" t="n">
        <f aca="false">SUMIFS(Data!$H$4:$H$2311,Data!$B$4:$B$2311,"UCO",Data!$C$4:$C$2311,"Argentina",Data!$E$4:$E$2311,2021,Data!$F$4:$F$2311,7)</f>
        <v>0</v>
      </c>
      <c r="I42" s="12" t="n">
        <f aca="false">SUMIFS(Data!$H$4:$H$2311,Data!$B$4:$B$2311,"UCO",Data!$C$4:$C$2311,"Argentina",Data!$E$4:$E$2311,2021,Data!$F$4:$F$2311,8)</f>
        <v>0</v>
      </c>
      <c r="J42" s="12" t="n">
        <f aca="false">SUMIFS(Data!$H$4:$H$2311,Data!$B$4:$B$2311,"UCO",Data!$C$4:$C$2311,"Argentina",Data!$E$4:$E$2311,2021,Data!$F$4:$F$2311,9)</f>
        <v>0.0793664143866</v>
      </c>
      <c r="K42" s="12" t="n">
        <f aca="false">SUMIFS(Data!$H$4:$H$2311,Data!$B$4:$B$2311,"UCO",Data!$C$4:$C$2311,"Argentina",Data!$E$4:$E$2311,2021,Data!$F$4:$F$2311,10)</f>
        <v>0</v>
      </c>
      <c r="L42" s="12" t="n">
        <f aca="false">SUMIFS(Data!$H$4:$H$2311,Data!$B$4:$B$2311,"UCO",Data!$C$4:$C$2311,"Argentina",Data!$E$4:$E$2311,2021,Data!$F$4:$F$2311,11)</f>
        <v>0</v>
      </c>
      <c r="M42" s="12" t="n">
        <f aca="false">SUMIFS(Data!$H$4:$H$2311,Data!$B$4:$B$2311,"UCO",Data!$C$4:$C$2311,"Argentina",Data!$E$4:$E$2311,2021,Data!$F$4:$F$2311,12)</f>
        <v>0</v>
      </c>
      <c r="N42" s="13" t="n">
        <f aca="false">SUM(B42:M42)</f>
        <v>0.1631420740169</v>
      </c>
    </row>
    <row r="43" customFormat="false" ht="15" hidden="false" customHeight="false" outlineLevel="0" collapsed="false">
      <c r="A43" s="11" t="s">
        <v>59</v>
      </c>
      <c r="B43" s="12" t="n">
        <f aca="false">SUMIFS(Data!$H$4:$H$2311,Data!$B$4:$B$2311,"UCO",Data!$C$4:$C$2311,"Germany",Data!$E$4:$E$2311,2021,Data!$F$4:$F$2311,1)</f>
        <v>0.0099869404769805</v>
      </c>
      <c r="C43" s="12" t="n">
        <f aca="false">SUMIFS(Data!$H$4:$H$2311,Data!$B$4:$B$2311,"UCO",Data!$C$4:$C$2311,"Germany",Data!$E$4:$E$2311,2021,Data!$F$4:$F$2311,2)</f>
        <v>0.0061508971149615</v>
      </c>
      <c r="D43" s="12" t="n">
        <f aca="false">SUMIFS(Data!$H$4:$H$2311,Data!$B$4:$B$2311,"UCO",Data!$C$4:$C$2311,"Germany",Data!$E$4:$E$2311,2021,Data!$F$4:$F$2311,3)</f>
        <v>0.0117837079137883</v>
      </c>
      <c r="E43" s="12" t="n">
        <f aca="false">SUMIFS(Data!$H$4:$H$2311,Data!$B$4:$B$2311,"UCO",Data!$C$4:$C$2311,"Germany",Data!$E$4:$E$2311,2021,Data!$F$4:$F$2311,4)</f>
        <v>0.00103837725489135</v>
      </c>
      <c r="F43" s="12" t="n">
        <f aca="false">SUMIFS(Data!$H$4:$H$2311,Data!$B$4:$B$2311,"UCO",Data!$C$4:$C$2311,"Germany",Data!$E$4:$E$2311,2021,Data!$F$4:$F$2311,5)</f>
        <v>0.00793664143866</v>
      </c>
      <c r="G43" s="12" t="n">
        <f aca="false">SUMIFS(Data!$H$4:$H$2311,Data!$B$4:$B$2311,"UCO",Data!$C$4:$C$2311,"Germany",Data!$E$4:$E$2311,2021,Data!$F$4:$F$2311,6)</f>
        <v>0.0085318895465595</v>
      </c>
      <c r="H43" s="12" t="n">
        <f aca="false">SUMIFS(Data!$H$4:$H$2311,Data!$B$4:$B$2311,"UCO",Data!$C$4:$C$2311,"Germany",Data!$E$4:$E$2311,2021,Data!$F$4:$F$2311,7)</f>
        <v>0.0103551124548295</v>
      </c>
      <c r="I43" s="12" t="n">
        <f aca="false">SUMIFS(Data!$H$4:$H$2311,Data!$B$4:$B$2311,"UCO",Data!$C$4:$C$2311,"Germany",Data!$E$4:$E$2311,2021,Data!$F$4:$F$2311,8)</f>
        <v>0.0244624926120476</v>
      </c>
      <c r="J43" s="12" t="n">
        <f aca="false">SUMIFS(Data!$H$4:$H$2311,Data!$B$4:$B$2311,"UCO",Data!$C$4:$C$2311,"Germany",Data!$E$4:$E$2311,2021,Data!$F$4:$F$2311,9)</f>
        <v>0.0227009991371895</v>
      </c>
      <c r="K43" s="12" t="n">
        <f aca="false">SUMIFS(Data!$H$4:$H$2311,Data!$B$4:$B$2311,"UCO",Data!$C$4:$C$2311,"Germany",Data!$E$4:$E$2311,2021,Data!$F$4:$F$2311,10)</f>
        <v>0.0004761984863196</v>
      </c>
      <c r="L43" s="12" t="n">
        <f aca="false">SUMIFS(Data!$H$4:$H$2311,Data!$B$4:$B$2311,"UCO",Data!$C$4:$C$2311,"Germany",Data!$E$4:$E$2311,2021,Data!$F$4:$F$2311,11)</f>
        <v>0.0126611477172846</v>
      </c>
      <c r="M43" s="12" t="n">
        <f aca="false">SUMIFS(Data!$H$4:$H$2311,Data!$B$4:$B$2311,"UCO",Data!$C$4:$C$2311,"Germany",Data!$E$4:$E$2311,2021,Data!$F$4:$F$2311,12)</f>
        <v>0.0407546537875191</v>
      </c>
      <c r="N43" s="13" t="n">
        <f aca="false">SUM(B43:M43)</f>
        <v>0.156839057941031</v>
      </c>
    </row>
    <row r="44" customFormat="false" ht="15" hidden="false" customHeight="false" outlineLevel="0" collapsed="false">
      <c r="A44" s="11" t="s">
        <v>93</v>
      </c>
      <c r="B44" s="12" t="n">
        <f aca="false">SUMIFS(Data!$H$4:$H$2311,Data!$B$4:$B$2311,"UCO",Data!$C$4:$C$2311,"Paraguay",Data!$E$4:$E$2311,2021,Data!$F$4:$F$2311,1)</f>
        <v>0</v>
      </c>
      <c r="C44" s="12" t="n">
        <f aca="false">SUMIFS(Data!$H$4:$H$2311,Data!$B$4:$B$2311,"UCO",Data!$C$4:$C$2311,"Paraguay",Data!$E$4:$E$2311,2021,Data!$F$4:$F$2311,2)</f>
        <v>0</v>
      </c>
      <c r="D44" s="12" t="n">
        <f aca="false">SUMIFS(Data!$H$4:$H$2311,Data!$B$4:$B$2311,"UCO",Data!$C$4:$C$2311,"Paraguay",Data!$E$4:$E$2311,2021,Data!$F$4:$F$2311,3)</f>
        <v>0</v>
      </c>
      <c r="E44" s="12" t="n">
        <f aca="false">SUMIFS(Data!$H$4:$H$2311,Data!$B$4:$B$2311,"UCO",Data!$C$4:$C$2311,"Paraguay",Data!$E$4:$E$2311,2021,Data!$F$4:$F$2311,4)</f>
        <v>0</v>
      </c>
      <c r="F44" s="12" t="n">
        <f aca="false">SUMIFS(Data!$H$4:$H$2311,Data!$B$4:$B$2311,"UCO",Data!$C$4:$C$2311,"Paraguay",Data!$E$4:$E$2311,2021,Data!$F$4:$F$2311,5)</f>
        <v>0</v>
      </c>
      <c r="G44" s="12" t="n">
        <f aca="false">SUMIFS(Data!$H$4:$H$2311,Data!$B$4:$B$2311,"UCO",Data!$C$4:$C$2311,"Paraguay",Data!$E$4:$E$2311,2021,Data!$F$4:$F$2311,6)</f>
        <v>0</v>
      </c>
      <c r="H44" s="12" t="n">
        <f aca="false">SUMIFS(Data!$H$4:$H$2311,Data!$B$4:$B$2311,"UCO",Data!$C$4:$C$2311,"Paraguay",Data!$E$4:$E$2311,2021,Data!$F$4:$F$2311,7)</f>
        <v>0</v>
      </c>
      <c r="I44" s="12" t="n">
        <f aca="false">SUMIFS(Data!$H$4:$H$2311,Data!$B$4:$B$2311,"UCO",Data!$C$4:$C$2311,"Paraguay",Data!$E$4:$E$2311,2021,Data!$F$4:$F$2311,8)</f>
        <v>0</v>
      </c>
      <c r="J44" s="12" t="n">
        <f aca="false">SUMIFS(Data!$H$4:$H$2311,Data!$B$4:$B$2311,"UCO",Data!$C$4:$C$2311,"Paraguay",Data!$E$4:$E$2311,2021,Data!$F$4:$F$2311,9)</f>
        <v>0.0925302160616664</v>
      </c>
      <c r="K44" s="12" t="n">
        <f aca="false">SUMIFS(Data!$H$4:$H$2311,Data!$B$4:$B$2311,"UCO",Data!$C$4:$C$2311,"Paraguay",Data!$E$4:$E$2311,2021,Data!$F$4:$F$2311,10)</f>
        <v>0</v>
      </c>
      <c r="L44" s="12" t="n">
        <f aca="false">SUMIFS(Data!$H$4:$H$2311,Data!$B$4:$B$2311,"UCO",Data!$C$4:$C$2311,"Paraguay",Data!$E$4:$E$2311,2021,Data!$F$4:$F$2311,11)</f>
        <v>0</v>
      </c>
      <c r="M44" s="12" t="n">
        <f aca="false">SUMIFS(Data!$H$4:$H$2311,Data!$B$4:$B$2311,"UCO",Data!$C$4:$C$2311,"Paraguay",Data!$E$4:$E$2311,2021,Data!$F$4:$F$2311,12)</f>
        <v>0</v>
      </c>
      <c r="N44" s="13" t="n">
        <f aca="false">SUM(B44:M44)</f>
        <v>0.0925302160616664</v>
      </c>
    </row>
    <row r="45" customFormat="false" ht="15" hidden="false" customHeight="false" outlineLevel="0" collapsed="false">
      <c r="A45" s="11" t="s">
        <v>75</v>
      </c>
      <c r="B45" s="12" t="n">
        <f aca="false">SUMIFS(Data!$H$4:$H$2311,Data!$B$4:$B$2311,"UCO",Data!$C$4:$C$2311,"Vietnam",Data!$E$4:$E$2311,2021,Data!$F$4:$F$2311,1)</f>
        <v>0.004276967886389</v>
      </c>
      <c r="C45" s="12" t="n">
        <f aca="false">SUMIFS(Data!$H$4:$H$2311,Data!$B$4:$B$2311,"UCO",Data!$C$4:$C$2311,"Vietnam",Data!$E$4:$E$2311,2021,Data!$F$4:$F$2311,2)</f>
        <v>0.00798293851371885</v>
      </c>
      <c r="D45" s="12" t="n">
        <f aca="false">SUMIFS(Data!$H$4:$H$2311,Data!$B$4:$B$2311,"UCO",Data!$C$4:$C$2311,"Vietnam",Data!$E$4:$E$2311,2021,Data!$F$4:$F$2311,3)</f>
        <v>0.0376571590038199</v>
      </c>
      <c r="E45" s="12" t="n">
        <f aca="false">SUMIFS(Data!$H$4:$H$2311,Data!$B$4:$B$2311,"UCO",Data!$C$4:$C$2311,"Vietnam",Data!$E$4:$E$2311,2021,Data!$F$4:$F$2311,4)</f>
        <v>0.0086200744514335</v>
      </c>
      <c r="F45" s="12" t="n">
        <f aca="false">SUMIFS(Data!$H$4:$H$2311,Data!$B$4:$B$2311,"UCO",Data!$C$4:$C$2311,"Vietnam",Data!$E$4:$E$2311,2021,Data!$F$4:$F$2311,5)</f>
        <v>0</v>
      </c>
      <c r="G45" s="12" t="n">
        <f aca="false">SUMIFS(Data!$H$4:$H$2311,Data!$B$4:$B$2311,"UCO",Data!$C$4:$C$2311,"Vietnam",Data!$E$4:$E$2311,2021,Data!$F$4:$F$2311,6)</f>
        <v>0</v>
      </c>
      <c r="H45" s="12" t="n">
        <f aca="false">SUMIFS(Data!$H$4:$H$2311,Data!$B$4:$B$2311,"UCO",Data!$C$4:$C$2311,"Vietnam",Data!$E$4:$E$2311,2021,Data!$F$4:$F$2311,7)</f>
        <v>0</v>
      </c>
      <c r="I45" s="12" t="n">
        <f aca="false">SUMIFS(Data!$H$4:$H$2311,Data!$B$4:$B$2311,"UCO",Data!$C$4:$C$2311,"Vietnam",Data!$E$4:$E$2311,2021,Data!$F$4:$F$2311,8)</f>
        <v>0</v>
      </c>
      <c r="J45" s="12" t="n">
        <f aca="false">SUMIFS(Data!$H$4:$H$2311,Data!$B$4:$B$2311,"UCO",Data!$C$4:$C$2311,"Vietnam",Data!$E$4:$E$2311,2021,Data!$F$4:$F$2311,9)</f>
        <v>0</v>
      </c>
      <c r="K45" s="12" t="n">
        <f aca="false">SUMIFS(Data!$H$4:$H$2311,Data!$B$4:$B$2311,"UCO",Data!$C$4:$C$2311,"Vietnam",Data!$E$4:$E$2311,2021,Data!$F$4:$F$2311,10)</f>
        <v>0</v>
      </c>
      <c r="L45" s="12" t="n">
        <f aca="false">SUMIFS(Data!$H$4:$H$2311,Data!$B$4:$B$2311,"UCO",Data!$C$4:$C$2311,"Vietnam",Data!$E$4:$E$2311,2021,Data!$F$4:$F$2311,11)</f>
        <v>0</v>
      </c>
      <c r="M45" s="12" t="n">
        <f aca="false">SUMIFS(Data!$H$4:$H$2311,Data!$B$4:$B$2311,"UCO",Data!$C$4:$C$2311,"Vietnam",Data!$E$4:$E$2311,2021,Data!$F$4:$F$2311,12)</f>
        <v>0</v>
      </c>
      <c r="N45" s="13" t="n">
        <f aca="false">SUM(B45:M45)</f>
        <v>0.0585371398553612</v>
      </c>
    </row>
    <row r="46" customFormat="false" ht="15" hidden="false" customHeight="false" outlineLevel="0" collapsed="false">
      <c r="A46" s="11" t="s">
        <v>67</v>
      </c>
      <c r="B46" s="12" t="n">
        <f aca="false">SUMIFS(Data!$H$4:$H$2311,Data!$B$4:$B$2311,"UCO",Data!$C$4:$C$2311,"Japan",Data!$E$4:$E$2311,2021,Data!$F$4:$F$2311,1)</f>
        <v>0.008465750867904</v>
      </c>
      <c r="C46" s="12" t="n">
        <f aca="false">SUMIFS(Data!$H$4:$H$2311,Data!$B$4:$B$2311,"UCO",Data!$C$4:$C$2311,"Japan",Data!$E$4:$E$2311,2021,Data!$F$4:$F$2311,2)</f>
        <v>0.000352739619496</v>
      </c>
      <c r="D46" s="12" t="n">
        <f aca="false">SUMIFS(Data!$H$4:$H$2311,Data!$B$4:$B$2311,"UCO",Data!$C$4:$C$2311,"Japan",Data!$E$4:$E$2311,2021,Data!$F$4:$F$2311,3)</f>
        <v>0.003174656575464</v>
      </c>
      <c r="E46" s="12" t="n">
        <f aca="false">SUMIFS(Data!$H$4:$H$2311,Data!$B$4:$B$2311,"UCO",Data!$C$4:$C$2311,"Japan",Data!$E$4:$E$2311,2021,Data!$F$4:$F$2311,4)</f>
        <v>0.00529109429244</v>
      </c>
      <c r="F46" s="12" t="n">
        <f aca="false">SUMIFS(Data!$H$4:$H$2311,Data!$B$4:$B$2311,"UCO",Data!$C$4:$C$2311,"Japan",Data!$E$4:$E$2311,2021,Data!$F$4:$F$2311,5)</f>
        <v>0.00264554714622</v>
      </c>
      <c r="G46" s="12" t="n">
        <f aca="false">SUMIFS(Data!$H$4:$H$2311,Data!$B$4:$B$2311,"UCO",Data!$C$4:$C$2311,"Japan",Data!$E$4:$E$2311,2021,Data!$F$4:$F$2311,6)</f>
        <v>0</v>
      </c>
      <c r="H46" s="12" t="n">
        <f aca="false">SUMIFS(Data!$H$4:$H$2311,Data!$B$4:$B$2311,"UCO",Data!$C$4:$C$2311,"Japan",Data!$E$4:$E$2311,2021,Data!$F$4:$F$2311,7)</f>
        <v>0.003174656575464</v>
      </c>
      <c r="I46" s="12" t="n">
        <f aca="false">SUMIFS(Data!$H$4:$H$2311,Data!$B$4:$B$2311,"UCO",Data!$C$4:$C$2311,"Japan",Data!$E$4:$E$2311,2021,Data!$F$4:$F$2311,8)</f>
        <v>0.00529109429244</v>
      </c>
      <c r="J46" s="12" t="n">
        <f aca="false">SUMIFS(Data!$H$4:$H$2311,Data!$B$4:$B$2311,"UCO",Data!$C$4:$C$2311,"Japan",Data!$E$4:$E$2311,2021,Data!$F$4:$F$2311,9)</f>
        <v>0.008333473510593</v>
      </c>
      <c r="K46" s="12" t="n">
        <f aca="false">SUMIFS(Data!$H$4:$H$2311,Data!$B$4:$B$2311,"UCO",Data!$C$4:$C$2311,"Japan",Data!$E$4:$E$2311,2021,Data!$F$4:$F$2311,10)</f>
        <v>0.001587328287732</v>
      </c>
      <c r="L46" s="12" t="n">
        <f aca="false">SUMIFS(Data!$H$4:$H$2311,Data!$B$4:$B$2311,"UCO",Data!$C$4:$C$2311,"Japan",Data!$E$4:$E$2311,2021,Data!$F$4:$F$2311,11)</f>
        <v>0</v>
      </c>
      <c r="M46" s="12" t="n">
        <f aca="false">SUMIFS(Data!$H$4:$H$2311,Data!$B$4:$B$2311,"UCO",Data!$C$4:$C$2311,"Japan",Data!$E$4:$E$2311,2021,Data!$F$4:$F$2311,12)</f>
        <v>0</v>
      </c>
      <c r="N46" s="13" t="n">
        <f aca="false">SUM(B46:M46)</f>
        <v>0.038316341167753</v>
      </c>
    </row>
    <row r="47" customFormat="false" ht="15" hidden="false" customHeight="false" outlineLevel="0" collapsed="false">
      <c r="A47" s="11" t="s">
        <v>69</v>
      </c>
      <c r="B47" s="12" t="n">
        <f aca="false">SUMIFS(Data!$H$4:$H$2311,Data!$B$4:$B$2311,"UCO",Data!$C$4:$C$2311,"Spain",Data!$E$4:$E$2311,2021,Data!$F$4:$F$2311,1)</f>
        <v>0.0087082593563075</v>
      </c>
      <c r="C47" s="12" t="n">
        <f aca="false">SUMIFS(Data!$H$4:$H$2311,Data!$B$4:$B$2311,"UCO",Data!$C$4:$C$2311,"Spain",Data!$E$4:$E$2311,2021,Data!$F$4:$F$2311,2)</f>
        <v>0.00589736551344875</v>
      </c>
      <c r="D47" s="12" t="n">
        <f aca="false">SUMIFS(Data!$H$4:$H$2311,Data!$B$4:$B$2311,"UCO",Data!$C$4:$C$2311,"Spain",Data!$E$4:$E$2311,2021,Data!$F$4:$F$2311,3)</f>
        <v>0.00617294334118</v>
      </c>
      <c r="E47" s="12" t="n">
        <f aca="false">SUMIFS(Data!$H$4:$H$2311,Data!$B$4:$B$2311,"UCO",Data!$C$4:$C$2311,"Spain",Data!$E$4:$E$2311,2021,Data!$F$4:$F$2311,4)</f>
        <v>0.0036376273260525</v>
      </c>
      <c r="F47" s="12" t="n">
        <f aca="false">SUMIFS(Data!$H$4:$H$2311,Data!$B$4:$B$2311,"UCO",Data!$C$4:$C$2311,"Spain",Data!$E$4:$E$2311,2021,Data!$F$4:$F$2311,5)</f>
        <v>0.00264554714622</v>
      </c>
      <c r="G47" s="12" t="n">
        <f aca="false">SUMIFS(Data!$H$4:$H$2311,Data!$B$4:$B$2311,"UCO",Data!$C$4:$C$2311,"Spain",Data!$E$4:$E$2311,2021,Data!$F$4:$F$2311,6)</f>
        <v>0.00176369809748</v>
      </c>
      <c r="H47" s="12" t="n">
        <f aca="false">SUMIFS(Data!$H$4:$H$2311,Data!$B$4:$B$2311,"UCO",Data!$C$4:$C$2311,"Spain",Data!$E$4:$E$2311,2021,Data!$F$4:$F$2311,7)</f>
        <v>0</v>
      </c>
      <c r="I47" s="12" t="n">
        <f aca="false">SUMIFS(Data!$H$4:$H$2311,Data!$B$4:$B$2311,"UCO",Data!$C$4:$C$2311,"Spain",Data!$E$4:$E$2311,2021,Data!$F$4:$F$2311,8)</f>
        <v>0</v>
      </c>
      <c r="J47" s="12" t="n">
        <f aca="false">SUMIFS(Data!$H$4:$H$2311,Data!$B$4:$B$2311,"UCO",Data!$C$4:$C$2311,"Spain",Data!$E$4:$E$2311,2021,Data!$F$4:$F$2311,9)</f>
        <v>0.0009920801798325</v>
      </c>
      <c r="K47" s="12" t="n">
        <f aca="false">SUMIFS(Data!$H$4:$H$2311,Data!$B$4:$B$2311,"UCO",Data!$C$4:$C$2311,"Spain",Data!$E$4:$E$2311,2021,Data!$F$4:$F$2311,10)</f>
        <v>0</v>
      </c>
      <c r="L47" s="12" t="n">
        <f aca="false">SUMIFS(Data!$H$4:$H$2311,Data!$B$4:$B$2311,"UCO",Data!$C$4:$C$2311,"Spain",Data!$E$4:$E$2311,2021,Data!$F$4:$F$2311,11)</f>
        <v>0</v>
      </c>
      <c r="M47" s="12" t="n">
        <f aca="false">SUMIFS(Data!$H$4:$H$2311,Data!$B$4:$B$2311,"UCO",Data!$C$4:$C$2311,"Spain",Data!$E$4:$E$2311,2021,Data!$F$4:$F$2311,12)</f>
        <v>0.0045194763747925</v>
      </c>
      <c r="N47" s="13" t="n">
        <f aca="false">SUM(B47:M47)</f>
        <v>0.0343369973353138</v>
      </c>
    </row>
    <row r="48" customFormat="false" ht="15" hidden="false" customHeight="false" outlineLevel="0" collapsed="false">
      <c r="A48" s="11" t="s">
        <v>79</v>
      </c>
      <c r="B48" s="12" t="n">
        <f aca="false">SUMIFS(Data!$H$4:$H$2311,Data!$B$4:$B$2311,"UCO",Data!$C$4:$C$2311,"Italy",Data!$E$4:$E$2311,2021,Data!$F$4:$F$2311,1)</f>
        <v>0.003174656575464</v>
      </c>
      <c r="C48" s="12" t="n">
        <f aca="false">SUMIFS(Data!$H$4:$H$2311,Data!$B$4:$B$2311,"UCO",Data!$C$4:$C$2311,"Italy",Data!$E$4:$E$2311,2021,Data!$F$4:$F$2311,2)</f>
        <v>0</v>
      </c>
      <c r="D48" s="12" t="n">
        <f aca="false">SUMIFS(Data!$H$4:$H$2311,Data!$B$4:$B$2311,"UCO",Data!$C$4:$C$2311,"Italy",Data!$E$4:$E$2311,2021,Data!$F$4:$F$2311,3)</f>
        <v>0</v>
      </c>
      <c r="E48" s="12" t="n">
        <f aca="false">SUMIFS(Data!$H$4:$H$2311,Data!$B$4:$B$2311,"UCO",Data!$C$4:$C$2311,"Italy",Data!$E$4:$E$2311,2021,Data!$F$4:$F$2311,4)</f>
        <v>0.00661386786555</v>
      </c>
      <c r="F48" s="12" t="n">
        <f aca="false">SUMIFS(Data!$H$4:$H$2311,Data!$B$4:$B$2311,"UCO",Data!$C$4:$C$2311,"Italy",Data!$E$4:$E$2311,2021,Data!$F$4:$F$2311,5)</f>
        <v>0.0014065492327403</v>
      </c>
      <c r="G48" s="12" t="n">
        <f aca="false">SUMIFS(Data!$H$4:$H$2311,Data!$B$4:$B$2311,"UCO",Data!$C$4:$C$2311,"Italy",Data!$E$4:$E$2311,2021,Data!$F$4:$F$2311,6)</f>
        <v>0</v>
      </c>
      <c r="H48" s="12" t="n">
        <f aca="false">SUMIFS(Data!$H$4:$H$2311,Data!$B$4:$B$2311,"UCO",Data!$C$4:$C$2311,"Italy",Data!$E$4:$E$2311,2021,Data!$F$4:$F$2311,7)</f>
        <v>0.00396832071933</v>
      </c>
      <c r="I48" s="12" t="n">
        <f aca="false">SUMIFS(Data!$H$4:$H$2311,Data!$B$4:$B$2311,"UCO",Data!$C$4:$C$2311,"Italy",Data!$E$4:$E$2311,2021,Data!$F$4:$F$2311,8)</f>
        <v>0</v>
      </c>
      <c r="J48" s="12" t="n">
        <f aca="false">SUMIFS(Data!$H$4:$H$2311,Data!$B$4:$B$2311,"UCO",Data!$C$4:$C$2311,"Italy",Data!$E$4:$E$2311,2021,Data!$F$4:$F$2311,9)</f>
        <v>0</v>
      </c>
      <c r="K48" s="12" t="n">
        <f aca="false">SUMIFS(Data!$H$4:$H$2311,Data!$B$4:$B$2311,"UCO",Data!$C$4:$C$2311,"Italy",Data!$E$4:$E$2311,2021,Data!$F$4:$F$2311,10)</f>
        <v>0</v>
      </c>
      <c r="L48" s="12" t="n">
        <f aca="false">SUMIFS(Data!$H$4:$H$2311,Data!$B$4:$B$2311,"UCO",Data!$C$4:$C$2311,"Italy",Data!$E$4:$E$2311,2021,Data!$F$4:$F$2311,11)</f>
        <v>0.000132277357311</v>
      </c>
      <c r="M48" s="12" t="n">
        <f aca="false">SUMIFS(Data!$H$4:$H$2311,Data!$B$4:$B$2311,"UCO",Data!$C$4:$C$2311,"Italy",Data!$E$4:$E$2311,2021,Data!$F$4:$F$2311,12)</f>
        <v>0.008730305582526</v>
      </c>
      <c r="N48" s="13" t="n">
        <f aca="false">SUM(B48:M48)</f>
        <v>0.0240259773329213</v>
      </c>
    </row>
    <row r="49" customFormat="false" ht="15" hidden="false" customHeight="false" outlineLevel="0" collapsed="false">
      <c r="A49" s="11" t="s">
        <v>73</v>
      </c>
      <c r="B49" s="12" t="n">
        <f aca="false">SUMIFS(Data!$H$4:$H$2311,Data!$B$4:$B$2311,"UCO",Data!$C$4:$C$2311,"Belgium",Data!$E$4:$E$2311,2021,Data!$F$4:$F$2311,1)</f>
        <v>0</v>
      </c>
      <c r="C49" s="12" t="n">
        <f aca="false">SUMIFS(Data!$H$4:$H$2311,Data!$B$4:$B$2311,"UCO",Data!$C$4:$C$2311,"Belgium",Data!$E$4:$E$2311,2021,Data!$F$4:$F$2311,2)</f>
        <v>0.01190496215799</v>
      </c>
      <c r="D49" s="12" t="n">
        <f aca="false">SUMIFS(Data!$H$4:$H$2311,Data!$B$4:$B$2311,"UCO",Data!$C$4:$C$2311,"Belgium",Data!$E$4:$E$2311,2021,Data!$F$4:$F$2311,3)</f>
        <v>0</v>
      </c>
      <c r="E49" s="12" t="n">
        <f aca="false">SUMIFS(Data!$H$4:$H$2311,Data!$B$4:$B$2311,"UCO",Data!$C$4:$C$2311,"Belgium",Data!$E$4:$E$2311,2021,Data!$F$4:$F$2311,4)</f>
        <v>0</v>
      </c>
      <c r="F49" s="12" t="n">
        <f aca="false">SUMIFS(Data!$H$4:$H$2311,Data!$B$4:$B$2311,"UCO",Data!$C$4:$C$2311,"Belgium",Data!$E$4:$E$2311,2021,Data!$F$4:$F$2311,5)</f>
        <v>0.0004188782981515</v>
      </c>
      <c r="G49" s="12" t="n">
        <f aca="false">SUMIFS(Data!$H$4:$H$2311,Data!$B$4:$B$2311,"UCO",Data!$C$4:$C$2311,"Belgium",Data!$E$4:$E$2311,2021,Data!$F$4:$F$2311,6)</f>
        <v>0</v>
      </c>
      <c r="H49" s="12" t="n">
        <f aca="false">SUMIFS(Data!$H$4:$H$2311,Data!$B$4:$B$2311,"UCO",Data!$C$4:$C$2311,"Belgium",Data!$E$4:$E$2311,2021,Data!$F$4:$F$2311,7)</f>
        <v>0</v>
      </c>
      <c r="I49" s="12" t="n">
        <f aca="false">SUMIFS(Data!$H$4:$H$2311,Data!$B$4:$B$2311,"UCO",Data!$C$4:$C$2311,"Belgium",Data!$E$4:$E$2311,2021,Data!$F$4:$F$2311,8)</f>
        <v>0.007098884842357</v>
      </c>
      <c r="J49" s="12" t="n">
        <f aca="false">SUMIFS(Data!$H$4:$H$2311,Data!$B$4:$B$2311,"UCO",Data!$C$4:$C$2311,"Belgium",Data!$E$4:$E$2311,2021,Data!$F$4:$F$2311,9)</f>
        <v>0</v>
      </c>
      <c r="K49" s="12" t="n">
        <f aca="false">SUMIFS(Data!$H$4:$H$2311,Data!$B$4:$B$2311,"UCO",Data!$C$4:$C$2311,"Belgium",Data!$E$4:$E$2311,2021,Data!$F$4:$F$2311,10)</f>
        <v>0</v>
      </c>
      <c r="L49" s="12" t="n">
        <f aca="false">SUMIFS(Data!$H$4:$H$2311,Data!$B$4:$B$2311,"UCO",Data!$C$4:$C$2311,"Belgium",Data!$E$4:$E$2311,2021,Data!$F$4:$F$2311,11)</f>
        <v>0</v>
      </c>
      <c r="M49" s="12" t="n">
        <f aca="false">SUMIFS(Data!$H$4:$H$2311,Data!$B$4:$B$2311,"UCO",Data!$C$4:$C$2311,"Belgium",Data!$E$4:$E$2311,2021,Data!$F$4:$F$2311,12)</f>
        <v>0.002072345264539</v>
      </c>
      <c r="N49" s="13" t="n">
        <f aca="false">SUM(B49:M49)</f>
        <v>0.0214950705630375</v>
      </c>
    </row>
    <row r="50" customFormat="false" ht="15" hidden="false" customHeight="false" outlineLevel="0" collapsed="false">
      <c r="A50" s="11" t="s">
        <v>70</v>
      </c>
      <c r="B50" s="12" t="n">
        <f aca="false">SUMIFS(Data!$H$4:$H$2311,Data!$B$4:$B$2311,"UCO",Data!$C$4:$C$2311,"Sweden",Data!$E$4:$E$2311,2021,Data!$F$4:$F$2311,1)</f>
        <v>0</v>
      </c>
      <c r="C50" s="12" t="n">
        <f aca="false">SUMIFS(Data!$H$4:$H$2311,Data!$B$4:$B$2311,"UCO",Data!$C$4:$C$2311,"Sweden",Data!$E$4:$E$2311,2021,Data!$F$4:$F$2311,2)</f>
        <v>0.0033907095924053</v>
      </c>
      <c r="D50" s="12" t="n">
        <f aca="false">SUMIFS(Data!$H$4:$H$2311,Data!$B$4:$B$2311,"UCO",Data!$C$4:$C$2311,"Sweden",Data!$E$4:$E$2311,2021,Data!$F$4:$F$2311,3)</f>
        <v>0</v>
      </c>
      <c r="E50" s="12" t="n">
        <f aca="false">SUMIFS(Data!$H$4:$H$2311,Data!$B$4:$B$2311,"UCO",Data!$C$4:$C$2311,"Sweden",Data!$E$4:$E$2311,2021,Data!$F$4:$F$2311,4)</f>
        <v>0.0161907485348664</v>
      </c>
      <c r="F50" s="12" t="n">
        <f aca="false">SUMIFS(Data!$H$4:$H$2311,Data!$B$4:$B$2311,"UCO",Data!$C$4:$C$2311,"Sweden",Data!$E$4:$E$2311,2021,Data!$F$4:$F$2311,5)</f>
        <v>0</v>
      </c>
      <c r="G50" s="12" t="n">
        <f aca="false">SUMIFS(Data!$H$4:$H$2311,Data!$B$4:$B$2311,"UCO",Data!$C$4:$C$2311,"Sweden",Data!$E$4:$E$2311,2021,Data!$F$4:$F$2311,6)</f>
        <v>0</v>
      </c>
      <c r="H50" s="12" t="n">
        <f aca="false">SUMIFS(Data!$H$4:$H$2311,Data!$B$4:$B$2311,"UCO",Data!$C$4:$C$2311,"Sweden",Data!$E$4:$E$2311,2021,Data!$F$4:$F$2311,7)</f>
        <v>0</v>
      </c>
      <c r="I50" s="12" t="n">
        <f aca="false">SUMIFS(Data!$H$4:$H$2311,Data!$B$4:$B$2311,"UCO",Data!$C$4:$C$2311,"Sweden",Data!$E$4:$E$2311,2021,Data!$F$4:$F$2311,8)</f>
        <v>0</v>
      </c>
      <c r="J50" s="12" t="n">
        <f aca="false">SUMIFS(Data!$H$4:$H$2311,Data!$B$4:$B$2311,"UCO",Data!$C$4:$C$2311,"Sweden",Data!$E$4:$E$2311,2021,Data!$F$4:$F$2311,9)</f>
        <v>0</v>
      </c>
      <c r="K50" s="12" t="n">
        <f aca="false">SUMIFS(Data!$H$4:$H$2311,Data!$B$4:$B$2311,"UCO",Data!$C$4:$C$2311,"Sweden",Data!$E$4:$E$2311,2021,Data!$F$4:$F$2311,10)</f>
        <v>0</v>
      </c>
      <c r="L50" s="12" t="n">
        <f aca="false">SUMIFS(Data!$H$4:$H$2311,Data!$B$4:$B$2311,"UCO",Data!$C$4:$C$2311,"Sweden",Data!$E$4:$E$2311,2021,Data!$F$4:$F$2311,11)</f>
        <v>0</v>
      </c>
      <c r="M50" s="12" t="n">
        <f aca="false">SUMIFS(Data!$H$4:$H$2311,Data!$B$4:$B$2311,"UCO",Data!$C$4:$C$2311,"Sweden",Data!$E$4:$E$2311,2021,Data!$F$4:$F$2311,12)</f>
        <v>0</v>
      </c>
      <c r="N50" s="13" t="n">
        <f aca="false">SUM(B50:M50)</f>
        <v>0.0195814581272717</v>
      </c>
    </row>
    <row r="51" customFormat="false" ht="15" hidden="false" customHeight="false" outlineLevel="0" collapsed="false">
      <c r="A51" s="11" t="s">
        <v>71</v>
      </c>
      <c r="B51" s="12" t="n">
        <f aca="false">SUMIFS(Data!$H$4:$H$2311,Data!$B$4:$B$2311,"UCO",Data!$C$4:$C$2311,"Ecuador",Data!$E$4:$E$2311,2021,Data!$F$4:$F$2311,1)</f>
        <v>0.00267861648554775</v>
      </c>
      <c r="C51" s="12" t="n">
        <f aca="false">SUMIFS(Data!$H$4:$H$2311,Data!$B$4:$B$2311,"UCO",Data!$C$4:$C$2311,"Ecuador",Data!$E$4:$E$2311,2021,Data!$F$4:$F$2311,2)</f>
        <v>0</v>
      </c>
      <c r="D51" s="12" t="n">
        <f aca="false">SUMIFS(Data!$H$4:$H$2311,Data!$B$4:$B$2311,"UCO",Data!$C$4:$C$2311,"Ecuador",Data!$E$4:$E$2311,2021,Data!$F$4:$F$2311,3)</f>
        <v>0</v>
      </c>
      <c r="E51" s="12" t="n">
        <f aca="false">SUMIFS(Data!$H$4:$H$2311,Data!$B$4:$B$2311,"UCO",Data!$C$4:$C$2311,"Ecuador",Data!$E$4:$E$2311,2021,Data!$F$4:$F$2311,4)</f>
        <v>0.00267861648554775</v>
      </c>
      <c r="F51" s="12" t="n">
        <f aca="false">SUMIFS(Data!$H$4:$H$2311,Data!$B$4:$B$2311,"UCO",Data!$C$4:$C$2311,"Ecuador",Data!$E$4:$E$2311,2021,Data!$F$4:$F$2311,5)</f>
        <v>0</v>
      </c>
      <c r="G51" s="12" t="n">
        <f aca="false">SUMIFS(Data!$H$4:$H$2311,Data!$B$4:$B$2311,"UCO",Data!$C$4:$C$2311,"Ecuador",Data!$E$4:$E$2311,2021,Data!$F$4:$F$2311,6)</f>
        <v>0</v>
      </c>
      <c r="H51" s="12" t="n">
        <f aca="false">SUMIFS(Data!$H$4:$H$2311,Data!$B$4:$B$2311,"UCO",Data!$C$4:$C$2311,"Ecuador",Data!$E$4:$E$2311,2021,Data!$F$4:$F$2311,7)</f>
        <v>0</v>
      </c>
      <c r="I51" s="12" t="n">
        <f aca="false">SUMIFS(Data!$H$4:$H$2311,Data!$B$4:$B$2311,"UCO",Data!$C$4:$C$2311,"Ecuador",Data!$E$4:$E$2311,2021,Data!$F$4:$F$2311,8)</f>
        <v>0.00267861648554775</v>
      </c>
      <c r="J51" s="12" t="n">
        <f aca="false">SUMIFS(Data!$H$4:$H$2311,Data!$B$4:$B$2311,"UCO",Data!$C$4:$C$2311,"Ecuador",Data!$E$4:$E$2311,2021,Data!$F$4:$F$2311,9)</f>
        <v>0</v>
      </c>
      <c r="K51" s="12" t="n">
        <f aca="false">SUMIFS(Data!$H$4:$H$2311,Data!$B$4:$B$2311,"UCO",Data!$C$4:$C$2311,"Ecuador",Data!$E$4:$E$2311,2021,Data!$F$4:$F$2311,10)</f>
        <v>0</v>
      </c>
      <c r="L51" s="12" t="n">
        <f aca="false">SUMIFS(Data!$H$4:$H$2311,Data!$B$4:$B$2311,"UCO",Data!$C$4:$C$2311,"Ecuador",Data!$E$4:$E$2311,2021,Data!$F$4:$F$2311,11)</f>
        <v>0.00267861648554775</v>
      </c>
      <c r="M51" s="12" t="n">
        <f aca="false">SUMIFS(Data!$H$4:$H$2311,Data!$B$4:$B$2311,"UCO",Data!$C$4:$C$2311,"Ecuador",Data!$E$4:$E$2311,2021,Data!$F$4:$F$2311,12)</f>
        <v>0</v>
      </c>
      <c r="N51" s="13" t="n">
        <f aca="false">SUM(B51:M51)</f>
        <v>0.010714465942191</v>
      </c>
    </row>
    <row r="52" customFormat="false" ht="15" hidden="false" customHeight="false" outlineLevel="0" collapsed="false">
      <c r="A52" s="11" t="s">
        <v>77</v>
      </c>
      <c r="B52" s="12" t="n">
        <f aca="false">SUMIFS(Data!$H$4:$H$2311,Data!$B$4:$B$2311,"UCO",Data!$C$4:$C$2311,"Portugal",Data!$E$4:$E$2311,2021,Data!$F$4:$F$2311,1)</f>
        <v>0</v>
      </c>
      <c r="C52" s="12" t="n">
        <f aca="false">SUMIFS(Data!$H$4:$H$2311,Data!$B$4:$B$2311,"UCO",Data!$C$4:$C$2311,"Portugal",Data!$E$4:$E$2311,2021,Data!$F$4:$F$2311,2)</f>
        <v>0</v>
      </c>
      <c r="D52" s="12" t="n">
        <f aca="false">SUMIFS(Data!$H$4:$H$2311,Data!$B$4:$B$2311,"UCO",Data!$C$4:$C$2311,"Portugal",Data!$E$4:$E$2311,2021,Data!$F$4:$F$2311,3)</f>
        <v>0</v>
      </c>
      <c r="E52" s="12" t="n">
        <f aca="false">SUMIFS(Data!$H$4:$H$2311,Data!$B$4:$B$2311,"UCO",Data!$C$4:$C$2311,"Portugal",Data!$E$4:$E$2311,2021,Data!$F$4:$F$2311,4)</f>
        <v>0</v>
      </c>
      <c r="F52" s="12" t="n">
        <f aca="false">SUMIFS(Data!$H$4:$H$2311,Data!$B$4:$B$2311,"UCO",Data!$C$4:$C$2311,"Portugal",Data!$E$4:$E$2311,2021,Data!$F$4:$F$2311,5)</f>
        <v>0.00505960891714575</v>
      </c>
      <c r="G52" s="12" t="n">
        <f aca="false">SUMIFS(Data!$H$4:$H$2311,Data!$B$4:$B$2311,"UCO",Data!$C$4:$C$2311,"Portugal",Data!$E$4:$E$2311,2021,Data!$F$4:$F$2311,6)</f>
        <v>0</v>
      </c>
      <c r="H52" s="12" t="n">
        <f aca="false">SUMIFS(Data!$H$4:$H$2311,Data!$B$4:$B$2311,"UCO",Data!$C$4:$C$2311,"Portugal",Data!$E$4:$E$2311,2021,Data!$F$4:$F$2311,7)</f>
        <v>0</v>
      </c>
      <c r="I52" s="12" t="n">
        <f aca="false">SUMIFS(Data!$H$4:$H$2311,Data!$B$4:$B$2311,"UCO",Data!$C$4:$C$2311,"Portugal",Data!$E$4:$E$2311,2021,Data!$F$4:$F$2311,8)</f>
        <v>0</v>
      </c>
      <c r="J52" s="12" t="n">
        <f aca="false">SUMIFS(Data!$H$4:$H$2311,Data!$B$4:$B$2311,"UCO",Data!$C$4:$C$2311,"Portugal",Data!$E$4:$E$2311,2021,Data!$F$4:$F$2311,9)</f>
        <v>0</v>
      </c>
      <c r="K52" s="12" t="n">
        <f aca="false">SUMIFS(Data!$H$4:$H$2311,Data!$B$4:$B$2311,"UCO",Data!$C$4:$C$2311,"Portugal",Data!$E$4:$E$2311,2021,Data!$F$4:$F$2311,10)</f>
        <v>0.0044092452437</v>
      </c>
      <c r="L52" s="12" t="n">
        <f aca="false">SUMIFS(Data!$H$4:$H$2311,Data!$B$4:$B$2311,"UCO",Data!$C$4:$C$2311,"Portugal",Data!$E$4:$E$2311,2021,Data!$F$4:$F$2311,11)</f>
        <v>0</v>
      </c>
      <c r="M52" s="12" t="n">
        <f aca="false">SUMIFS(Data!$H$4:$H$2311,Data!$B$4:$B$2311,"UCO",Data!$C$4:$C$2311,"Portugal",Data!$E$4:$E$2311,2021,Data!$F$4:$F$2311,12)</f>
        <v>0</v>
      </c>
      <c r="N52" s="13" t="n">
        <f aca="false">SUM(B52:M52)</f>
        <v>0.00946885416084575</v>
      </c>
    </row>
    <row r="53" customFormat="false" ht="15" hidden="false" customHeight="false" outlineLevel="0" collapsed="false">
      <c r="A53" s="11" t="s">
        <v>74</v>
      </c>
      <c r="B53" s="12" t="n">
        <f aca="false">SUMIFS(Data!$H$4:$H$2311,Data!$B$4:$B$2311,"UCO",Data!$C$4:$C$2311,"United Kingdom",Data!$E$4:$E$2311,2021,Data!$F$4:$F$2311,1)</f>
        <v>0</v>
      </c>
      <c r="C53" s="12" t="n">
        <f aca="false">SUMIFS(Data!$H$4:$H$2311,Data!$B$4:$B$2311,"UCO",Data!$C$4:$C$2311,"United Kingdom",Data!$E$4:$E$2311,2021,Data!$F$4:$F$2311,2)</f>
        <v>0.0004629707505885</v>
      </c>
      <c r="D53" s="12" t="n">
        <f aca="false">SUMIFS(Data!$H$4:$H$2311,Data!$B$4:$B$2311,"UCO",Data!$C$4:$C$2311,"United Kingdom",Data!$E$4:$E$2311,2021,Data!$F$4:$F$2311,3)</f>
        <v>0.00053131405186585</v>
      </c>
      <c r="E53" s="12" t="n">
        <f aca="false">SUMIFS(Data!$H$4:$H$2311,Data!$B$4:$B$2311,"UCO",Data!$C$4:$C$2311,"United Kingdom",Data!$E$4:$E$2311,2021,Data!$F$4:$F$2311,4)</f>
        <v>0</v>
      </c>
      <c r="F53" s="12" t="n">
        <f aca="false">SUMIFS(Data!$H$4:$H$2311,Data!$B$4:$B$2311,"UCO",Data!$C$4:$C$2311,"United Kingdom",Data!$E$4:$E$2311,2021,Data!$F$4:$F$2311,5)</f>
        <v>0.0008598028225215</v>
      </c>
      <c r="G53" s="12" t="n">
        <f aca="false">SUMIFS(Data!$H$4:$H$2311,Data!$B$4:$B$2311,"UCO",Data!$C$4:$C$2311,"United Kingdom",Data!$E$4:$E$2311,2021,Data!$F$4:$F$2311,6)</f>
        <v>0.0008686213130089</v>
      </c>
      <c r="H53" s="12" t="n">
        <f aca="false">SUMIFS(Data!$H$4:$H$2311,Data!$B$4:$B$2311,"UCO",Data!$C$4:$C$2311,"United Kingdom",Data!$E$4:$E$2311,2021,Data!$F$4:$F$2311,7)</f>
        <v>0.000132277357311</v>
      </c>
      <c r="I53" s="12" t="n">
        <f aca="false">SUMIFS(Data!$H$4:$H$2311,Data!$B$4:$B$2311,"UCO",Data!$C$4:$C$2311,"United Kingdom",Data!$E$4:$E$2311,2021,Data!$F$4:$F$2311,8)</f>
        <v>0.000396832071933</v>
      </c>
      <c r="J53" s="12" t="n">
        <f aca="false">SUMIFS(Data!$H$4:$H$2311,Data!$B$4:$B$2311,"UCO",Data!$C$4:$C$2311,"United Kingdom",Data!$E$4:$E$2311,2021,Data!$F$4:$F$2311,9)</f>
        <v>0.00176590272010185</v>
      </c>
      <c r="K53" s="12" t="n">
        <f aca="false">SUMIFS(Data!$H$4:$H$2311,Data!$B$4:$B$2311,"UCO",Data!$C$4:$C$2311,"United Kingdom",Data!$E$4:$E$2311,2021,Data!$F$4:$F$2311,10)</f>
        <v>0.0008421658415467</v>
      </c>
      <c r="L53" s="12" t="n">
        <f aca="false">SUMIFS(Data!$H$4:$H$2311,Data!$B$4:$B$2311,"UCO",Data!$C$4:$C$2311,"United Kingdom",Data!$E$4:$E$2311,2021,Data!$F$4:$F$2311,11)</f>
        <v>1.32277357311E-005</v>
      </c>
      <c r="M53" s="12" t="n">
        <f aca="false">SUMIFS(Data!$H$4:$H$2311,Data!$B$4:$B$2311,"UCO",Data!$C$4:$C$2311,"United Kingdom",Data!$E$4:$E$2311,2021,Data!$F$4:$F$2311,12)</f>
        <v>0</v>
      </c>
      <c r="N53" s="13" t="n">
        <f aca="false">SUM(B53:M53)</f>
        <v>0.0058731146646084</v>
      </c>
    </row>
    <row r="54" customFormat="false" ht="15" hidden="false" customHeight="false" outlineLevel="0" collapsed="false">
      <c r="A54" s="11" t="s">
        <v>94</v>
      </c>
      <c r="B54" s="12" t="n">
        <f aca="false">SUMIFS(Data!$H$4:$H$2311,Data!$B$4:$B$2311,"UCO",Data!$C$4:$C$2311,"Czech Republic",Data!$E$4:$E$2311,2021,Data!$F$4:$F$2311,1)</f>
        <v>0.0008730305582526</v>
      </c>
      <c r="C54" s="12" t="n">
        <f aca="false">SUMIFS(Data!$H$4:$H$2311,Data!$B$4:$B$2311,"UCO",Data!$C$4:$C$2311,"Czech Republic",Data!$E$4:$E$2311,2021,Data!$F$4:$F$2311,2)</f>
        <v>0</v>
      </c>
      <c r="D54" s="12" t="n">
        <f aca="false">SUMIFS(Data!$H$4:$H$2311,Data!$B$4:$B$2311,"UCO",Data!$C$4:$C$2311,"Czech Republic",Data!$E$4:$E$2311,2021,Data!$F$4:$F$2311,3)</f>
        <v>0</v>
      </c>
      <c r="E54" s="12" t="n">
        <f aca="false">SUMIFS(Data!$H$4:$H$2311,Data!$B$4:$B$2311,"UCO",Data!$C$4:$C$2311,"Czech Republic",Data!$E$4:$E$2311,2021,Data!$F$4:$F$2311,4)</f>
        <v>0</v>
      </c>
      <c r="F54" s="12" t="n">
        <f aca="false">SUMIFS(Data!$H$4:$H$2311,Data!$B$4:$B$2311,"UCO",Data!$C$4:$C$2311,"Czech Republic",Data!$E$4:$E$2311,2021,Data!$F$4:$F$2311,5)</f>
        <v>0</v>
      </c>
      <c r="G54" s="12" t="n">
        <f aca="false">SUMIFS(Data!$H$4:$H$2311,Data!$B$4:$B$2311,"UCO",Data!$C$4:$C$2311,"Czech Republic",Data!$E$4:$E$2311,2021,Data!$F$4:$F$2311,6)</f>
        <v>0</v>
      </c>
      <c r="H54" s="12" t="n">
        <f aca="false">SUMIFS(Data!$H$4:$H$2311,Data!$B$4:$B$2311,"UCO",Data!$C$4:$C$2311,"Czech Republic",Data!$E$4:$E$2311,2021,Data!$F$4:$F$2311,7)</f>
        <v>0</v>
      </c>
      <c r="I54" s="12" t="n">
        <f aca="false">SUMIFS(Data!$H$4:$H$2311,Data!$B$4:$B$2311,"UCO",Data!$C$4:$C$2311,"Czech Republic",Data!$E$4:$E$2311,2021,Data!$F$4:$F$2311,8)</f>
        <v>0</v>
      </c>
      <c r="J54" s="12" t="n">
        <f aca="false">SUMIFS(Data!$H$4:$H$2311,Data!$B$4:$B$2311,"UCO",Data!$C$4:$C$2311,"Czech Republic",Data!$E$4:$E$2311,2021,Data!$F$4:$F$2311,9)</f>
        <v>0</v>
      </c>
      <c r="K54" s="12" t="n">
        <f aca="false">SUMIFS(Data!$H$4:$H$2311,Data!$B$4:$B$2311,"UCO",Data!$C$4:$C$2311,"Czech Republic",Data!$E$4:$E$2311,2021,Data!$F$4:$F$2311,10)</f>
        <v>0</v>
      </c>
      <c r="L54" s="12" t="n">
        <f aca="false">SUMIFS(Data!$H$4:$H$2311,Data!$B$4:$B$2311,"UCO",Data!$C$4:$C$2311,"Czech Republic",Data!$E$4:$E$2311,2021,Data!$F$4:$F$2311,11)</f>
        <v>0</v>
      </c>
      <c r="M54" s="12" t="n">
        <f aca="false">SUMIFS(Data!$H$4:$H$2311,Data!$B$4:$B$2311,"UCO",Data!$C$4:$C$2311,"Czech Republic",Data!$E$4:$E$2311,2021,Data!$F$4:$F$2311,12)</f>
        <v>0</v>
      </c>
      <c r="N54" s="13" t="n">
        <f aca="false">SUM(B54:M54)</f>
        <v>0.0008730305582526</v>
      </c>
    </row>
    <row r="55" customFormat="false" ht="15" hidden="false" customHeight="false" outlineLevel="0" collapsed="false">
      <c r="A55" s="11" t="s">
        <v>76</v>
      </c>
      <c r="B55" s="12" t="n">
        <f aca="false">SUMIFS(Data!$H$4:$H$2311,Data!$B$4:$B$2311,"UCO",Data!$C$4:$C$2311,"Switzerland",Data!$E$4:$E$2311,2021,Data!$F$4:$F$2311,1)</f>
        <v>0</v>
      </c>
      <c r="C55" s="12" t="n">
        <f aca="false">SUMIFS(Data!$H$4:$H$2311,Data!$B$4:$B$2311,"UCO",Data!$C$4:$C$2311,"Switzerland",Data!$E$4:$E$2311,2021,Data!$F$4:$F$2311,2)</f>
        <v>0</v>
      </c>
      <c r="D55" s="12" t="n">
        <f aca="false">SUMIFS(Data!$H$4:$H$2311,Data!$B$4:$B$2311,"UCO",Data!$C$4:$C$2311,"Switzerland",Data!$E$4:$E$2311,2021,Data!$F$4:$F$2311,3)</f>
        <v>8.8184904874E-006</v>
      </c>
      <c r="E55" s="12" t="n">
        <f aca="false">SUMIFS(Data!$H$4:$H$2311,Data!$B$4:$B$2311,"UCO",Data!$C$4:$C$2311,"Switzerland",Data!$E$4:$E$2311,2021,Data!$F$4:$F$2311,4)</f>
        <v>0</v>
      </c>
      <c r="F55" s="12" t="n">
        <f aca="false">SUMIFS(Data!$H$4:$H$2311,Data!$B$4:$B$2311,"UCO",Data!$C$4:$C$2311,"Switzerland",Data!$E$4:$E$2311,2021,Data!$F$4:$F$2311,5)</f>
        <v>0</v>
      </c>
      <c r="G55" s="12" t="n">
        <f aca="false">SUMIFS(Data!$H$4:$H$2311,Data!$B$4:$B$2311,"UCO",Data!$C$4:$C$2311,"Switzerland",Data!$E$4:$E$2311,2021,Data!$F$4:$F$2311,6)</f>
        <v>0</v>
      </c>
      <c r="H55" s="12" t="n">
        <f aca="false">SUMIFS(Data!$H$4:$H$2311,Data!$B$4:$B$2311,"UCO",Data!$C$4:$C$2311,"Switzerland",Data!$E$4:$E$2311,2021,Data!$F$4:$F$2311,7)</f>
        <v>0</v>
      </c>
      <c r="I55" s="12" t="n">
        <f aca="false">SUMIFS(Data!$H$4:$H$2311,Data!$B$4:$B$2311,"UCO",Data!$C$4:$C$2311,"Switzerland",Data!$E$4:$E$2311,2021,Data!$F$4:$F$2311,8)</f>
        <v>0</v>
      </c>
      <c r="J55" s="12" t="n">
        <f aca="false">SUMIFS(Data!$H$4:$H$2311,Data!$B$4:$B$2311,"UCO",Data!$C$4:$C$2311,"Switzerland",Data!$E$4:$E$2311,2021,Data!$F$4:$F$2311,9)</f>
        <v>0</v>
      </c>
      <c r="K55" s="12" t="n">
        <f aca="false">SUMIFS(Data!$H$4:$H$2311,Data!$B$4:$B$2311,"UCO",Data!$C$4:$C$2311,"Switzerland",Data!$E$4:$E$2311,2021,Data!$F$4:$F$2311,10)</f>
        <v>0.0001234588668236</v>
      </c>
      <c r="L55" s="12" t="n">
        <f aca="false">SUMIFS(Data!$H$4:$H$2311,Data!$B$4:$B$2311,"UCO",Data!$C$4:$C$2311,"Switzerland",Data!$E$4:$E$2311,2021,Data!$F$4:$F$2311,11)</f>
        <v>0</v>
      </c>
      <c r="M55" s="12" t="n">
        <f aca="false">SUMIFS(Data!$H$4:$H$2311,Data!$B$4:$B$2311,"UCO",Data!$C$4:$C$2311,"Switzerland",Data!$E$4:$E$2311,2021,Data!$F$4:$F$2311,12)</f>
        <v>0</v>
      </c>
      <c r="N55" s="13" t="n">
        <f aca="false">SUM(B55:M55)</f>
        <v>0.000132277357311</v>
      </c>
    </row>
    <row r="56" customFormat="false" ht="15" hidden="false" customHeight="false" outlineLevel="0" collapsed="false">
      <c r="A56" s="11" t="s">
        <v>95</v>
      </c>
      <c r="B56" s="12" t="n">
        <f aca="false">SUMIFS(Data!$H$4:$H$2311,Data!$B$4:$B$2311,"UCO",Data!$C$4:$C$2311,"Morocco",Data!$E$4:$E$2311,2021,Data!$F$4:$F$2311,1)</f>
        <v>0</v>
      </c>
      <c r="C56" s="12" t="n">
        <f aca="false">SUMIFS(Data!$H$4:$H$2311,Data!$B$4:$B$2311,"UCO",Data!$C$4:$C$2311,"Morocco",Data!$E$4:$E$2311,2021,Data!$F$4:$F$2311,2)</f>
        <v>0</v>
      </c>
      <c r="D56" s="12" t="n">
        <f aca="false">SUMIFS(Data!$H$4:$H$2311,Data!$B$4:$B$2311,"UCO",Data!$C$4:$C$2311,"Morocco",Data!$E$4:$E$2311,2021,Data!$F$4:$F$2311,3)</f>
        <v>0</v>
      </c>
      <c r="E56" s="12" t="n">
        <f aca="false">SUMIFS(Data!$H$4:$H$2311,Data!$B$4:$B$2311,"UCO",Data!$C$4:$C$2311,"Morocco",Data!$E$4:$E$2311,2021,Data!$F$4:$F$2311,4)</f>
        <v>0</v>
      </c>
      <c r="F56" s="12" t="n">
        <f aca="false">SUMIFS(Data!$H$4:$H$2311,Data!$B$4:$B$2311,"UCO",Data!$C$4:$C$2311,"Morocco",Data!$E$4:$E$2311,2021,Data!$F$4:$F$2311,5)</f>
        <v>0</v>
      </c>
      <c r="G56" s="12" t="n">
        <f aca="false">SUMIFS(Data!$H$4:$H$2311,Data!$B$4:$B$2311,"UCO",Data!$C$4:$C$2311,"Morocco",Data!$E$4:$E$2311,2021,Data!$F$4:$F$2311,6)</f>
        <v>0</v>
      </c>
      <c r="H56" s="12" t="n">
        <f aca="false">SUMIFS(Data!$H$4:$H$2311,Data!$B$4:$B$2311,"UCO",Data!$C$4:$C$2311,"Morocco",Data!$E$4:$E$2311,2021,Data!$F$4:$F$2311,7)</f>
        <v>0</v>
      </c>
      <c r="I56" s="12" t="n">
        <f aca="false">SUMIFS(Data!$H$4:$H$2311,Data!$B$4:$B$2311,"UCO",Data!$C$4:$C$2311,"Morocco",Data!$E$4:$E$2311,2021,Data!$F$4:$F$2311,8)</f>
        <v>0</v>
      </c>
      <c r="J56" s="12" t="n">
        <f aca="false">SUMIFS(Data!$H$4:$H$2311,Data!$B$4:$B$2311,"UCO",Data!$C$4:$C$2311,"Morocco",Data!$E$4:$E$2311,2021,Data!$F$4:$F$2311,9)</f>
        <v>0</v>
      </c>
      <c r="K56" s="12" t="n">
        <f aca="false">SUMIFS(Data!$H$4:$H$2311,Data!$B$4:$B$2311,"UCO",Data!$C$4:$C$2311,"Morocco",Data!$E$4:$E$2311,2021,Data!$F$4:$F$2311,10)</f>
        <v>1.102311310925E-005</v>
      </c>
      <c r="L56" s="12" t="n">
        <f aca="false">SUMIFS(Data!$H$4:$H$2311,Data!$B$4:$B$2311,"UCO",Data!$C$4:$C$2311,"Morocco",Data!$E$4:$E$2311,2021,Data!$F$4:$F$2311,11)</f>
        <v>1.32277357311E-005</v>
      </c>
      <c r="M56" s="12" t="n">
        <f aca="false">SUMIFS(Data!$H$4:$H$2311,Data!$B$4:$B$2311,"UCO",Data!$C$4:$C$2311,"Morocco",Data!$E$4:$E$2311,2021,Data!$F$4:$F$2311,12)</f>
        <v>0</v>
      </c>
      <c r="N56" s="13" t="n">
        <f aca="false">SUM(B56:M56)</f>
        <v>2.425084884035E-005</v>
      </c>
    </row>
    <row r="57" customFormat="false" ht="15" hidden="false" customHeight="false" outlineLevel="0" collapsed="false">
      <c r="A57" s="11" t="s">
        <v>96</v>
      </c>
      <c r="B57" s="12" t="n">
        <f aca="false">SUMIFS(Data!$H$4:$H$2311,Data!$B$4:$B$2311,"UCO",Data!$C$4:$C$2311,"Greece",Data!$E$4:$E$2311,2021,Data!$F$4:$F$2311,1)</f>
        <v>0</v>
      </c>
      <c r="C57" s="12" t="n">
        <f aca="false">SUMIFS(Data!$H$4:$H$2311,Data!$B$4:$B$2311,"UCO",Data!$C$4:$C$2311,"Greece",Data!$E$4:$E$2311,2021,Data!$F$4:$F$2311,2)</f>
        <v>0</v>
      </c>
      <c r="D57" s="12" t="n">
        <f aca="false">SUMIFS(Data!$H$4:$H$2311,Data!$B$4:$B$2311,"UCO",Data!$C$4:$C$2311,"Greece",Data!$E$4:$E$2311,2021,Data!$F$4:$F$2311,3)</f>
        <v>0</v>
      </c>
      <c r="E57" s="12" t="n">
        <f aca="false">SUMIFS(Data!$H$4:$H$2311,Data!$B$4:$B$2311,"UCO",Data!$C$4:$C$2311,"Greece",Data!$E$4:$E$2311,2021,Data!$F$4:$F$2311,4)</f>
        <v>0</v>
      </c>
      <c r="F57" s="12" t="n">
        <f aca="false">SUMIFS(Data!$H$4:$H$2311,Data!$B$4:$B$2311,"UCO",Data!$C$4:$C$2311,"Greece",Data!$E$4:$E$2311,2021,Data!$F$4:$F$2311,5)</f>
        <v>2.20462262185E-005</v>
      </c>
      <c r="G57" s="12" t="n">
        <f aca="false">SUMIFS(Data!$H$4:$H$2311,Data!$B$4:$B$2311,"UCO",Data!$C$4:$C$2311,"Greece",Data!$E$4:$E$2311,2021,Data!$F$4:$F$2311,6)</f>
        <v>0</v>
      </c>
      <c r="H57" s="12" t="n">
        <f aca="false">SUMIFS(Data!$H$4:$H$2311,Data!$B$4:$B$2311,"UCO",Data!$C$4:$C$2311,"Greece",Data!$E$4:$E$2311,2021,Data!$F$4:$F$2311,7)</f>
        <v>0</v>
      </c>
      <c r="I57" s="12" t="n">
        <f aca="false">SUMIFS(Data!$H$4:$H$2311,Data!$B$4:$B$2311,"UCO",Data!$C$4:$C$2311,"Greece",Data!$E$4:$E$2311,2021,Data!$F$4:$F$2311,8)</f>
        <v>0</v>
      </c>
      <c r="J57" s="12" t="n">
        <f aca="false">SUMIFS(Data!$H$4:$H$2311,Data!$B$4:$B$2311,"UCO",Data!$C$4:$C$2311,"Greece",Data!$E$4:$E$2311,2021,Data!$F$4:$F$2311,9)</f>
        <v>0</v>
      </c>
      <c r="K57" s="12" t="n">
        <f aca="false">SUMIFS(Data!$H$4:$H$2311,Data!$B$4:$B$2311,"UCO",Data!$C$4:$C$2311,"Greece",Data!$E$4:$E$2311,2021,Data!$F$4:$F$2311,10)</f>
        <v>0</v>
      </c>
      <c r="L57" s="12" t="n">
        <f aca="false">SUMIFS(Data!$H$4:$H$2311,Data!$B$4:$B$2311,"UCO",Data!$C$4:$C$2311,"Greece",Data!$E$4:$E$2311,2021,Data!$F$4:$F$2311,11)</f>
        <v>0</v>
      </c>
      <c r="M57" s="12" t="n">
        <f aca="false">SUMIFS(Data!$H$4:$H$2311,Data!$B$4:$B$2311,"UCO",Data!$C$4:$C$2311,"Greece",Data!$E$4:$E$2311,2021,Data!$F$4:$F$2311,12)</f>
        <v>0</v>
      </c>
      <c r="N57" s="13" t="n">
        <f aca="false">SUM(B57:M57)</f>
        <v>2.20462262185E-005</v>
      </c>
    </row>
    <row r="59" customFormat="false" ht="15" hidden="false" customHeight="false" outlineLevel="0" collapsed="false">
      <c r="A59" s="8"/>
      <c r="B59" s="9" t="s">
        <v>97</v>
      </c>
      <c r="C59" s="9" t="s">
        <v>98</v>
      </c>
      <c r="D59" s="9" t="s">
        <v>99</v>
      </c>
      <c r="E59" s="9" t="s">
        <v>100</v>
      </c>
      <c r="F59" s="9" t="s">
        <v>101</v>
      </c>
      <c r="G59" s="9" t="s">
        <v>102</v>
      </c>
      <c r="H59" s="9" t="s">
        <v>103</v>
      </c>
      <c r="I59" s="9" t="s">
        <v>104</v>
      </c>
      <c r="J59" s="9" t="s">
        <v>105</v>
      </c>
      <c r="K59" s="9" t="s">
        <v>106</v>
      </c>
      <c r="L59" s="9" t="s">
        <v>107</v>
      </c>
      <c r="M59" s="9" t="s">
        <v>108</v>
      </c>
      <c r="N59" s="9" t="s">
        <v>33</v>
      </c>
    </row>
    <row r="60" customFormat="false" ht="15" hidden="false" customHeight="false" outlineLevel="0" collapsed="false">
      <c r="A60" s="10" t="s">
        <v>35</v>
      </c>
      <c r="B60" s="10" t="n">
        <f aca="false">SUM(B61:B89)</f>
        <v>53.6674856325593</v>
      </c>
      <c r="C60" s="10" t="n">
        <f aca="false">SUM(C61:C89)</f>
        <v>26.844549876372</v>
      </c>
      <c r="D60" s="10" t="n">
        <f aca="false">SUM(D61:D89)</f>
        <v>48.0997707258879</v>
      </c>
      <c r="E60" s="10" t="n">
        <f aca="false">SUM(E61:E89)</f>
        <v>44.9640962876235</v>
      </c>
      <c r="F60" s="10" t="n">
        <f aca="false">SUM(F61:F89)</f>
        <v>62.5826113433428</v>
      </c>
      <c r="G60" s="10" t="n">
        <f aca="false">SUM(G61:G89)</f>
        <v>80.1141694689886</v>
      </c>
      <c r="H60" s="10" t="n">
        <f aca="false">SUM(H61:H89)</f>
        <v>51.0147977136671</v>
      </c>
      <c r="I60" s="10" t="n">
        <f aca="false">SUM(I61:I89)</f>
        <v>108.406239284905</v>
      </c>
      <c r="J60" s="10" t="n">
        <f aca="false">SUM(J61:J89)</f>
        <v>38.3431383557216</v>
      </c>
      <c r="K60" s="10" t="n">
        <f aca="false">SUM(K61:K89)</f>
        <v>138.19785592962</v>
      </c>
      <c r="L60" s="10" t="n">
        <f aca="false">SUM(L61:L89)</f>
        <v>102.395911112936</v>
      </c>
      <c r="M60" s="10" t="n">
        <f aca="false">SUM(M61:M89)</f>
        <v>116.118201018305</v>
      </c>
      <c r="N60" s="10" t="n">
        <f aca="false">SUM(B60:M60)</f>
        <v>870.748826749928</v>
      </c>
    </row>
    <row r="61" customFormat="false" ht="15" hidden="false" customHeight="false" outlineLevel="0" collapsed="false">
      <c r="A61" s="11" t="s">
        <v>43</v>
      </c>
      <c r="B61" s="12" t="n">
        <f aca="false">SUMIFS(Data!$H$4:$H$2311,Data!$B$4:$B$2311,"UCO",Data!$C$4:$C$2311,"Canada",Data!$E$4:$E$2311,2022,Data!$F$4:$F$2311,1)</f>
        <v>34.238946744207</v>
      </c>
      <c r="C61" s="12" t="n">
        <f aca="false">SUMIFS(Data!$H$4:$H$2311,Data!$B$4:$B$2311,"UCO",Data!$C$4:$C$2311,"Canada",Data!$E$4:$E$2311,2022,Data!$F$4:$F$2311,2)</f>
        <v>26.2094774654314</v>
      </c>
      <c r="D61" s="12" t="n">
        <f aca="false">SUMIFS(Data!$H$4:$H$2311,Data!$B$4:$B$2311,"UCO",Data!$C$4:$C$2311,"Canada",Data!$E$4:$E$2311,2022,Data!$F$4:$F$2311,3)</f>
        <v>42.0744841894289</v>
      </c>
      <c r="E61" s="12" t="n">
        <f aca="false">SUMIFS(Data!$H$4:$H$2311,Data!$B$4:$B$2311,"UCO",Data!$C$4:$C$2311,"Canada",Data!$E$4:$E$2311,2022,Data!$F$4:$F$2311,4)</f>
        <v>30.5414396631224</v>
      </c>
      <c r="F61" s="12" t="n">
        <f aca="false">SUMIFS(Data!$H$4:$H$2311,Data!$B$4:$B$2311,"UCO",Data!$C$4:$C$2311,"Canada",Data!$E$4:$E$2311,2022,Data!$F$4:$F$2311,5)</f>
        <v>54.7963317813609</v>
      </c>
      <c r="G61" s="12" t="n">
        <f aca="false">SUMIFS(Data!$H$4:$H$2311,Data!$B$4:$B$2311,"UCO",Data!$C$4:$C$2311,"Canada",Data!$E$4:$E$2311,2022,Data!$F$4:$F$2311,6)</f>
        <v>56.8530065883038</v>
      </c>
      <c r="H61" s="12" t="n">
        <f aca="false">SUMIFS(Data!$H$4:$H$2311,Data!$B$4:$B$2311,"UCO",Data!$C$4:$C$2311,"Canada",Data!$E$4:$E$2311,2022,Data!$F$4:$F$2311,7)</f>
        <v>46.8679576775328</v>
      </c>
      <c r="I61" s="12" t="n">
        <f aca="false">SUMIFS(Data!$H$4:$H$2311,Data!$B$4:$B$2311,"UCO",Data!$C$4:$C$2311,"Canada",Data!$E$4:$E$2311,2022,Data!$F$4:$F$2311,8)</f>
        <v>45.2860505568279</v>
      </c>
      <c r="J61" s="12" t="n">
        <f aca="false">SUMIFS(Data!$H$4:$H$2311,Data!$B$4:$B$2311,"UCO",Data!$C$4:$C$2311,"Canada",Data!$E$4:$E$2311,2022,Data!$F$4:$F$2311,9)</f>
        <v>33.4010799167729</v>
      </c>
      <c r="K61" s="12" t="n">
        <f aca="false">SUMIFS(Data!$H$4:$H$2311,Data!$B$4:$B$2311,"UCO",Data!$C$4:$C$2311,"Canada",Data!$E$4:$E$2311,2022,Data!$F$4:$F$2311,10)</f>
        <v>39.9551099151206</v>
      </c>
      <c r="L61" s="12" t="n">
        <f aca="false">SUMIFS(Data!$H$4:$H$2311,Data!$B$4:$B$2311,"UCO",Data!$C$4:$C$2311,"Canada",Data!$E$4:$E$2311,2022,Data!$F$4:$F$2311,11)</f>
        <v>54.9459551094606</v>
      </c>
      <c r="M61" s="12" t="n">
        <f aca="false">SUMIFS(Data!$H$4:$H$2311,Data!$B$4:$B$2311,"UCO",Data!$C$4:$C$2311,"Canada",Data!$E$4:$E$2311,2022,Data!$F$4:$F$2311,12)</f>
        <v>46.6089233379559</v>
      </c>
      <c r="N61" s="13" t="n">
        <f aca="false">SUM(B61:M61)</f>
        <v>511.778762945525</v>
      </c>
    </row>
    <row r="62" customFormat="false" ht="15" hidden="false" customHeight="false" outlineLevel="0" collapsed="false">
      <c r="A62" s="11" t="s">
        <v>109</v>
      </c>
      <c r="B62" s="12" t="n">
        <f aca="false">SUMIFS(Data!$H$4:$H$2311,Data!$B$4:$B$2311,"UCO",Data!$C$4:$C$2311,"Australia",Data!$E$4:$E$2311,2022,Data!$F$4:$F$2311,1)</f>
        <v>8.81039511313257</v>
      </c>
      <c r="C62" s="12" t="n">
        <f aca="false">SUMIFS(Data!$H$4:$H$2311,Data!$B$4:$B$2311,"UCO",Data!$C$4:$C$2311,"Australia",Data!$E$4:$E$2311,2022,Data!$F$4:$F$2311,2)</f>
        <v>0</v>
      </c>
      <c r="D62" s="12" t="n">
        <f aca="false">SUMIFS(Data!$H$4:$H$2311,Data!$B$4:$B$2311,"UCO",Data!$C$4:$C$2311,"Australia",Data!$E$4:$E$2311,2022,Data!$F$4:$F$2311,3)</f>
        <v>0</v>
      </c>
      <c r="E62" s="12" t="n">
        <f aca="false">SUMIFS(Data!$H$4:$H$2311,Data!$B$4:$B$2311,"UCO",Data!$C$4:$C$2311,"Australia",Data!$E$4:$E$2311,2022,Data!$F$4:$F$2311,4)</f>
        <v>9.01446159687887</v>
      </c>
      <c r="F62" s="12" t="n">
        <f aca="false">SUMIFS(Data!$H$4:$H$2311,Data!$B$4:$B$2311,"UCO",Data!$C$4:$C$2311,"Australia",Data!$E$4:$E$2311,2022,Data!$F$4:$F$2311,5)</f>
        <v>0</v>
      </c>
      <c r="G62" s="12" t="n">
        <f aca="false">SUMIFS(Data!$H$4:$H$2311,Data!$B$4:$B$2311,"UCO",Data!$C$4:$C$2311,"Australia",Data!$E$4:$E$2311,2022,Data!$F$4:$F$2311,6)</f>
        <v>21.2403440560637</v>
      </c>
      <c r="H62" s="12" t="n">
        <f aca="false">SUMIFS(Data!$H$4:$H$2311,Data!$B$4:$B$2311,"UCO",Data!$C$4:$C$2311,"Australia",Data!$E$4:$E$2311,2022,Data!$F$4:$F$2311,7)</f>
        <v>0</v>
      </c>
      <c r="I62" s="12" t="n">
        <f aca="false">SUMIFS(Data!$H$4:$H$2311,Data!$B$4:$B$2311,"UCO",Data!$C$4:$C$2311,"Australia",Data!$E$4:$E$2311,2022,Data!$F$4:$F$2311,8)</f>
        <v>56.4874470882617</v>
      </c>
      <c r="J62" s="12" t="n">
        <f aca="false">SUMIFS(Data!$H$4:$H$2311,Data!$B$4:$B$2311,"UCO",Data!$C$4:$C$2311,"Australia",Data!$E$4:$E$2311,2022,Data!$F$4:$F$2311,9)</f>
        <v>2.52558040162941</v>
      </c>
      <c r="K62" s="12" t="n">
        <f aca="false">SUMIFS(Data!$H$4:$H$2311,Data!$B$4:$B$2311,"UCO",Data!$C$4:$C$2311,"Australia",Data!$E$4:$E$2311,2022,Data!$F$4:$F$2311,10)</f>
        <v>56.6784159090116</v>
      </c>
      <c r="L62" s="12" t="n">
        <f aca="false">SUMIFS(Data!$H$4:$H$2311,Data!$B$4:$B$2311,"UCO",Data!$C$4:$C$2311,"Australia",Data!$E$4:$E$2311,2022,Data!$F$4:$F$2311,11)</f>
        <v>23.7503598219829</v>
      </c>
      <c r="M62" s="12" t="n">
        <f aca="false">SUMIFS(Data!$H$4:$H$2311,Data!$B$4:$B$2311,"UCO",Data!$C$4:$C$2311,"Australia",Data!$E$4:$E$2311,2022,Data!$F$4:$F$2311,12)</f>
        <v>34.775157262916</v>
      </c>
      <c r="N62" s="13" t="n">
        <f aca="false">SUM(B62:M62)</f>
        <v>213.282161249877</v>
      </c>
    </row>
    <row r="63" customFormat="false" ht="15" hidden="false" customHeight="false" outlineLevel="0" collapsed="false">
      <c r="A63" s="11" t="s">
        <v>78</v>
      </c>
      <c r="B63" s="12" t="n">
        <f aca="false">SUMIFS(Data!$H$4:$H$2311,Data!$B$4:$B$2311,"UCO",Data!$C$4:$C$2311,"New Zealand",Data!$E$4:$E$2311,2022,Data!$F$4:$F$2311,1)</f>
        <v>8.44626420854947</v>
      </c>
      <c r="C63" s="12" t="n">
        <f aca="false">SUMIFS(Data!$H$4:$H$2311,Data!$B$4:$B$2311,"UCO",Data!$C$4:$C$2311,"New Zealand",Data!$E$4:$E$2311,2022,Data!$F$4:$F$2311,2)</f>
        <v>0</v>
      </c>
      <c r="D63" s="12" t="n">
        <f aca="false">SUMIFS(Data!$H$4:$H$2311,Data!$B$4:$B$2311,"UCO",Data!$C$4:$C$2311,"New Zealand",Data!$E$4:$E$2311,2022,Data!$F$4:$F$2311,3)</f>
        <v>0</v>
      </c>
      <c r="E63" s="12" t="n">
        <f aca="false">SUMIFS(Data!$H$4:$H$2311,Data!$B$4:$B$2311,"UCO",Data!$C$4:$C$2311,"New Zealand",Data!$E$4:$E$2311,2022,Data!$F$4:$F$2311,4)</f>
        <v>0</v>
      </c>
      <c r="F63" s="12" t="n">
        <f aca="false">SUMIFS(Data!$H$4:$H$2311,Data!$B$4:$B$2311,"UCO",Data!$C$4:$C$2311,"New Zealand",Data!$E$4:$E$2311,2022,Data!$F$4:$F$2311,5)</f>
        <v>0</v>
      </c>
      <c r="G63" s="12" t="n">
        <f aca="false">SUMIFS(Data!$H$4:$H$2311,Data!$B$4:$B$2311,"UCO",Data!$C$4:$C$2311,"New Zealand",Data!$E$4:$E$2311,2022,Data!$F$4:$F$2311,6)</f>
        <v>0</v>
      </c>
      <c r="H63" s="12" t="n">
        <f aca="false">SUMIFS(Data!$H$4:$H$2311,Data!$B$4:$B$2311,"UCO",Data!$C$4:$C$2311,"New Zealand",Data!$E$4:$E$2311,2022,Data!$F$4:$F$2311,7)</f>
        <v>0</v>
      </c>
      <c r="I63" s="12" t="n">
        <f aca="false">SUMIFS(Data!$H$4:$H$2311,Data!$B$4:$B$2311,"UCO",Data!$C$4:$C$2311,"New Zealand",Data!$E$4:$E$2311,2022,Data!$F$4:$F$2311,8)</f>
        <v>0</v>
      </c>
      <c r="J63" s="12" t="n">
        <f aca="false">SUMIFS(Data!$H$4:$H$2311,Data!$B$4:$B$2311,"UCO",Data!$C$4:$C$2311,"New Zealand",Data!$E$4:$E$2311,2022,Data!$F$4:$F$2311,9)</f>
        <v>0</v>
      </c>
      <c r="K63" s="12" t="n">
        <f aca="false">SUMIFS(Data!$H$4:$H$2311,Data!$B$4:$B$2311,"UCO",Data!$C$4:$C$2311,"New Zealand",Data!$E$4:$E$2311,2022,Data!$F$4:$F$2311,10)</f>
        <v>37.5137020051935</v>
      </c>
      <c r="L63" s="12" t="n">
        <f aca="false">SUMIFS(Data!$H$4:$H$2311,Data!$B$4:$B$2311,"UCO",Data!$C$4:$C$2311,"New Zealand",Data!$E$4:$E$2311,2022,Data!$F$4:$F$2311,11)</f>
        <v>10.6468700079825</v>
      </c>
      <c r="M63" s="12" t="n">
        <f aca="false">SUMIFS(Data!$H$4:$H$2311,Data!$B$4:$B$2311,"UCO",Data!$C$4:$C$2311,"New Zealand",Data!$E$4:$E$2311,2022,Data!$F$4:$F$2311,12)</f>
        <v>20.1125164429134</v>
      </c>
      <c r="N63" s="13" t="n">
        <f aca="false">SUM(B63:M63)</f>
        <v>76.7193526646388</v>
      </c>
    </row>
    <row r="64" customFormat="false" ht="15" hidden="false" customHeight="false" outlineLevel="0" collapsed="false">
      <c r="A64" s="11" t="s">
        <v>47</v>
      </c>
      <c r="B64" s="12" t="n">
        <f aca="false">SUMIFS(Data!$H$4:$H$2311,Data!$B$4:$B$2311,"UCO",Data!$C$4:$C$2311,"Mexico",Data!$E$4:$E$2311,2022,Data!$F$4:$F$2311,1)</f>
        <v>1.0049551759441</v>
      </c>
      <c r="C64" s="12" t="n">
        <f aca="false">SUMIFS(Data!$H$4:$H$2311,Data!$B$4:$B$2311,"UCO",Data!$C$4:$C$2311,"Mexico",Data!$E$4:$E$2311,2022,Data!$F$4:$F$2311,2)</f>
        <v>0</v>
      </c>
      <c r="D64" s="12" t="n">
        <f aca="false">SUMIFS(Data!$H$4:$H$2311,Data!$B$4:$B$2311,"UCO",Data!$C$4:$C$2311,"Mexico",Data!$E$4:$E$2311,2022,Data!$F$4:$F$2311,3)</f>
        <v>0.892387144872443</v>
      </c>
      <c r="E64" s="12" t="n">
        <f aca="false">SUMIFS(Data!$H$4:$H$2311,Data!$B$4:$B$2311,"UCO",Data!$C$4:$C$2311,"Mexico",Data!$E$4:$E$2311,2022,Data!$F$4:$F$2311,4)</f>
        <v>0.900125370275137</v>
      </c>
      <c r="F64" s="12" t="n">
        <f aca="false">SUMIFS(Data!$H$4:$H$2311,Data!$B$4:$B$2311,"UCO",Data!$C$4:$C$2311,"Mexico",Data!$E$4:$E$2311,2022,Data!$F$4:$F$2311,5)</f>
        <v>1.56347868020883</v>
      </c>
      <c r="G64" s="12" t="n">
        <f aca="false">SUMIFS(Data!$H$4:$H$2311,Data!$B$4:$B$2311,"UCO",Data!$C$4:$C$2311,"Mexico",Data!$E$4:$E$2311,2022,Data!$F$4:$F$2311,6)</f>
        <v>1.59837344706747</v>
      </c>
      <c r="H64" s="12" t="n">
        <f aca="false">SUMIFS(Data!$H$4:$H$2311,Data!$B$4:$B$2311,"UCO",Data!$C$4:$C$2311,"Mexico",Data!$E$4:$E$2311,2022,Data!$F$4:$F$2311,7)</f>
        <v>1.82653204682535</v>
      </c>
      <c r="I64" s="12" t="n">
        <f aca="false">SUMIFS(Data!$H$4:$H$2311,Data!$B$4:$B$2311,"UCO",Data!$C$4:$C$2311,"Mexico",Data!$E$4:$E$2311,2022,Data!$F$4:$F$2311,8)</f>
        <v>1.35515947942498</v>
      </c>
      <c r="J64" s="12" t="n">
        <f aca="false">SUMIFS(Data!$H$4:$H$2311,Data!$B$4:$B$2311,"UCO",Data!$C$4:$C$2311,"Mexico",Data!$E$4:$E$2311,2022,Data!$F$4:$F$2311,9)</f>
        <v>2.00208614620326</v>
      </c>
      <c r="K64" s="12" t="n">
        <f aca="false">SUMIFS(Data!$H$4:$H$2311,Data!$B$4:$B$2311,"UCO",Data!$C$4:$C$2311,"Mexico",Data!$E$4:$E$2311,2022,Data!$F$4:$F$2311,10)</f>
        <v>3.20071521485427</v>
      </c>
      <c r="L64" s="12" t="n">
        <f aca="false">SUMIFS(Data!$H$4:$H$2311,Data!$B$4:$B$2311,"UCO",Data!$C$4:$C$2311,"Mexico",Data!$E$4:$E$2311,2022,Data!$F$4:$F$2311,11)</f>
        <v>2.87843245687913</v>
      </c>
      <c r="M64" s="12" t="n">
        <f aca="false">SUMIFS(Data!$H$4:$H$2311,Data!$B$4:$B$2311,"UCO",Data!$C$4:$C$2311,"Mexico",Data!$E$4:$E$2311,2022,Data!$F$4:$F$2311,12)</f>
        <v>5.34048004379206</v>
      </c>
      <c r="N64" s="13" t="n">
        <f aca="false">SUM(B64:M64)</f>
        <v>22.562725206347</v>
      </c>
    </row>
    <row r="65" customFormat="false" ht="15" hidden="false" customHeight="false" outlineLevel="0" collapsed="false">
      <c r="A65" s="11" t="s">
        <v>92</v>
      </c>
      <c r="B65" s="12" t="n">
        <f aca="false">SUMIFS(Data!$H$4:$H$2311,Data!$B$4:$B$2311,"UCO",Data!$C$4:$C$2311,"Colombia",Data!$E$4:$E$2311,2022,Data!$F$4:$F$2311,1)</f>
        <v>0</v>
      </c>
      <c r="C65" s="12" t="n">
        <f aca="false">SUMIFS(Data!$H$4:$H$2311,Data!$B$4:$B$2311,"UCO",Data!$C$4:$C$2311,"Colombia",Data!$E$4:$E$2311,2022,Data!$F$4:$F$2311,2)</f>
        <v>0</v>
      </c>
      <c r="D65" s="12" t="n">
        <f aca="false">SUMIFS(Data!$H$4:$H$2311,Data!$B$4:$B$2311,"UCO",Data!$C$4:$C$2311,"Colombia",Data!$E$4:$E$2311,2022,Data!$F$4:$F$2311,3)</f>
        <v>4.58449951440134</v>
      </c>
      <c r="E65" s="12" t="n">
        <f aca="false">SUMIFS(Data!$H$4:$H$2311,Data!$B$4:$B$2311,"UCO",Data!$C$4:$C$2311,"Colombia",Data!$E$4:$E$2311,2022,Data!$F$4:$F$2311,4)</f>
        <v>1.35623533526444</v>
      </c>
      <c r="F65" s="12" t="n">
        <f aca="false">SUMIFS(Data!$H$4:$H$2311,Data!$B$4:$B$2311,"UCO",Data!$C$4:$C$2311,"Colombia",Data!$E$4:$E$2311,2022,Data!$F$4:$F$2311,5)</f>
        <v>4.45951725334605</v>
      </c>
      <c r="G65" s="12" t="n">
        <f aca="false">SUMIFS(Data!$H$4:$H$2311,Data!$B$4:$B$2311,"UCO",Data!$C$4:$C$2311,"Colombia",Data!$E$4:$E$2311,2022,Data!$F$4:$F$2311,6)</f>
        <v>0</v>
      </c>
      <c r="H65" s="12" t="n">
        <f aca="false">SUMIFS(Data!$H$4:$H$2311,Data!$B$4:$B$2311,"UCO",Data!$C$4:$C$2311,"Colombia",Data!$E$4:$E$2311,2022,Data!$F$4:$F$2311,7)</f>
        <v>0.133831616259404</v>
      </c>
      <c r="I65" s="12" t="n">
        <f aca="false">SUMIFS(Data!$H$4:$H$2311,Data!$B$4:$B$2311,"UCO",Data!$C$4:$C$2311,"Colombia",Data!$E$4:$E$2311,2022,Data!$F$4:$F$2311,8)</f>
        <v>0.716288503706931</v>
      </c>
      <c r="J65" s="12" t="n">
        <f aca="false">SUMIFS(Data!$H$4:$H$2311,Data!$B$4:$B$2311,"UCO",Data!$C$4:$C$2311,"Colombia",Data!$E$4:$E$2311,2022,Data!$F$4:$F$2311,9)</f>
        <v>0.125487119635702</v>
      </c>
      <c r="K65" s="12" t="n">
        <f aca="false">SUMIFS(Data!$H$4:$H$2311,Data!$B$4:$B$2311,"UCO",Data!$C$4:$C$2311,"Colombia",Data!$E$4:$E$2311,2022,Data!$F$4:$F$2311,10)</f>
        <v>0.0708301155947968</v>
      </c>
      <c r="L65" s="12" t="n">
        <f aca="false">SUMIFS(Data!$H$4:$H$2311,Data!$B$4:$B$2311,"UCO",Data!$C$4:$C$2311,"Colombia",Data!$E$4:$E$2311,2022,Data!$F$4:$F$2311,11)</f>
        <v>9.6796249019851</v>
      </c>
      <c r="M65" s="12" t="n">
        <f aca="false">SUMIFS(Data!$H$4:$H$2311,Data!$B$4:$B$2311,"UCO",Data!$C$4:$C$2311,"Colombia",Data!$E$4:$E$2311,2022,Data!$F$4:$F$2311,12)</f>
        <v>1.42502176568878</v>
      </c>
      <c r="N65" s="13" t="n">
        <f aca="false">SUM(B65:M65)</f>
        <v>22.5513361258825</v>
      </c>
    </row>
    <row r="66" customFormat="false" ht="15" hidden="false" customHeight="false" outlineLevel="0" collapsed="false">
      <c r="A66" s="11" t="s">
        <v>49</v>
      </c>
      <c r="B66" s="12" t="n">
        <f aca="false">SUMIFS(Data!$H$4:$H$2311,Data!$B$4:$B$2311,"UCO",Data!$C$4:$C$2311,"Brazil",Data!$E$4:$E$2311,2022,Data!$F$4:$F$2311,1)</f>
        <v>0.61082376672287</v>
      </c>
      <c r="C66" s="12" t="n">
        <f aca="false">SUMIFS(Data!$H$4:$H$2311,Data!$B$4:$B$2311,"UCO",Data!$C$4:$C$2311,"Brazil",Data!$E$4:$E$2311,2022,Data!$F$4:$F$2311,2)</f>
        <v>0.352739619496</v>
      </c>
      <c r="D66" s="12" t="n">
        <f aca="false">SUMIFS(Data!$H$4:$H$2311,Data!$B$4:$B$2311,"UCO",Data!$C$4:$C$2311,"Brazil",Data!$E$4:$E$2311,2022,Data!$F$4:$F$2311,3)</f>
        <v>0.22222596028248</v>
      </c>
      <c r="E66" s="12" t="n">
        <f aca="false">SUMIFS(Data!$H$4:$H$2311,Data!$B$4:$B$2311,"UCO",Data!$C$4:$C$2311,"Brazil",Data!$E$4:$E$2311,2022,Data!$F$4:$F$2311,4)</f>
        <v>2.7891253990906</v>
      </c>
      <c r="F66" s="12" t="n">
        <f aca="false">SUMIFS(Data!$H$4:$H$2311,Data!$B$4:$B$2311,"UCO",Data!$C$4:$C$2311,"Brazil",Data!$E$4:$E$2311,2022,Data!$F$4:$F$2311,5)</f>
        <v>1.2374039713241</v>
      </c>
      <c r="G66" s="12" t="n">
        <f aca="false">SUMIFS(Data!$H$4:$H$2311,Data!$B$4:$B$2311,"UCO",Data!$C$4:$C$2311,"Brazil",Data!$E$4:$E$2311,2022,Data!$F$4:$F$2311,6)</f>
        <v>0.176369809748</v>
      </c>
      <c r="H66" s="12" t="n">
        <f aca="false">SUMIFS(Data!$H$4:$H$2311,Data!$B$4:$B$2311,"UCO",Data!$C$4:$C$2311,"Brazil",Data!$E$4:$E$2311,2022,Data!$F$4:$F$2311,7)</f>
        <v>1.82732350634659</v>
      </c>
      <c r="I66" s="12" t="n">
        <f aca="false">SUMIFS(Data!$H$4:$H$2311,Data!$B$4:$B$2311,"UCO",Data!$C$4:$C$2311,"Brazil",Data!$E$4:$E$2311,2022,Data!$F$4:$F$2311,8)</f>
        <v>0.0531887253747531</v>
      </c>
      <c r="J66" s="12" t="n">
        <f aca="false">SUMIFS(Data!$H$4:$H$2311,Data!$B$4:$B$2311,"UCO",Data!$C$4:$C$2311,"Brazil",Data!$E$4:$E$2311,2022,Data!$F$4:$F$2311,9)</f>
        <v>0.044092452437</v>
      </c>
      <c r="K66" s="12" t="n">
        <f aca="false">SUMIFS(Data!$H$4:$H$2311,Data!$B$4:$B$2311,"UCO",Data!$C$4:$C$2311,"Brazil",Data!$E$4:$E$2311,2022,Data!$F$4:$F$2311,10)</f>
        <v>0.264554714622</v>
      </c>
      <c r="L66" s="12" t="n">
        <f aca="false">SUMIFS(Data!$H$4:$H$2311,Data!$B$4:$B$2311,"UCO",Data!$C$4:$C$2311,"Brazil",Data!$E$4:$E$2311,2022,Data!$F$4:$F$2311,11)</f>
        <v>0.123679329085785</v>
      </c>
      <c r="M66" s="12" t="n">
        <f aca="false">SUMIFS(Data!$H$4:$H$2311,Data!$B$4:$B$2311,"UCO",Data!$C$4:$C$2311,"Brazil",Data!$E$4:$E$2311,2022,Data!$F$4:$F$2311,12)</f>
        <v>0</v>
      </c>
      <c r="N66" s="13" t="n">
        <f aca="false">SUM(B66:M66)</f>
        <v>7.70152725453019</v>
      </c>
    </row>
    <row r="67" customFormat="false" ht="15" hidden="false" customHeight="false" outlineLevel="0" collapsed="false">
      <c r="A67" s="11" t="s">
        <v>45</v>
      </c>
      <c r="B67" s="12" t="n">
        <f aca="false">SUMIFS(Data!$H$4:$H$2311,Data!$B$4:$B$2311,"UCO",Data!$C$4:$C$2311,"Chile",Data!$E$4:$E$2311,2022,Data!$F$4:$F$2311,1)</f>
        <v>0.326747118784389</v>
      </c>
      <c r="C67" s="12" t="n">
        <f aca="false">SUMIFS(Data!$H$4:$H$2311,Data!$B$4:$B$2311,"UCO",Data!$C$4:$C$2311,"Chile",Data!$E$4:$E$2311,2022,Data!$F$4:$F$2311,2)</f>
        <v>0</v>
      </c>
      <c r="D67" s="12" t="n">
        <f aca="false">SUMIFS(Data!$H$4:$H$2311,Data!$B$4:$B$2311,"UCO",Data!$C$4:$C$2311,"Chile",Data!$E$4:$E$2311,2022,Data!$F$4:$F$2311,3)</f>
        <v>0</v>
      </c>
      <c r="E67" s="12" t="n">
        <f aca="false">SUMIFS(Data!$H$4:$H$2311,Data!$B$4:$B$2311,"UCO",Data!$C$4:$C$2311,"Chile",Data!$E$4:$E$2311,2022,Data!$F$4:$F$2311,4)</f>
        <v>0</v>
      </c>
      <c r="F67" s="12" t="n">
        <f aca="false">SUMIFS(Data!$H$4:$H$2311,Data!$B$4:$B$2311,"UCO",Data!$C$4:$C$2311,"Chile",Data!$E$4:$E$2311,2022,Data!$F$4:$F$2311,5)</f>
        <v>0</v>
      </c>
      <c r="G67" s="12" t="n">
        <f aca="false">SUMIFS(Data!$H$4:$H$2311,Data!$B$4:$B$2311,"UCO",Data!$C$4:$C$2311,"Chile",Data!$E$4:$E$2311,2022,Data!$F$4:$F$2311,6)</f>
        <v>0</v>
      </c>
      <c r="H67" s="12" t="n">
        <f aca="false">SUMIFS(Data!$H$4:$H$2311,Data!$B$4:$B$2311,"UCO",Data!$C$4:$C$2311,"Chile",Data!$E$4:$E$2311,2022,Data!$F$4:$F$2311,7)</f>
        <v>0</v>
      </c>
      <c r="I67" s="12" t="n">
        <f aca="false">SUMIFS(Data!$H$4:$H$2311,Data!$B$4:$B$2311,"UCO",Data!$C$4:$C$2311,"Chile",Data!$E$4:$E$2311,2022,Data!$F$4:$F$2311,8)</f>
        <v>0</v>
      </c>
      <c r="J67" s="12" t="n">
        <f aca="false">SUMIFS(Data!$H$4:$H$2311,Data!$B$4:$B$2311,"UCO",Data!$C$4:$C$2311,"Chile",Data!$E$4:$E$2311,2022,Data!$F$4:$F$2311,9)</f>
        <v>0</v>
      </c>
      <c r="K67" s="12" t="n">
        <f aca="false">SUMIFS(Data!$H$4:$H$2311,Data!$B$4:$B$2311,"UCO",Data!$C$4:$C$2311,"Chile",Data!$E$4:$E$2311,2022,Data!$F$4:$F$2311,10)</f>
        <v>0</v>
      </c>
      <c r="L67" s="12" t="n">
        <f aca="false">SUMIFS(Data!$H$4:$H$2311,Data!$B$4:$B$2311,"UCO",Data!$C$4:$C$2311,"Chile",Data!$E$4:$E$2311,2022,Data!$F$4:$F$2311,11)</f>
        <v>0</v>
      </c>
      <c r="M67" s="12" t="n">
        <f aca="false">SUMIFS(Data!$H$4:$H$2311,Data!$B$4:$B$2311,"UCO",Data!$C$4:$C$2311,"Chile",Data!$E$4:$E$2311,2022,Data!$F$4:$F$2311,12)</f>
        <v>6.75732706879902</v>
      </c>
      <c r="N67" s="13" t="n">
        <f aca="false">SUM(B67:M67)</f>
        <v>7.08407418758341</v>
      </c>
    </row>
    <row r="68" customFormat="false" ht="15" hidden="false" customHeight="false" outlineLevel="0" collapsed="false">
      <c r="A68" s="11" t="s">
        <v>67</v>
      </c>
      <c r="B68" s="12" t="n">
        <f aca="false">SUMIFS(Data!$H$4:$H$2311,Data!$B$4:$B$2311,"UCO",Data!$C$4:$C$2311,"Japan",Data!$E$4:$E$2311,2022,Data!$F$4:$F$2311,1)</f>
        <v>0</v>
      </c>
      <c r="C68" s="12" t="n">
        <f aca="false">SUMIFS(Data!$H$4:$H$2311,Data!$B$4:$B$2311,"UCO",Data!$C$4:$C$2311,"Japan",Data!$E$4:$E$2311,2022,Data!$F$4:$F$2311,2)</f>
        <v>0</v>
      </c>
      <c r="D68" s="12" t="n">
        <f aca="false">SUMIFS(Data!$H$4:$H$2311,Data!$B$4:$B$2311,"UCO",Data!$C$4:$C$2311,"Japan",Data!$E$4:$E$2311,2022,Data!$F$4:$F$2311,3)</f>
        <v>0</v>
      </c>
      <c r="E68" s="12" t="n">
        <f aca="false">SUMIFS(Data!$H$4:$H$2311,Data!$B$4:$B$2311,"UCO",Data!$C$4:$C$2311,"Japan",Data!$E$4:$E$2311,2022,Data!$F$4:$F$2311,4)</f>
        <v>0.00396832071933</v>
      </c>
      <c r="F68" s="12" t="n">
        <f aca="false">SUMIFS(Data!$H$4:$H$2311,Data!$B$4:$B$2311,"UCO",Data!$C$4:$C$2311,"Japan",Data!$E$4:$E$2311,2022,Data!$F$4:$F$2311,5)</f>
        <v>0.00396832071933</v>
      </c>
      <c r="G68" s="12" t="n">
        <f aca="false">SUMIFS(Data!$H$4:$H$2311,Data!$B$4:$B$2311,"UCO",Data!$C$4:$C$2311,"Japan",Data!$E$4:$E$2311,2022,Data!$F$4:$F$2311,6)</f>
        <v>0</v>
      </c>
      <c r="H68" s="12" t="n">
        <f aca="false">SUMIFS(Data!$H$4:$H$2311,Data!$B$4:$B$2311,"UCO",Data!$C$4:$C$2311,"Japan",Data!$E$4:$E$2311,2022,Data!$F$4:$F$2311,7)</f>
        <v>0.00742737361301265</v>
      </c>
      <c r="I68" s="12" t="n">
        <f aca="false">SUMIFS(Data!$H$4:$H$2311,Data!$B$4:$B$2311,"UCO",Data!$C$4:$C$2311,"Japan",Data!$E$4:$E$2311,2022,Data!$F$4:$F$2311,8)</f>
        <v>3.40921960393835</v>
      </c>
      <c r="J68" s="12" t="n">
        <f aca="false">SUMIFS(Data!$H$4:$H$2311,Data!$B$4:$B$2311,"UCO",Data!$C$4:$C$2311,"Japan",Data!$E$4:$E$2311,2022,Data!$F$4:$F$2311,9)</f>
        <v>0</v>
      </c>
      <c r="K68" s="12" t="n">
        <f aca="false">SUMIFS(Data!$H$4:$H$2311,Data!$B$4:$B$2311,"UCO",Data!$C$4:$C$2311,"Japan",Data!$E$4:$E$2311,2022,Data!$F$4:$F$2311,10)</f>
        <v>0.007804364081349</v>
      </c>
      <c r="L68" s="12" t="n">
        <f aca="false">SUMIFS(Data!$H$4:$H$2311,Data!$B$4:$B$2311,"UCO",Data!$C$4:$C$2311,"Japan",Data!$E$4:$E$2311,2022,Data!$F$4:$F$2311,11)</f>
        <v>0.0133357622395706</v>
      </c>
      <c r="M68" s="12" t="n">
        <f aca="false">SUMIFS(Data!$H$4:$H$2311,Data!$B$4:$B$2311,"UCO",Data!$C$4:$C$2311,"Japan",Data!$E$4:$E$2311,2022,Data!$F$4:$F$2311,12)</f>
        <v>0.00176369809748</v>
      </c>
      <c r="N68" s="13" t="n">
        <f aca="false">SUM(B68:M68)</f>
        <v>3.44748744340843</v>
      </c>
    </row>
    <row r="69" customFormat="false" ht="15" hidden="false" customHeight="false" outlineLevel="0" collapsed="false">
      <c r="A69" s="11" t="s">
        <v>51</v>
      </c>
      <c r="B69" s="12" t="n">
        <f aca="false">SUMIFS(Data!$H$4:$H$2311,Data!$B$4:$B$2311,"UCO",Data!$C$4:$C$2311,"India",Data!$E$4:$E$2311,2022,Data!$F$4:$F$2311,1)</f>
        <v>0.178647184916371</v>
      </c>
      <c r="C69" s="12" t="n">
        <f aca="false">SUMIFS(Data!$H$4:$H$2311,Data!$B$4:$B$2311,"UCO",Data!$C$4:$C$2311,"India",Data!$E$4:$E$2311,2022,Data!$F$4:$F$2311,2)</f>
        <v>0.0499347023849025</v>
      </c>
      <c r="D69" s="12" t="n">
        <f aca="false">SUMIFS(Data!$H$4:$H$2311,Data!$B$4:$B$2311,"UCO",Data!$C$4:$C$2311,"India",Data!$E$4:$E$2311,2022,Data!$F$4:$F$2311,3)</f>
        <v>0.0707970462554691</v>
      </c>
      <c r="E69" s="12" t="n">
        <f aca="false">SUMIFS(Data!$H$4:$H$2311,Data!$B$4:$B$2311,"UCO",Data!$C$4:$C$2311,"India",Data!$E$4:$E$2311,2022,Data!$F$4:$F$2311,4)</f>
        <v>0.0425624443374361</v>
      </c>
      <c r="F69" s="12" t="n">
        <f aca="false">SUMIFS(Data!$H$4:$H$2311,Data!$B$4:$B$2311,"UCO",Data!$C$4:$C$2311,"India",Data!$E$4:$E$2311,2022,Data!$F$4:$F$2311,5)</f>
        <v>0.142165089769997</v>
      </c>
      <c r="G69" s="12" t="n">
        <f aca="false">SUMIFS(Data!$H$4:$H$2311,Data!$B$4:$B$2311,"UCO",Data!$C$4:$C$2311,"India",Data!$E$4:$E$2311,2022,Data!$F$4:$F$2311,6)</f>
        <v>0.0821530573806184</v>
      </c>
      <c r="H69" s="12" t="n">
        <f aca="false">SUMIFS(Data!$H$4:$H$2311,Data!$B$4:$B$2311,"UCO",Data!$C$4:$C$2311,"India",Data!$E$4:$E$2311,2022,Data!$F$4:$F$2311,7)</f>
        <v>0.046958461845405</v>
      </c>
      <c r="I69" s="12" t="n">
        <f aca="false">SUMIFS(Data!$H$4:$H$2311,Data!$B$4:$B$2311,"UCO",Data!$C$4:$C$2311,"India",Data!$E$4:$E$2311,2022,Data!$F$4:$F$2311,8)</f>
        <v>0.183252641573416</v>
      </c>
      <c r="J69" s="12" t="n">
        <f aca="false">SUMIFS(Data!$H$4:$H$2311,Data!$B$4:$B$2311,"UCO",Data!$C$4:$C$2311,"India",Data!$E$4:$E$2311,2022,Data!$F$4:$F$2311,9)</f>
        <v>0.0487331830559943</v>
      </c>
      <c r="K69" s="12" t="n">
        <f aca="false">SUMIFS(Data!$H$4:$H$2311,Data!$B$4:$B$2311,"UCO",Data!$C$4:$C$2311,"India",Data!$E$4:$E$2311,2022,Data!$F$4:$F$2311,10)</f>
        <v>0.13025130912152</v>
      </c>
      <c r="L69" s="12" t="n">
        <f aca="false">SUMIFS(Data!$H$4:$H$2311,Data!$B$4:$B$2311,"UCO",Data!$C$4:$C$2311,"India",Data!$E$4:$E$2311,2022,Data!$F$4:$F$2311,11)</f>
        <v>0.0705479238992</v>
      </c>
      <c r="M69" s="12" t="n">
        <f aca="false">SUMIFS(Data!$H$4:$H$2311,Data!$B$4:$B$2311,"UCO",Data!$C$4:$C$2311,"India",Data!$E$4:$E$2311,2022,Data!$F$4:$F$2311,12)</f>
        <v>0.00560635532736455</v>
      </c>
      <c r="N69" s="13" t="n">
        <f aca="false">SUM(B69:M69)</f>
        <v>1.05160939986769</v>
      </c>
    </row>
    <row r="70" customFormat="false" ht="15" hidden="false" customHeight="false" outlineLevel="0" collapsed="false">
      <c r="A70" s="11" t="s">
        <v>63</v>
      </c>
      <c r="B70" s="12" t="n">
        <f aca="false">SUMIFS(Data!$H$4:$H$2311,Data!$B$4:$B$2311,"UCO",Data!$C$4:$C$2311,"Peru",Data!$E$4:$E$2311,2022,Data!$F$4:$F$2311,1)</f>
        <v>0</v>
      </c>
      <c r="C70" s="12" t="n">
        <f aca="false">SUMIFS(Data!$H$4:$H$2311,Data!$B$4:$B$2311,"UCO",Data!$C$4:$C$2311,"Peru",Data!$E$4:$E$2311,2022,Data!$F$4:$F$2311,2)</f>
        <v>0</v>
      </c>
      <c r="D70" s="12" t="n">
        <f aca="false">SUMIFS(Data!$H$4:$H$2311,Data!$B$4:$B$2311,"UCO",Data!$C$4:$C$2311,"Peru",Data!$E$4:$E$2311,2022,Data!$F$4:$F$2311,3)</f>
        <v>0</v>
      </c>
      <c r="E70" s="12" t="n">
        <f aca="false">SUMIFS(Data!$H$4:$H$2311,Data!$B$4:$B$2311,"UCO",Data!$C$4:$C$2311,"Peru",Data!$E$4:$E$2311,2022,Data!$F$4:$F$2311,4)</f>
        <v>0</v>
      </c>
      <c r="F70" s="12" t="n">
        <f aca="false">SUMIFS(Data!$H$4:$H$2311,Data!$B$4:$B$2311,"UCO",Data!$C$4:$C$2311,"Peru",Data!$E$4:$E$2311,2022,Data!$F$4:$F$2311,5)</f>
        <v>0</v>
      </c>
      <c r="G70" s="12" t="n">
        <f aca="false">SUMIFS(Data!$H$4:$H$2311,Data!$B$4:$B$2311,"UCO",Data!$C$4:$C$2311,"Peru",Data!$E$4:$E$2311,2022,Data!$F$4:$F$2311,6)</f>
        <v>0</v>
      </c>
      <c r="H70" s="12" t="n">
        <f aca="false">SUMIFS(Data!$H$4:$H$2311,Data!$B$4:$B$2311,"UCO",Data!$C$4:$C$2311,"Peru",Data!$E$4:$E$2311,2022,Data!$F$4:$F$2311,7)</f>
        <v>0</v>
      </c>
      <c r="I70" s="12" t="n">
        <f aca="false">SUMIFS(Data!$H$4:$H$2311,Data!$B$4:$B$2311,"UCO",Data!$C$4:$C$2311,"Peru",Data!$E$4:$E$2311,2022,Data!$F$4:$F$2311,8)</f>
        <v>0</v>
      </c>
      <c r="J70" s="12" t="n">
        <f aca="false">SUMIFS(Data!$H$4:$H$2311,Data!$B$4:$B$2311,"UCO",Data!$C$4:$C$2311,"Peru",Data!$E$4:$E$2311,2022,Data!$F$4:$F$2311,9)</f>
        <v>0</v>
      </c>
      <c r="K70" s="12" t="n">
        <f aca="false">SUMIFS(Data!$H$4:$H$2311,Data!$B$4:$B$2311,"UCO",Data!$C$4:$C$2311,"Peru",Data!$E$4:$E$2311,2022,Data!$F$4:$F$2311,10)</f>
        <v>0</v>
      </c>
      <c r="L70" s="12" t="n">
        <f aca="false">SUMIFS(Data!$H$4:$H$2311,Data!$B$4:$B$2311,"UCO",Data!$C$4:$C$2311,"Peru",Data!$E$4:$E$2311,2022,Data!$F$4:$F$2311,11)</f>
        <v>0</v>
      </c>
      <c r="M70" s="12" t="n">
        <f aca="false">SUMIFS(Data!$H$4:$H$2311,Data!$B$4:$B$2311,"UCO",Data!$C$4:$C$2311,"Peru",Data!$E$4:$E$2311,2022,Data!$F$4:$F$2311,12)</f>
        <v>0.868544151217135</v>
      </c>
      <c r="N70" s="13" t="n">
        <f aca="false">SUM(B70:M70)</f>
        <v>0.868544151217135</v>
      </c>
    </row>
    <row r="71" customFormat="false" ht="15" hidden="false" customHeight="false" outlineLevel="0" collapsed="false">
      <c r="A71" s="11" t="s">
        <v>53</v>
      </c>
      <c r="B71" s="12" t="n">
        <f aca="false">SUMIFS(Data!$H$4:$H$2311,Data!$B$4:$B$2311,"UCO",Data!$C$4:$C$2311,"France",Data!$E$4:$E$2311,2022,Data!$F$4:$F$2311,1)</f>
        <v>0.0378886443791141</v>
      </c>
      <c r="C71" s="12" t="n">
        <f aca="false">SUMIFS(Data!$H$4:$H$2311,Data!$B$4:$B$2311,"UCO",Data!$C$4:$C$2311,"France",Data!$E$4:$E$2311,2022,Data!$F$4:$F$2311,2)</f>
        <v>0.0389755233316862</v>
      </c>
      <c r="D71" s="12" t="n">
        <f aca="false">SUMIFS(Data!$H$4:$H$2311,Data!$B$4:$B$2311,"UCO",Data!$C$4:$C$2311,"France",Data!$E$4:$E$2311,2022,Data!$F$4:$F$2311,3)</f>
        <v>0.129151202433217</v>
      </c>
      <c r="E71" s="12" t="n">
        <f aca="false">SUMIFS(Data!$H$4:$H$2311,Data!$B$4:$B$2311,"UCO",Data!$C$4:$C$2311,"France",Data!$E$4:$E$2311,2022,Data!$F$4:$F$2311,4)</f>
        <v>0.0058422499479025</v>
      </c>
      <c r="F71" s="12" t="n">
        <f aca="false">SUMIFS(Data!$H$4:$H$2311,Data!$B$4:$B$2311,"UCO",Data!$C$4:$C$2311,"France",Data!$E$4:$E$2311,2022,Data!$F$4:$F$2311,5)</f>
        <v>0.150641863751011</v>
      </c>
      <c r="G71" s="12" t="n">
        <f aca="false">SUMIFS(Data!$H$4:$H$2311,Data!$B$4:$B$2311,"UCO",Data!$C$4:$C$2311,"France",Data!$E$4:$E$2311,2022,Data!$F$4:$F$2311,6)</f>
        <v>0.0869282699795455</v>
      </c>
      <c r="H71" s="12" t="n">
        <f aca="false">SUMIFS(Data!$H$4:$H$2311,Data!$B$4:$B$2311,"UCO",Data!$C$4:$C$2311,"France",Data!$E$4:$E$2311,2022,Data!$F$4:$F$2311,7)</f>
        <v>0.0301901021836139</v>
      </c>
      <c r="I71" s="12" t="n">
        <f aca="false">SUMIFS(Data!$H$4:$H$2311,Data!$B$4:$B$2311,"UCO",Data!$C$4:$C$2311,"France",Data!$E$4:$E$2311,2022,Data!$F$4:$F$2311,8)</f>
        <v>0.0715510271921418</v>
      </c>
      <c r="J71" s="12" t="n">
        <f aca="false">SUMIFS(Data!$H$4:$H$2311,Data!$B$4:$B$2311,"UCO",Data!$C$4:$C$2311,"France",Data!$E$4:$E$2311,2022,Data!$F$4:$F$2311,9)</f>
        <v>0.0690531897615857</v>
      </c>
      <c r="K71" s="12" t="n">
        <f aca="false">SUMIFS(Data!$H$4:$H$2311,Data!$B$4:$B$2311,"UCO",Data!$C$4:$C$2311,"France",Data!$E$4:$E$2311,2022,Data!$F$4:$F$2311,10)</f>
        <v>0.0131064814868983</v>
      </c>
      <c r="L71" s="12" t="n">
        <f aca="false">SUMIFS(Data!$H$4:$H$2311,Data!$B$4:$B$2311,"UCO",Data!$C$4:$C$2311,"France",Data!$E$4:$E$2311,2022,Data!$F$4:$F$2311,11)</f>
        <v>0.0237481948825682</v>
      </c>
      <c r="M71" s="12" t="n">
        <f aca="false">SUMIFS(Data!$H$4:$H$2311,Data!$B$4:$B$2311,"UCO",Data!$C$4:$C$2311,"France",Data!$E$4:$E$2311,2022,Data!$F$4:$F$2311,12)</f>
        <v>0.107217411968431</v>
      </c>
      <c r="N71" s="13" t="n">
        <f aca="false">SUM(B71:M71)</f>
        <v>0.764294161297714</v>
      </c>
    </row>
    <row r="72" customFormat="false" ht="15" hidden="false" customHeight="false" outlineLevel="0" collapsed="false">
      <c r="A72" s="11" t="s">
        <v>55</v>
      </c>
      <c r="B72" s="12" t="n">
        <f aca="false">SUMIFS(Data!$H$4:$H$2311,Data!$B$4:$B$2311,"UCO",Data!$C$4:$C$2311,"Aruba",Data!$E$4:$E$2311,2022,Data!$F$4:$F$2311,1)</f>
        <v>0</v>
      </c>
      <c r="C72" s="12" t="n">
        <f aca="false">SUMIFS(Data!$H$4:$H$2311,Data!$B$4:$B$2311,"UCO",Data!$C$4:$C$2311,"Aruba",Data!$E$4:$E$2311,2022,Data!$F$4:$F$2311,2)</f>
        <v>0</v>
      </c>
      <c r="D72" s="12" t="n">
        <f aca="false">SUMIFS(Data!$H$4:$H$2311,Data!$B$4:$B$2311,"UCO",Data!$C$4:$C$2311,"Aruba",Data!$E$4:$E$2311,2022,Data!$F$4:$F$2311,3)</f>
        <v>0</v>
      </c>
      <c r="E72" s="12" t="n">
        <f aca="false">SUMIFS(Data!$H$4:$H$2311,Data!$B$4:$B$2311,"UCO",Data!$C$4:$C$2311,"Aruba",Data!$E$4:$E$2311,2022,Data!$F$4:$F$2311,4)</f>
        <v>0.0929821636991456</v>
      </c>
      <c r="F72" s="12" t="n">
        <f aca="false">SUMIFS(Data!$H$4:$H$2311,Data!$B$4:$B$2311,"UCO",Data!$C$4:$C$2311,"Aruba",Data!$E$4:$E$2311,2022,Data!$F$4:$F$2311,5)</f>
        <v>0.100857075704394</v>
      </c>
      <c r="G72" s="12" t="n">
        <f aca="false">SUMIFS(Data!$H$4:$H$2311,Data!$B$4:$B$2311,"UCO",Data!$C$4:$C$2311,"Aruba",Data!$E$4:$E$2311,2022,Data!$F$4:$F$2311,6)</f>
        <v>0</v>
      </c>
      <c r="H72" s="12" t="n">
        <f aca="false">SUMIFS(Data!$H$4:$H$2311,Data!$B$4:$B$2311,"UCO",Data!$C$4:$C$2311,"Aruba",Data!$E$4:$E$2311,2022,Data!$F$4:$F$2311,7)</f>
        <v>0.0944283961390792</v>
      </c>
      <c r="I72" s="12" t="n">
        <f aca="false">SUMIFS(Data!$H$4:$H$2311,Data!$B$4:$B$2311,"UCO",Data!$C$4:$C$2311,"Aruba",Data!$E$4:$E$2311,2022,Data!$F$4:$F$2311,8)</f>
        <v>0.0944283961390792</v>
      </c>
      <c r="J72" s="12" t="n">
        <f aca="false">SUMIFS(Data!$H$4:$H$2311,Data!$B$4:$B$2311,"UCO",Data!$C$4:$C$2311,"Aruba",Data!$E$4:$E$2311,2022,Data!$F$4:$F$2311,9)</f>
        <v>0.0450007569572022</v>
      </c>
      <c r="K72" s="12" t="n">
        <f aca="false">SUMIFS(Data!$H$4:$H$2311,Data!$B$4:$B$2311,"UCO",Data!$C$4:$C$2311,"Aruba",Data!$E$4:$E$2311,2022,Data!$F$4:$F$2311,10)</f>
        <v>0</v>
      </c>
      <c r="L72" s="12" t="n">
        <f aca="false">SUMIFS(Data!$H$4:$H$2311,Data!$B$4:$B$2311,"UCO",Data!$C$4:$C$2311,"Aruba",Data!$E$4:$E$2311,2022,Data!$F$4:$F$2311,11)</f>
        <v>0.0948693206634492</v>
      </c>
      <c r="M72" s="12" t="n">
        <f aca="false">SUMIFS(Data!$H$4:$H$2311,Data!$B$4:$B$2311,"UCO",Data!$C$4:$C$2311,"Aruba",Data!$E$4:$E$2311,2022,Data!$F$4:$F$2311,12)</f>
        <v>0.04806077315633</v>
      </c>
      <c r="N72" s="13" t="n">
        <f aca="false">SUM(B72:M72)</f>
        <v>0.570626882458679</v>
      </c>
    </row>
    <row r="73" customFormat="false" ht="15" hidden="false" customHeight="false" outlineLevel="0" collapsed="false">
      <c r="A73" s="11" t="s">
        <v>110</v>
      </c>
      <c r="B73" s="12" t="n">
        <f aca="false">SUMIFS(Data!$H$4:$H$2311,Data!$B$4:$B$2311,"UCO",Data!$C$4:$C$2311,"Honduras",Data!$E$4:$E$2311,2022,Data!$F$4:$F$2311,1)</f>
        <v>0</v>
      </c>
      <c r="C73" s="12" t="n">
        <f aca="false">SUMIFS(Data!$H$4:$H$2311,Data!$B$4:$B$2311,"UCO",Data!$C$4:$C$2311,"Honduras",Data!$E$4:$E$2311,2022,Data!$F$4:$F$2311,2)</f>
        <v>0.003880135814456</v>
      </c>
      <c r="D73" s="12" t="n">
        <f aca="false">SUMIFS(Data!$H$4:$H$2311,Data!$B$4:$B$2311,"UCO",Data!$C$4:$C$2311,"Honduras",Data!$E$4:$E$2311,2022,Data!$F$4:$F$2311,3)</f>
        <v>0.0419010575508811</v>
      </c>
      <c r="E73" s="12" t="n">
        <f aca="false">SUMIFS(Data!$H$4:$H$2311,Data!$B$4:$B$2311,"UCO",Data!$C$4:$C$2311,"Honduras",Data!$E$4:$E$2311,2022,Data!$F$4:$F$2311,4)</f>
        <v>0.044092452437</v>
      </c>
      <c r="F73" s="12" t="n">
        <f aca="false">SUMIFS(Data!$H$4:$H$2311,Data!$B$4:$B$2311,"UCO",Data!$C$4:$C$2311,"Honduras",Data!$E$4:$E$2311,2022,Data!$F$4:$F$2311,5)</f>
        <v>0.0489205759788515</v>
      </c>
      <c r="G73" s="12" t="n">
        <f aca="false">SUMIFS(Data!$H$4:$H$2311,Data!$B$4:$B$2311,"UCO",Data!$C$4:$C$2311,"Honduras",Data!$E$4:$E$2311,2022,Data!$F$4:$F$2311,6)</f>
        <v>0.0481092748540107</v>
      </c>
      <c r="H73" s="12" t="n">
        <f aca="false">SUMIFS(Data!$H$4:$H$2311,Data!$B$4:$B$2311,"UCO",Data!$C$4:$C$2311,"Honduras",Data!$E$4:$E$2311,2022,Data!$F$4:$F$2311,7)</f>
        <v>0.0491895399387172</v>
      </c>
      <c r="I73" s="12" t="n">
        <f aca="false">SUMIFS(Data!$H$4:$H$2311,Data!$B$4:$B$2311,"UCO",Data!$C$4:$C$2311,"Honduras",Data!$E$4:$E$2311,2022,Data!$F$4:$F$2311,8)</f>
        <v>0.0427807019769993</v>
      </c>
      <c r="J73" s="12" t="n">
        <f aca="false">SUMIFS(Data!$H$4:$H$2311,Data!$B$4:$B$2311,"UCO",Data!$C$4:$C$2311,"Honduras",Data!$E$4:$E$2311,2022,Data!$F$4:$F$2311,9)</f>
        <v>0</v>
      </c>
      <c r="K73" s="12" t="n">
        <f aca="false">SUMIFS(Data!$H$4:$H$2311,Data!$B$4:$B$2311,"UCO",Data!$C$4:$C$2311,"Honduras",Data!$E$4:$E$2311,2022,Data!$F$4:$F$2311,10)</f>
        <v>0.140039833562534</v>
      </c>
      <c r="L73" s="12" t="n">
        <f aca="false">SUMIFS(Data!$H$4:$H$2311,Data!$B$4:$B$2311,"UCO",Data!$C$4:$C$2311,"Honduras",Data!$E$4:$E$2311,2022,Data!$F$4:$F$2311,11)</f>
        <v>0.13889122517655</v>
      </c>
      <c r="M73" s="12" t="n">
        <f aca="false">SUMIFS(Data!$H$4:$H$2311,Data!$B$4:$B$2311,"UCO",Data!$C$4:$C$2311,"Honduras",Data!$E$4:$E$2311,2022,Data!$F$4:$F$2311,12)</f>
        <v>0</v>
      </c>
      <c r="N73" s="13" t="n">
        <f aca="false">SUM(B73:M73)</f>
        <v>0.55780479729</v>
      </c>
    </row>
    <row r="74" customFormat="false" ht="15" hidden="false" customHeight="false" outlineLevel="0" collapsed="false">
      <c r="A74" s="11" t="s">
        <v>59</v>
      </c>
      <c r="B74" s="12" t="n">
        <f aca="false">SUMIFS(Data!$H$4:$H$2311,Data!$B$4:$B$2311,"UCO",Data!$C$4:$C$2311,"Germany",Data!$E$4:$E$2311,2022,Data!$F$4:$F$2311,1)</f>
        <v>0.0099428480245435</v>
      </c>
      <c r="C74" s="12" t="n">
        <f aca="false">SUMIFS(Data!$H$4:$H$2311,Data!$B$4:$B$2311,"UCO",Data!$C$4:$C$2311,"Germany",Data!$E$4:$E$2311,2022,Data!$F$4:$F$2311,2)</f>
        <v>0.00573201881681</v>
      </c>
      <c r="D74" s="12" t="n">
        <f aca="false">SUMIFS(Data!$H$4:$H$2311,Data!$B$4:$B$2311,"UCO",Data!$C$4:$C$2311,"Germany",Data!$E$4:$E$2311,2022,Data!$F$4:$F$2311,3)</f>
        <v>0.0445069214899078</v>
      </c>
      <c r="E74" s="12" t="n">
        <f aca="false">SUMIFS(Data!$H$4:$H$2311,Data!$B$4:$B$2311,"UCO",Data!$C$4:$C$2311,"Germany",Data!$E$4:$E$2311,2022,Data!$F$4:$F$2311,4)</f>
        <v>0.0828607412422323</v>
      </c>
      <c r="F74" s="12" t="n">
        <f aca="false">SUMIFS(Data!$H$4:$H$2311,Data!$B$4:$B$2311,"UCO",Data!$C$4:$C$2311,"Germany",Data!$E$4:$E$2311,2022,Data!$F$4:$F$2311,5)</f>
        <v>0.0344494330890281</v>
      </c>
      <c r="G74" s="12" t="n">
        <f aca="false">SUMIFS(Data!$H$4:$H$2311,Data!$B$4:$B$2311,"UCO",Data!$C$4:$C$2311,"Germany",Data!$E$4:$E$2311,2022,Data!$F$4:$F$2311,6)</f>
        <v>0.016490577211438</v>
      </c>
      <c r="H74" s="12" t="n">
        <f aca="false">SUMIFS(Data!$H$4:$H$2311,Data!$B$4:$B$2311,"UCO",Data!$C$4:$C$2311,"Germany",Data!$E$4:$E$2311,2022,Data!$F$4:$F$2311,7)</f>
        <v>0.026823643440049</v>
      </c>
      <c r="I74" s="12" t="n">
        <f aca="false">SUMIFS(Data!$H$4:$H$2311,Data!$B$4:$B$2311,"UCO",Data!$C$4:$C$2311,"Germany",Data!$E$4:$E$2311,2022,Data!$F$4:$F$2311,8)</f>
        <v>0.0570820889249402</v>
      </c>
      <c r="J74" s="12" t="n">
        <f aca="false">SUMIFS(Data!$H$4:$H$2311,Data!$B$4:$B$2311,"UCO",Data!$C$4:$C$2311,"Germany",Data!$E$4:$E$2311,2022,Data!$F$4:$F$2311,9)</f>
        <v>0.0754928924400096</v>
      </c>
      <c r="K74" s="12" t="n">
        <f aca="false">SUMIFS(Data!$H$4:$H$2311,Data!$B$4:$B$2311,"UCO",Data!$C$4:$C$2311,"Germany",Data!$E$4:$E$2311,2022,Data!$F$4:$F$2311,10)</f>
        <v>0.0446678589413029</v>
      </c>
      <c r="L74" s="12" t="n">
        <f aca="false">SUMIFS(Data!$H$4:$H$2311,Data!$B$4:$B$2311,"UCO",Data!$C$4:$C$2311,"Germany",Data!$E$4:$E$2311,2022,Data!$F$4:$F$2311,11)</f>
        <v>0.00617294334118</v>
      </c>
      <c r="M74" s="12" t="n">
        <f aca="false">SUMIFS(Data!$H$4:$H$2311,Data!$B$4:$B$2311,"UCO",Data!$C$4:$C$2311,"Germany",Data!$E$4:$E$2311,2022,Data!$F$4:$F$2311,12)</f>
        <v>0.014153677232277</v>
      </c>
      <c r="N74" s="13" t="n">
        <f aca="false">SUM(B74:M74)</f>
        <v>0.418375644193718</v>
      </c>
    </row>
    <row r="75" customFormat="false" ht="15" hidden="false" customHeight="false" outlineLevel="0" collapsed="false">
      <c r="A75" s="11" t="s">
        <v>65</v>
      </c>
      <c r="B75" s="12" t="n">
        <f aca="false">SUMIFS(Data!$H$4:$H$2311,Data!$B$4:$B$2311,"UCO",Data!$C$4:$C$2311,"Malaysia",Data!$E$4:$E$2311,2022,Data!$F$4:$F$2311,1)</f>
        <v>0</v>
      </c>
      <c r="C75" s="12" t="n">
        <f aca="false">SUMIFS(Data!$H$4:$H$2311,Data!$B$4:$B$2311,"UCO",Data!$C$4:$C$2311,"Malaysia",Data!$E$4:$E$2311,2022,Data!$F$4:$F$2311,2)</f>
        <v>0</v>
      </c>
      <c r="D75" s="12" t="n">
        <f aca="false">SUMIFS(Data!$H$4:$H$2311,Data!$B$4:$B$2311,"UCO",Data!$C$4:$C$2311,"Malaysia",Data!$E$4:$E$2311,2022,Data!$F$4:$F$2311,3)</f>
        <v>0</v>
      </c>
      <c r="E75" s="12" t="n">
        <f aca="false">SUMIFS(Data!$H$4:$H$2311,Data!$B$4:$B$2311,"UCO",Data!$C$4:$C$2311,"Malaysia",Data!$E$4:$E$2311,2022,Data!$F$4:$F$2311,4)</f>
        <v>0</v>
      </c>
      <c r="F75" s="12" t="n">
        <f aca="false">SUMIFS(Data!$H$4:$H$2311,Data!$B$4:$B$2311,"UCO",Data!$C$4:$C$2311,"Malaysia",Data!$E$4:$E$2311,2022,Data!$F$4:$F$2311,5)</f>
        <v>0</v>
      </c>
      <c r="G75" s="12" t="n">
        <f aca="false">SUMIFS(Data!$H$4:$H$2311,Data!$B$4:$B$2311,"UCO",Data!$C$4:$C$2311,"Malaysia",Data!$E$4:$E$2311,2022,Data!$F$4:$F$2311,6)</f>
        <v>0</v>
      </c>
      <c r="H75" s="12" t="n">
        <f aca="false">SUMIFS(Data!$H$4:$H$2311,Data!$B$4:$B$2311,"UCO",Data!$C$4:$C$2311,"Malaysia",Data!$E$4:$E$2311,2022,Data!$F$4:$F$2311,7)</f>
        <v>0</v>
      </c>
      <c r="I75" s="12" t="n">
        <f aca="false">SUMIFS(Data!$H$4:$H$2311,Data!$B$4:$B$2311,"UCO",Data!$C$4:$C$2311,"Malaysia",Data!$E$4:$E$2311,2022,Data!$F$4:$F$2311,8)</f>
        <v>0.335073978427116</v>
      </c>
      <c r="J75" s="12" t="n">
        <f aca="false">SUMIFS(Data!$H$4:$H$2311,Data!$B$4:$B$2311,"UCO",Data!$C$4:$C$2311,"Malaysia",Data!$E$4:$E$2311,2022,Data!$F$4:$F$2311,9)</f>
        <v>0</v>
      </c>
      <c r="K75" s="12" t="n">
        <f aca="false">SUMIFS(Data!$H$4:$H$2311,Data!$B$4:$B$2311,"UCO",Data!$C$4:$C$2311,"Malaysia",Data!$E$4:$E$2311,2022,Data!$F$4:$F$2311,10)</f>
        <v>0</v>
      </c>
      <c r="L75" s="12" t="n">
        <f aca="false">SUMIFS(Data!$H$4:$H$2311,Data!$B$4:$B$2311,"UCO",Data!$C$4:$C$2311,"Malaysia",Data!$E$4:$E$2311,2022,Data!$F$4:$F$2311,11)</f>
        <v>0</v>
      </c>
      <c r="M75" s="12" t="n">
        <f aca="false">SUMIFS(Data!$H$4:$H$2311,Data!$B$4:$B$2311,"UCO",Data!$C$4:$C$2311,"Malaysia",Data!$E$4:$E$2311,2022,Data!$F$4:$F$2311,12)</f>
        <v>0</v>
      </c>
      <c r="N75" s="13" t="n">
        <f aca="false">SUM(B75:M75)</f>
        <v>0.335073978427116</v>
      </c>
    </row>
    <row r="76" customFormat="false" ht="15" hidden="false" customHeight="false" outlineLevel="0" collapsed="false">
      <c r="A76" s="11" t="s">
        <v>111</v>
      </c>
      <c r="B76" s="12" t="n">
        <f aca="false">SUMIFS(Data!$H$4:$H$2311,Data!$B$4:$B$2311,"UCO",Data!$C$4:$C$2311,"Singapore",Data!$E$4:$E$2311,2022,Data!$F$4:$F$2311,1)</f>
        <v>0</v>
      </c>
      <c r="C76" s="12" t="n">
        <f aca="false">SUMIFS(Data!$H$4:$H$2311,Data!$B$4:$B$2311,"UCO",Data!$C$4:$C$2311,"Singapore",Data!$E$4:$E$2311,2022,Data!$F$4:$F$2311,2)</f>
        <v>0</v>
      </c>
      <c r="D76" s="12" t="n">
        <f aca="false">SUMIFS(Data!$H$4:$H$2311,Data!$B$4:$B$2311,"UCO",Data!$C$4:$C$2311,"Singapore",Data!$E$4:$E$2311,2022,Data!$F$4:$F$2311,3)</f>
        <v>0</v>
      </c>
      <c r="E76" s="12" t="n">
        <f aca="false">SUMIFS(Data!$H$4:$H$2311,Data!$B$4:$B$2311,"UCO",Data!$C$4:$C$2311,"Singapore",Data!$E$4:$E$2311,2022,Data!$F$4:$F$2311,4)</f>
        <v>0</v>
      </c>
      <c r="F76" s="12" t="n">
        <f aca="false">SUMIFS(Data!$H$4:$H$2311,Data!$B$4:$B$2311,"UCO",Data!$C$4:$C$2311,"Singapore",Data!$E$4:$E$2311,2022,Data!$F$4:$F$2311,5)</f>
        <v>0</v>
      </c>
      <c r="G76" s="12" t="n">
        <f aca="false">SUMIFS(Data!$H$4:$H$2311,Data!$B$4:$B$2311,"UCO",Data!$C$4:$C$2311,"Singapore",Data!$E$4:$E$2311,2022,Data!$F$4:$F$2311,6)</f>
        <v>0</v>
      </c>
      <c r="H76" s="12" t="n">
        <f aca="false">SUMIFS(Data!$H$4:$H$2311,Data!$B$4:$B$2311,"UCO",Data!$C$4:$C$2311,"Singapore",Data!$E$4:$E$2311,2022,Data!$F$4:$F$2311,7)</f>
        <v>0</v>
      </c>
      <c r="I76" s="12" t="n">
        <f aca="false">SUMIFS(Data!$H$4:$H$2311,Data!$B$4:$B$2311,"UCO",Data!$C$4:$C$2311,"Singapore",Data!$E$4:$E$2311,2022,Data!$F$4:$F$2311,8)</f>
        <v>0.305792180763704</v>
      </c>
      <c r="J76" s="12" t="n">
        <f aca="false">SUMIFS(Data!$H$4:$H$2311,Data!$B$4:$B$2311,"UCO",Data!$C$4:$C$2311,"Singapore",Data!$E$4:$E$2311,2022,Data!$F$4:$F$2311,9)</f>
        <v>0</v>
      </c>
      <c r="K76" s="12" t="n">
        <f aca="false">SUMIFS(Data!$H$4:$H$2311,Data!$B$4:$B$2311,"UCO",Data!$C$4:$C$2311,"Singapore",Data!$E$4:$E$2311,2022,Data!$F$4:$F$2311,10)</f>
        <v>0</v>
      </c>
      <c r="L76" s="12" t="n">
        <f aca="false">SUMIFS(Data!$H$4:$H$2311,Data!$B$4:$B$2311,"UCO",Data!$C$4:$C$2311,"Singapore",Data!$E$4:$E$2311,2022,Data!$F$4:$F$2311,11)</f>
        <v>0</v>
      </c>
      <c r="M76" s="12" t="n">
        <f aca="false">SUMIFS(Data!$H$4:$H$2311,Data!$B$4:$B$2311,"UCO",Data!$C$4:$C$2311,"Singapore",Data!$E$4:$E$2311,2022,Data!$F$4:$F$2311,12)</f>
        <v>0</v>
      </c>
      <c r="N76" s="13" t="n">
        <f aca="false">SUM(B76:M76)</f>
        <v>0.305792180763704</v>
      </c>
    </row>
    <row r="77" customFormat="false" ht="15" hidden="false" customHeight="false" outlineLevel="0" collapsed="false">
      <c r="A77" s="11" t="s">
        <v>74</v>
      </c>
      <c r="B77" s="12" t="n">
        <f aca="false">SUMIFS(Data!$H$4:$H$2311,Data!$B$4:$B$2311,"UCO",Data!$C$4:$C$2311,"United Kingdom",Data!$E$4:$E$2311,2022,Data!$F$4:$F$2311,1)</f>
        <v>0</v>
      </c>
      <c r="C77" s="12" t="n">
        <f aca="false">SUMIFS(Data!$H$4:$H$2311,Data!$B$4:$B$2311,"UCO",Data!$C$4:$C$2311,"United Kingdom",Data!$E$4:$E$2311,2022,Data!$F$4:$F$2311,2)</f>
        <v>0.173988817316402</v>
      </c>
      <c r="D77" s="12" t="n">
        <f aca="false">SUMIFS(Data!$H$4:$H$2311,Data!$B$4:$B$2311,"UCO",Data!$C$4:$C$2311,"United Kingdom",Data!$E$4:$E$2311,2022,Data!$F$4:$F$2311,3)</f>
        <v>0.00013448197993285</v>
      </c>
      <c r="E77" s="12" t="n">
        <f aca="false">SUMIFS(Data!$H$4:$H$2311,Data!$B$4:$B$2311,"UCO",Data!$C$4:$C$2311,"United Kingdom",Data!$E$4:$E$2311,2022,Data!$F$4:$F$2311,4)</f>
        <v>0</v>
      </c>
      <c r="F77" s="12" t="n">
        <f aca="false">SUMIFS(Data!$H$4:$H$2311,Data!$B$4:$B$2311,"UCO",Data!$C$4:$C$2311,"United Kingdom",Data!$E$4:$E$2311,2022,Data!$F$4:$F$2311,5)</f>
        <v>0.0008024826343534</v>
      </c>
      <c r="G77" s="12" t="n">
        <f aca="false">SUMIFS(Data!$H$4:$H$2311,Data!$B$4:$B$2311,"UCO",Data!$C$4:$C$2311,"United Kingdom",Data!$E$4:$E$2311,2022,Data!$F$4:$F$2311,6)</f>
        <v>0.0007275254652105</v>
      </c>
      <c r="H77" s="12" t="n">
        <f aca="false">SUMIFS(Data!$H$4:$H$2311,Data!$B$4:$B$2311,"UCO",Data!$C$4:$C$2311,"United Kingdom",Data!$E$4:$E$2311,2022,Data!$F$4:$F$2311,7)</f>
        <v>0</v>
      </c>
      <c r="I77" s="12" t="n">
        <f aca="false">SUMIFS(Data!$H$4:$H$2311,Data!$B$4:$B$2311,"UCO",Data!$C$4:$C$2311,"United Kingdom",Data!$E$4:$E$2311,2022,Data!$F$4:$F$2311,8)</f>
        <v>1.76369809748E-005</v>
      </c>
      <c r="J77" s="12" t="n">
        <f aca="false">SUMIFS(Data!$H$4:$H$2311,Data!$B$4:$B$2311,"UCO",Data!$C$4:$C$2311,"United Kingdom",Data!$E$4:$E$2311,2022,Data!$F$4:$F$2311,9)</f>
        <v>0.00068563763539535</v>
      </c>
      <c r="K77" s="12" t="n">
        <f aca="false">SUMIFS(Data!$H$4:$H$2311,Data!$B$4:$B$2311,"UCO",Data!$C$4:$C$2311,"United Kingdom",Data!$E$4:$E$2311,2022,Data!$F$4:$F$2311,10)</f>
        <v>0.00529109429244</v>
      </c>
      <c r="L77" s="12" t="n">
        <f aca="false">SUMIFS(Data!$H$4:$H$2311,Data!$B$4:$B$2311,"UCO",Data!$C$4:$C$2311,"United Kingdom",Data!$E$4:$E$2311,2022,Data!$F$4:$F$2311,11)</f>
        <v>0.0077955455908616</v>
      </c>
      <c r="M77" s="12" t="n">
        <f aca="false">SUMIFS(Data!$H$4:$H$2311,Data!$B$4:$B$2311,"UCO",Data!$C$4:$C$2311,"United Kingdom",Data!$E$4:$E$2311,2022,Data!$F$4:$F$2311,12)</f>
        <v>0.00088184904874</v>
      </c>
      <c r="N77" s="13" t="n">
        <f aca="false">SUM(B77:M77)</f>
        <v>0.190325070944311</v>
      </c>
    </row>
    <row r="78" customFormat="false" ht="15" hidden="false" customHeight="false" outlineLevel="0" collapsed="false">
      <c r="A78" s="11" t="s">
        <v>112</v>
      </c>
      <c r="B78" s="12" t="n">
        <f aca="false">SUMIFS(Data!$H$4:$H$2311,Data!$B$4:$B$2311,"UCO",Data!$C$4:$C$2311,"Costa Rica",Data!$E$4:$E$2311,2022,Data!$F$4:$F$2311,1)</f>
        <v>0</v>
      </c>
      <c r="C78" s="12" t="n">
        <f aca="false">SUMIFS(Data!$H$4:$H$2311,Data!$B$4:$B$2311,"UCO",Data!$C$4:$C$2311,"Costa Rica",Data!$E$4:$E$2311,2022,Data!$F$4:$F$2311,2)</f>
        <v>0</v>
      </c>
      <c r="D78" s="12" t="n">
        <f aca="false">SUMIFS(Data!$H$4:$H$2311,Data!$B$4:$B$2311,"UCO",Data!$C$4:$C$2311,"Costa Rica",Data!$E$4:$E$2311,2022,Data!$F$4:$F$2311,3)</f>
        <v>0</v>
      </c>
      <c r="E78" s="12" t="n">
        <f aca="false">SUMIFS(Data!$H$4:$H$2311,Data!$B$4:$B$2311,"UCO",Data!$C$4:$C$2311,"Costa Rica",Data!$E$4:$E$2311,2022,Data!$F$4:$F$2311,4)</f>
        <v>0</v>
      </c>
      <c r="F78" s="12" t="n">
        <f aca="false">SUMIFS(Data!$H$4:$H$2311,Data!$B$4:$B$2311,"UCO",Data!$C$4:$C$2311,"Costa Rica",Data!$E$4:$E$2311,2022,Data!$F$4:$F$2311,5)</f>
        <v>0</v>
      </c>
      <c r="G78" s="12" t="n">
        <f aca="false">SUMIFS(Data!$H$4:$H$2311,Data!$B$4:$B$2311,"UCO",Data!$C$4:$C$2311,"Costa Rica",Data!$E$4:$E$2311,2022,Data!$F$4:$F$2311,6)</f>
        <v>0</v>
      </c>
      <c r="H78" s="12" t="n">
        <f aca="false">SUMIFS(Data!$H$4:$H$2311,Data!$B$4:$B$2311,"UCO",Data!$C$4:$C$2311,"Costa Rica",Data!$E$4:$E$2311,2022,Data!$F$4:$F$2311,7)</f>
        <v>0</v>
      </c>
      <c r="I78" s="12" t="n">
        <f aca="false">SUMIFS(Data!$H$4:$H$2311,Data!$B$4:$B$2311,"UCO",Data!$C$4:$C$2311,"Costa Rica",Data!$E$4:$E$2311,2022,Data!$F$4:$F$2311,8)</f>
        <v>0</v>
      </c>
      <c r="J78" s="12" t="n">
        <f aca="false">SUMIFS(Data!$H$4:$H$2311,Data!$B$4:$B$2311,"UCO",Data!$C$4:$C$2311,"Costa Rica",Data!$E$4:$E$2311,2022,Data!$F$4:$F$2311,9)</f>
        <v>0</v>
      </c>
      <c r="K78" s="12" t="n">
        <f aca="false">SUMIFS(Data!$H$4:$H$2311,Data!$B$4:$B$2311,"UCO",Data!$C$4:$C$2311,"Costa Rica",Data!$E$4:$E$2311,2022,Data!$F$4:$F$2311,10)</f>
        <v>0.135906166146565</v>
      </c>
      <c r="L78" s="12" t="n">
        <f aca="false">SUMIFS(Data!$H$4:$H$2311,Data!$B$4:$B$2311,"UCO",Data!$C$4:$C$2311,"Costa Rica",Data!$E$4:$E$2311,2022,Data!$F$4:$F$2311,11)</f>
        <v>0</v>
      </c>
      <c r="M78" s="12" t="n">
        <f aca="false">SUMIFS(Data!$H$4:$H$2311,Data!$B$4:$B$2311,"UCO",Data!$C$4:$C$2311,"Costa Rica",Data!$E$4:$E$2311,2022,Data!$F$4:$F$2311,12)</f>
        <v>0.0442137066812018</v>
      </c>
      <c r="N78" s="13" t="n">
        <f aca="false">SUM(B78:M78)</f>
        <v>0.180119872827767</v>
      </c>
    </row>
    <row r="79" customFormat="false" ht="15" hidden="false" customHeight="false" outlineLevel="0" collapsed="false">
      <c r="A79" s="11" t="s">
        <v>68</v>
      </c>
      <c r="B79" s="12" t="n">
        <f aca="false">SUMIFS(Data!$H$4:$H$2311,Data!$B$4:$B$2311,"UCO",Data!$C$4:$C$2311,"Argentina",Data!$E$4:$E$2311,2022,Data!$F$4:$F$2311,1)</f>
        <v>0</v>
      </c>
      <c r="C79" s="12" t="n">
        <f aca="false">SUMIFS(Data!$H$4:$H$2311,Data!$B$4:$B$2311,"UCO",Data!$C$4:$C$2311,"Argentina",Data!$E$4:$E$2311,2022,Data!$F$4:$F$2311,2)</f>
        <v>0</v>
      </c>
      <c r="D79" s="12" t="n">
        <f aca="false">SUMIFS(Data!$H$4:$H$2311,Data!$B$4:$B$2311,"UCO",Data!$C$4:$C$2311,"Argentina",Data!$E$4:$E$2311,2022,Data!$F$4:$F$2311,3)</f>
        <v>0.0396832071933</v>
      </c>
      <c r="E79" s="12" t="n">
        <f aca="false">SUMIFS(Data!$H$4:$H$2311,Data!$B$4:$B$2311,"UCO",Data!$C$4:$C$2311,"Argentina",Data!$E$4:$E$2311,2022,Data!$F$4:$F$2311,4)</f>
        <v>0</v>
      </c>
      <c r="F79" s="12" t="n">
        <f aca="false">SUMIFS(Data!$H$4:$H$2311,Data!$B$4:$B$2311,"UCO",Data!$C$4:$C$2311,"Argentina",Data!$E$4:$E$2311,2022,Data!$F$4:$F$2311,5)</f>
        <v>0.0396832071933</v>
      </c>
      <c r="G79" s="12" t="n">
        <f aca="false">SUMIFS(Data!$H$4:$H$2311,Data!$B$4:$B$2311,"UCO",Data!$C$4:$C$2311,"Argentina",Data!$E$4:$E$2311,2022,Data!$F$4:$F$2311,6)</f>
        <v>0</v>
      </c>
      <c r="H79" s="12" t="n">
        <f aca="false">SUMIFS(Data!$H$4:$H$2311,Data!$B$4:$B$2311,"UCO",Data!$C$4:$C$2311,"Argentina",Data!$E$4:$E$2311,2022,Data!$F$4:$F$2311,7)</f>
        <v>0.0793664143866</v>
      </c>
      <c r="I79" s="12" t="n">
        <f aca="false">SUMIFS(Data!$H$4:$H$2311,Data!$B$4:$B$2311,"UCO",Data!$C$4:$C$2311,"Argentina",Data!$E$4:$E$2311,2022,Data!$F$4:$F$2311,8)</f>
        <v>0</v>
      </c>
      <c r="J79" s="12" t="n">
        <f aca="false">SUMIFS(Data!$H$4:$H$2311,Data!$B$4:$B$2311,"UCO",Data!$C$4:$C$2311,"Argentina",Data!$E$4:$E$2311,2022,Data!$F$4:$F$2311,9)</f>
        <v>0</v>
      </c>
      <c r="K79" s="12" t="n">
        <f aca="false">SUMIFS(Data!$H$4:$H$2311,Data!$B$4:$B$2311,"UCO",Data!$C$4:$C$2311,"Argentina",Data!$E$4:$E$2311,2022,Data!$F$4:$F$2311,10)</f>
        <v>0</v>
      </c>
      <c r="L79" s="12" t="n">
        <f aca="false">SUMIFS(Data!$H$4:$H$2311,Data!$B$4:$B$2311,"UCO",Data!$C$4:$C$2311,"Argentina",Data!$E$4:$E$2311,2022,Data!$F$4:$F$2311,11)</f>
        <v>0</v>
      </c>
      <c r="M79" s="12" t="n">
        <f aca="false">SUMIFS(Data!$H$4:$H$2311,Data!$B$4:$B$2311,"UCO",Data!$C$4:$C$2311,"Argentina",Data!$E$4:$E$2311,2022,Data!$F$4:$F$2311,12)</f>
        <v>0</v>
      </c>
      <c r="N79" s="13" t="n">
        <f aca="false">SUM(B79:M79)</f>
        <v>0.1587328287732</v>
      </c>
    </row>
    <row r="80" customFormat="false" ht="15" hidden="false" customHeight="false" outlineLevel="0" collapsed="false">
      <c r="A80" s="11" t="s">
        <v>57</v>
      </c>
      <c r="B80" s="12" t="n">
        <f aca="false">SUMIFS(Data!$H$4:$H$2311,Data!$B$4:$B$2311,"UCO",Data!$C$4:$C$2311,"China",Data!$E$4:$E$2311,2022,Data!$F$4:$F$2311,1)</f>
        <v>0</v>
      </c>
      <c r="C80" s="12" t="n">
        <f aca="false">SUMIFS(Data!$H$4:$H$2311,Data!$B$4:$B$2311,"UCO",Data!$C$4:$C$2311,"China",Data!$E$4:$E$2311,2022,Data!$F$4:$F$2311,2)</f>
        <v>0</v>
      </c>
      <c r="D80" s="12" t="n">
        <f aca="false">SUMIFS(Data!$H$4:$H$2311,Data!$B$4:$B$2311,"UCO",Data!$C$4:$C$2311,"China",Data!$E$4:$E$2311,2022,Data!$F$4:$F$2311,3)</f>
        <v>0</v>
      </c>
      <c r="E80" s="12" t="n">
        <f aca="false">SUMIFS(Data!$H$4:$H$2311,Data!$B$4:$B$2311,"UCO",Data!$C$4:$C$2311,"China",Data!$E$4:$E$2311,2022,Data!$F$4:$F$2311,4)</f>
        <v>0.09038952749585</v>
      </c>
      <c r="F80" s="12" t="n">
        <f aca="false">SUMIFS(Data!$H$4:$H$2311,Data!$B$4:$B$2311,"UCO",Data!$C$4:$C$2311,"China",Data!$E$4:$E$2311,2022,Data!$F$4:$F$2311,5)</f>
        <v>5.511556554625E-005</v>
      </c>
      <c r="G80" s="12" t="n">
        <f aca="false">SUMIFS(Data!$H$4:$H$2311,Data!$B$4:$B$2311,"UCO",Data!$C$4:$C$2311,"China",Data!$E$4:$E$2311,2022,Data!$F$4:$F$2311,6)</f>
        <v>0</v>
      </c>
      <c r="H80" s="12" t="n">
        <f aca="false">SUMIFS(Data!$H$4:$H$2311,Data!$B$4:$B$2311,"UCO",Data!$C$4:$C$2311,"China",Data!$E$4:$E$2311,2022,Data!$F$4:$F$2311,7)</f>
        <v>0</v>
      </c>
      <c r="I80" s="12" t="n">
        <f aca="false">SUMIFS(Data!$H$4:$H$2311,Data!$B$4:$B$2311,"UCO",Data!$C$4:$C$2311,"China",Data!$E$4:$E$2311,2022,Data!$F$4:$F$2311,8)</f>
        <v>0</v>
      </c>
      <c r="J80" s="12" t="n">
        <f aca="false">SUMIFS(Data!$H$4:$H$2311,Data!$B$4:$B$2311,"UCO",Data!$C$4:$C$2311,"China",Data!$E$4:$E$2311,2022,Data!$F$4:$F$2311,9)</f>
        <v>0</v>
      </c>
      <c r="K80" s="12" t="n">
        <f aca="false">SUMIFS(Data!$H$4:$H$2311,Data!$B$4:$B$2311,"UCO",Data!$C$4:$C$2311,"China",Data!$E$4:$E$2311,2022,Data!$F$4:$F$2311,10)</f>
        <v>0</v>
      </c>
      <c r="L80" s="12" t="n">
        <f aca="false">SUMIFS(Data!$H$4:$H$2311,Data!$B$4:$B$2311,"UCO",Data!$C$4:$C$2311,"China",Data!$E$4:$E$2311,2022,Data!$F$4:$F$2311,11)</f>
        <v>0.0127316956411838</v>
      </c>
      <c r="M80" s="12" t="n">
        <f aca="false">SUMIFS(Data!$H$4:$H$2311,Data!$B$4:$B$2311,"UCO",Data!$C$4:$C$2311,"China",Data!$E$4:$E$2311,2022,Data!$F$4:$F$2311,12)</f>
        <v>0</v>
      </c>
      <c r="N80" s="13" t="n">
        <f aca="false">SUM(B80:M80)</f>
        <v>0.10317633870258</v>
      </c>
    </row>
    <row r="81" customFormat="false" ht="15" hidden="false" customHeight="false" outlineLevel="0" collapsed="false">
      <c r="A81" s="11" t="s">
        <v>79</v>
      </c>
      <c r="B81" s="12" t="n">
        <f aca="false">SUMIFS(Data!$H$4:$H$2311,Data!$B$4:$B$2311,"UCO",Data!$C$4:$C$2311,"Italy",Data!$E$4:$E$2311,2022,Data!$F$4:$F$2311,1)</f>
        <v>0.0006702052770424</v>
      </c>
      <c r="C81" s="12" t="n">
        <f aca="false">SUMIFS(Data!$H$4:$H$2311,Data!$B$4:$B$2311,"UCO",Data!$C$4:$C$2311,"Italy",Data!$E$4:$E$2311,2022,Data!$F$4:$F$2311,2)</f>
        <v>0.007142977294794</v>
      </c>
      <c r="D81" s="12" t="n">
        <f aca="false">SUMIFS(Data!$H$4:$H$2311,Data!$B$4:$B$2311,"UCO",Data!$C$4:$C$2311,"Italy",Data!$E$4:$E$2311,2022,Data!$F$4:$F$2311,3)</f>
        <v>0</v>
      </c>
      <c r="E81" s="12" t="n">
        <f aca="false">SUMIFS(Data!$H$4:$H$2311,Data!$B$4:$B$2311,"UCO",Data!$C$4:$C$2311,"Italy",Data!$E$4:$E$2311,2022,Data!$F$4:$F$2311,4)</f>
        <v>0</v>
      </c>
      <c r="F81" s="12" t="n">
        <f aca="false">SUMIFS(Data!$H$4:$H$2311,Data!$B$4:$B$2311,"UCO",Data!$C$4:$C$2311,"Italy",Data!$E$4:$E$2311,2022,Data!$F$4:$F$2311,5)</f>
        <v>0</v>
      </c>
      <c r="G81" s="12" t="n">
        <f aca="false">SUMIFS(Data!$H$4:$H$2311,Data!$B$4:$B$2311,"UCO",Data!$C$4:$C$2311,"Italy",Data!$E$4:$E$2311,2022,Data!$F$4:$F$2311,6)</f>
        <v>0.000220462262185</v>
      </c>
      <c r="H81" s="12" t="n">
        <f aca="false">SUMIFS(Data!$H$4:$H$2311,Data!$B$4:$B$2311,"UCO",Data!$C$4:$C$2311,"Italy",Data!$E$4:$E$2311,2022,Data!$F$4:$F$2311,7)</f>
        <v>0.007804364081349</v>
      </c>
      <c r="I81" s="12" t="n">
        <f aca="false">SUMIFS(Data!$H$4:$H$2311,Data!$B$4:$B$2311,"UCO",Data!$C$4:$C$2311,"Italy",Data!$E$4:$E$2311,2022,Data!$F$4:$F$2311,8)</f>
        <v>0.007142977294794</v>
      </c>
      <c r="J81" s="12" t="n">
        <f aca="false">SUMIFS(Data!$H$4:$H$2311,Data!$B$4:$B$2311,"UCO",Data!$C$4:$C$2311,"Italy",Data!$E$4:$E$2311,2022,Data!$F$4:$F$2311,9)</f>
        <v>0</v>
      </c>
      <c r="K81" s="12" t="n">
        <f aca="false">SUMIFS(Data!$H$4:$H$2311,Data!$B$4:$B$2311,"UCO",Data!$C$4:$C$2311,"Italy",Data!$E$4:$E$2311,2022,Data!$F$4:$F$2311,10)</f>
        <v>0</v>
      </c>
      <c r="L81" s="12" t="n">
        <f aca="false">SUMIFS(Data!$H$4:$H$2311,Data!$B$4:$B$2311,"UCO",Data!$C$4:$C$2311,"Italy",Data!$E$4:$E$2311,2022,Data!$F$4:$F$2311,11)</f>
        <v>0.000220462262185</v>
      </c>
      <c r="M81" s="12" t="n">
        <f aca="false">SUMIFS(Data!$H$4:$H$2311,Data!$B$4:$B$2311,"UCO",Data!$C$4:$C$2311,"Italy",Data!$E$4:$E$2311,2022,Data!$F$4:$F$2311,12)</f>
        <v>0.007451624461853</v>
      </c>
      <c r="N81" s="13" t="n">
        <f aca="false">SUM(B81:M81)</f>
        <v>0.0306530729342024</v>
      </c>
    </row>
    <row r="82" customFormat="false" ht="15" hidden="false" customHeight="false" outlineLevel="0" collapsed="false">
      <c r="A82" s="11" t="s">
        <v>113</v>
      </c>
      <c r="B82" s="12" t="n">
        <f aca="false">SUMIFS(Data!$H$4:$H$2311,Data!$B$4:$B$2311,"UCO",Data!$C$4:$C$2311,"Sri Lanka",Data!$E$4:$E$2311,2022,Data!$F$4:$F$2311,1)</f>
        <v>0</v>
      </c>
      <c r="C82" s="12" t="n">
        <f aca="false">SUMIFS(Data!$H$4:$H$2311,Data!$B$4:$B$2311,"UCO",Data!$C$4:$C$2311,"Sri Lanka",Data!$E$4:$E$2311,2022,Data!$F$4:$F$2311,2)</f>
        <v>0</v>
      </c>
      <c r="D82" s="12" t="n">
        <f aca="false">SUMIFS(Data!$H$4:$H$2311,Data!$B$4:$B$2311,"UCO",Data!$C$4:$C$2311,"Sri Lanka",Data!$E$4:$E$2311,2022,Data!$F$4:$F$2311,3)</f>
        <v>0</v>
      </c>
      <c r="E82" s="12" t="n">
        <f aca="false">SUMIFS(Data!$H$4:$H$2311,Data!$B$4:$B$2311,"UCO",Data!$C$4:$C$2311,"Sri Lanka",Data!$E$4:$E$2311,2022,Data!$F$4:$F$2311,4)</f>
        <v>0</v>
      </c>
      <c r="F82" s="12" t="n">
        <f aca="false">SUMIFS(Data!$H$4:$H$2311,Data!$B$4:$B$2311,"UCO",Data!$C$4:$C$2311,"Sri Lanka",Data!$E$4:$E$2311,2022,Data!$F$4:$F$2311,5)</f>
        <v>0</v>
      </c>
      <c r="G82" s="12" t="n">
        <f aca="false">SUMIFS(Data!$H$4:$H$2311,Data!$B$4:$B$2311,"UCO",Data!$C$4:$C$2311,"Sri Lanka",Data!$E$4:$E$2311,2022,Data!$F$4:$F$2311,6)</f>
        <v>0</v>
      </c>
      <c r="H82" s="12" t="n">
        <f aca="false">SUMIFS(Data!$H$4:$H$2311,Data!$B$4:$B$2311,"UCO",Data!$C$4:$C$2311,"Sri Lanka",Data!$E$4:$E$2311,2022,Data!$F$4:$F$2311,7)</f>
        <v>0</v>
      </c>
      <c r="I82" s="12" t="n">
        <f aca="false">SUMIFS(Data!$H$4:$H$2311,Data!$B$4:$B$2311,"UCO",Data!$C$4:$C$2311,"Sri Lanka",Data!$E$4:$E$2311,2022,Data!$F$4:$F$2311,8)</f>
        <v>0</v>
      </c>
      <c r="J82" s="12" t="n">
        <f aca="false">SUMIFS(Data!$H$4:$H$2311,Data!$B$4:$B$2311,"UCO",Data!$C$4:$C$2311,"Sri Lanka",Data!$E$4:$E$2311,2022,Data!$F$4:$F$2311,9)</f>
        <v>0</v>
      </c>
      <c r="K82" s="12" t="n">
        <f aca="false">SUMIFS(Data!$H$4:$H$2311,Data!$B$4:$B$2311,"UCO",Data!$C$4:$C$2311,"Sri Lanka",Data!$E$4:$E$2311,2022,Data!$F$4:$F$2311,10)</f>
        <v>0.0296036725662018</v>
      </c>
      <c r="L82" s="12" t="n">
        <f aca="false">SUMIFS(Data!$H$4:$H$2311,Data!$B$4:$B$2311,"UCO",Data!$C$4:$C$2311,"Sri Lanka",Data!$E$4:$E$2311,2022,Data!$F$4:$F$2311,11)</f>
        <v>0</v>
      </c>
      <c r="M82" s="12" t="n">
        <f aca="false">SUMIFS(Data!$H$4:$H$2311,Data!$B$4:$B$2311,"UCO",Data!$C$4:$C$2311,"Sri Lanka",Data!$E$4:$E$2311,2022,Data!$F$4:$F$2311,12)</f>
        <v>0</v>
      </c>
      <c r="N82" s="13" t="n">
        <f aca="false">SUM(B82:M82)</f>
        <v>0.0296036725662018</v>
      </c>
    </row>
    <row r="83" customFormat="false" ht="15" hidden="false" customHeight="false" outlineLevel="0" collapsed="false">
      <c r="A83" s="11" t="s">
        <v>70</v>
      </c>
      <c r="B83" s="12" t="n">
        <f aca="false">SUMIFS(Data!$H$4:$H$2311,Data!$B$4:$B$2311,"UCO",Data!$C$4:$C$2311,"Sweden",Data!$E$4:$E$2311,2022,Data!$F$4:$F$2311,1)</f>
        <v>0</v>
      </c>
      <c r="C83" s="12" t="n">
        <f aca="false">SUMIFS(Data!$H$4:$H$2311,Data!$B$4:$B$2311,"UCO",Data!$C$4:$C$2311,"Sweden",Data!$E$4:$E$2311,2022,Data!$F$4:$F$2311,2)</f>
        <v>0</v>
      </c>
      <c r="D83" s="12" t="n">
        <f aca="false">SUMIFS(Data!$H$4:$H$2311,Data!$B$4:$B$2311,"UCO",Data!$C$4:$C$2311,"Sweden",Data!$E$4:$E$2311,2022,Data!$F$4:$F$2311,3)</f>
        <v>0</v>
      </c>
      <c r="E83" s="12" t="n">
        <f aca="false">SUMIFS(Data!$H$4:$H$2311,Data!$B$4:$B$2311,"UCO",Data!$C$4:$C$2311,"Sweden",Data!$E$4:$E$2311,2022,Data!$F$4:$F$2311,4)</f>
        <v>0</v>
      </c>
      <c r="F83" s="12" t="n">
        <f aca="false">SUMIFS(Data!$H$4:$H$2311,Data!$B$4:$B$2311,"UCO",Data!$C$4:$C$2311,"Sweden",Data!$E$4:$E$2311,2022,Data!$F$4:$F$2311,5)</f>
        <v>0</v>
      </c>
      <c r="G83" s="12" t="n">
        <f aca="false">SUMIFS(Data!$H$4:$H$2311,Data!$B$4:$B$2311,"UCO",Data!$C$4:$C$2311,"Sweden",Data!$E$4:$E$2311,2022,Data!$F$4:$F$2311,6)</f>
        <v>0.0057143818358352</v>
      </c>
      <c r="H83" s="12" t="n">
        <f aca="false">SUMIFS(Data!$H$4:$H$2311,Data!$B$4:$B$2311,"UCO",Data!$C$4:$C$2311,"Sweden",Data!$E$4:$E$2311,2022,Data!$F$4:$F$2311,7)</f>
        <v>0.014285954589588</v>
      </c>
      <c r="I83" s="12" t="n">
        <f aca="false">SUMIFS(Data!$H$4:$H$2311,Data!$B$4:$B$2311,"UCO",Data!$C$4:$C$2311,"Sweden",Data!$E$4:$E$2311,2022,Data!$F$4:$F$2311,8)</f>
        <v>0</v>
      </c>
      <c r="J83" s="12" t="n">
        <f aca="false">SUMIFS(Data!$H$4:$H$2311,Data!$B$4:$B$2311,"UCO",Data!$C$4:$C$2311,"Sweden",Data!$E$4:$E$2311,2022,Data!$F$4:$F$2311,9)</f>
        <v>0.0057143818358352</v>
      </c>
      <c r="K83" s="12" t="n">
        <f aca="false">SUMIFS(Data!$H$4:$H$2311,Data!$B$4:$B$2311,"UCO",Data!$C$4:$C$2311,"Sweden",Data!$E$4:$E$2311,2022,Data!$F$4:$F$2311,10)</f>
        <v>0</v>
      </c>
      <c r="L83" s="12" t="n">
        <f aca="false">SUMIFS(Data!$H$4:$H$2311,Data!$B$4:$B$2311,"UCO",Data!$C$4:$C$2311,"Sweden",Data!$E$4:$E$2311,2022,Data!$F$4:$F$2311,11)</f>
        <v>0</v>
      </c>
      <c r="M83" s="12" t="n">
        <f aca="false">SUMIFS(Data!$H$4:$H$2311,Data!$B$4:$B$2311,"UCO",Data!$C$4:$C$2311,"Sweden",Data!$E$4:$E$2311,2022,Data!$F$4:$F$2311,12)</f>
        <v>0</v>
      </c>
      <c r="N83" s="13" t="n">
        <f aca="false">SUM(B83:M83)</f>
        <v>0.0257147182612584</v>
      </c>
    </row>
    <row r="84" customFormat="false" ht="15" hidden="false" customHeight="false" outlineLevel="0" collapsed="false">
      <c r="A84" s="11" t="s">
        <v>69</v>
      </c>
      <c r="B84" s="12" t="n">
        <f aca="false">SUMIFS(Data!$H$4:$H$2311,Data!$B$4:$B$2311,"UCO",Data!$C$4:$C$2311,"Spain",Data!$E$4:$E$2311,2022,Data!$F$4:$F$2311,1)</f>
        <v>0</v>
      </c>
      <c r="C84" s="12" t="n">
        <f aca="false">SUMIFS(Data!$H$4:$H$2311,Data!$B$4:$B$2311,"UCO",Data!$C$4:$C$2311,"Spain",Data!$E$4:$E$2311,2022,Data!$F$4:$F$2311,2)</f>
        <v>0</v>
      </c>
      <c r="D84" s="12" t="n">
        <f aca="false">SUMIFS(Data!$H$4:$H$2311,Data!$B$4:$B$2311,"UCO",Data!$C$4:$C$2311,"Spain",Data!$E$4:$E$2311,2022,Data!$F$4:$F$2311,3)</f>
        <v>0</v>
      </c>
      <c r="E84" s="12" t="n">
        <f aca="false">SUMIFS(Data!$H$4:$H$2311,Data!$B$4:$B$2311,"UCO",Data!$C$4:$C$2311,"Spain",Data!$E$4:$E$2311,2022,Data!$F$4:$F$2311,4)</f>
        <v>0</v>
      </c>
      <c r="F84" s="12" t="n">
        <f aca="false">SUMIFS(Data!$H$4:$H$2311,Data!$B$4:$B$2311,"UCO",Data!$C$4:$C$2311,"Spain",Data!$E$4:$E$2311,2022,Data!$F$4:$F$2311,5)</f>
        <v>0.00088184904874</v>
      </c>
      <c r="G84" s="12" t="n">
        <f aca="false">SUMIFS(Data!$H$4:$H$2311,Data!$B$4:$B$2311,"UCO",Data!$C$4:$C$2311,"Spain",Data!$E$4:$E$2311,2022,Data!$F$4:$F$2311,6)</f>
        <v>0.00573201881681</v>
      </c>
      <c r="H84" s="12" t="n">
        <f aca="false">SUMIFS(Data!$H$4:$H$2311,Data!$B$4:$B$2311,"UCO",Data!$C$4:$C$2311,"Spain",Data!$E$4:$E$2311,2022,Data!$F$4:$F$2311,7)</f>
        <v>0</v>
      </c>
      <c r="I84" s="12" t="n">
        <f aca="false">SUMIFS(Data!$H$4:$H$2311,Data!$B$4:$B$2311,"UCO",Data!$C$4:$C$2311,"Spain",Data!$E$4:$E$2311,2022,Data!$F$4:$F$2311,8)</f>
        <v>0.00176369809748</v>
      </c>
      <c r="J84" s="12" t="n">
        <f aca="false">SUMIFS(Data!$H$4:$H$2311,Data!$B$4:$B$2311,"UCO",Data!$C$4:$C$2311,"Spain",Data!$E$4:$E$2311,2022,Data!$F$4:$F$2311,9)</f>
        <v>0</v>
      </c>
      <c r="K84" s="12" t="n">
        <f aca="false">SUMIFS(Data!$H$4:$H$2311,Data!$B$4:$B$2311,"UCO",Data!$C$4:$C$2311,"Spain",Data!$E$4:$E$2311,2022,Data!$F$4:$F$2311,10)</f>
        <v>0</v>
      </c>
      <c r="L84" s="12" t="n">
        <f aca="false">SUMIFS(Data!$H$4:$H$2311,Data!$B$4:$B$2311,"UCO",Data!$C$4:$C$2311,"Spain",Data!$E$4:$E$2311,2022,Data!$F$4:$F$2311,11)</f>
        <v>0.0026764118629259</v>
      </c>
      <c r="M84" s="12" t="n">
        <f aca="false">SUMIFS(Data!$H$4:$H$2311,Data!$B$4:$B$2311,"UCO",Data!$C$4:$C$2311,"Spain",Data!$E$4:$E$2311,2022,Data!$F$4:$F$2311,12)</f>
        <v>0.00088184904874</v>
      </c>
      <c r="N84" s="13" t="n">
        <f aca="false">SUM(B84:M84)</f>
        <v>0.0119358268746959</v>
      </c>
    </row>
    <row r="85" customFormat="false" ht="15" hidden="false" customHeight="false" outlineLevel="0" collapsed="false">
      <c r="A85" s="11" t="s">
        <v>71</v>
      </c>
      <c r="B85" s="12" t="n">
        <f aca="false">SUMIFS(Data!$H$4:$H$2311,Data!$B$4:$B$2311,"UCO",Data!$C$4:$C$2311,"Ecuador",Data!$E$4:$E$2311,2022,Data!$F$4:$F$2311,1)</f>
        <v>0</v>
      </c>
      <c r="C85" s="12" t="n">
        <f aca="false">SUMIFS(Data!$H$4:$H$2311,Data!$B$4:$B$2311,"UCO",Data!$C$4:$C$2311,"Ecuador",Data!$E$4:$E$2311,2022,Data!$F$4:$F$2311,2)</f>
        <v>0.00267861648554775</v>
      </c>
      <c r="D85" s="12" t="n">
        <f aca="false">SUMIFS(Data!$H$4:$H$2311,Data!$B$4:$B$2311,"UCO",Data!$C$4:$C$2311,"Ecuador",Data!$E$4:$E$2311,2022,Data!$F$4:$F$2311,3)</f>
        <v>0</v>
      </c>
      <c r="E85" s="12" t="n">
        <f aca="false">SUMIFS(Data!$H$4:$H$2311,Data!$B$4:$B$2311,"UCO",Data!$C$4:$C$2311,"Ecuador",Data!$E$4:$E$2311,2022,Data!$F$4:$F$2311,4)</f>
        <v>0</v>
      </c>
      <c r="F85" s="12" t="n">
        <f aca="false">SUMIFS(Data!$H$4:$H$2311,Data!$B$4:$B$2311,"UCO",Data!$C$4:$C$2311,"Ecuador",Data!$E$4:$E$2311,2022,Data!$F$4:$F$2311,5)</f>
        <v>0.00267861648554775</v>
      </c>
      <c r="G85" s="12" t="n">
        <f aca="false">SUMIFS(Data!$H$4:$H$2311,Data!$B$4:$B$2311,"UCO",Data!$C$4:$C$2311,"Ecuador",Data!$E$4:$E$2311,2022,Data!$F$4:$F$2311,6)</f>
        <v>0</v>
      </c>
      <c r="H85" s="12" t="n">
        <f aca="false">SUMIFS(Data!$H$4:$H$2311,Data!$B$4:$B$2311,"UCO",Data!$C$4:$C$2311,"Ecuador",Data!$E$4:$E$2311,2022,Data!$F$4:$F$2311,7)</f>
        <v>0.00267861648554775</v>
      </c>
      <c r="I85" s="12" t="n">
        <f aca="false">SUMIFS(Data!$H$4:$H$2311,Data!$B$4:$B$2311,"UCO",Data!$C$4:$C$2311,"Ecuador",Data!$E$4:$E$2311,2022,Data!$F$4:$F$2311,8)</f>
        <v>0</v>
      </c>
      <c r="J85" s="12" t="n">
        <f aca="false">SUMIFS(Data!$H$4:$H$2311,Data!$B$4:$B$2311,"UCO",Data!$C$4:$C$2311,"Ecuador",Data!$E$4:$E$2311,2022,Data!$F$4:$F$2311,9)</f>
        <v>0</v>
      </c>
      <c r="K85" s="12" t="n">
        <f aca="false">SUMIFS(Data!$H$4:$H$2311,Data!$B$4:$B$2311,"UCO",Data!$C$4:$C$2311,"Ecuador",Data!$E$4:$E$2311,2022,Data!$F$4:$F$2311,10)</f>
        <v>0.00267861648554775</v>
      </c>
      <c r="L85" s="12" t="n">
        <f aca="false">SUMIFS(Data!$H$4:$H$2311,Data!$B$4:$B$2311,"UCO",Data!$C$4:$C$2311,"Ecuador",Data!$E$4:$E$2311,2022,Data!$F$4:$F$2311,11)</f>
        <v>0</v>
      </c>
      <c r="M85" s="12" t="n">
        <f aca="false">SUMIFS(Data!$H$4:$H$2311,Data!$B$4:$B$2311,"UCO",Data!$C$4:$C$2311,"Ecuador",Data!$E$4:$E$2311,2022,Data!$F$4:$F$2311,12)</f>
        <v>0</v>
      </c>
      <c r="N85" s="13" t="n">
        <f aca="false">SUM(B85:M85)</f>
        <v>0.010714465942191</v>
      </c>
    </row>
    <row r="86" customFormat="false" ht="15" hidden="false" customHeight="false" outlineLevel="0" collapsed="false">
      <c r="A86" s="11" t="s">
        <v>77</v>
      </c>
      <c r="B86" s="12" t="n">
        <f aca="false">SUMIFS(Data!$H$4:$H$2311,Data!$B$4:$B$2311,"UCO",Data!$C$4:$C$2311,"Portugal",Data!$E$4:$E$2311,2022,Data!$F$4:$F$2311,1)</f>
        <v>0.00220462262185</v>
      </c>
      <c r="C86" s="12" t="n">
        <f aca="false">SUMIFS(Data!$H$4:$H$2311,Data!$B$4:$B$2311,"UCO",Data!$C$4:$C$2311,"Portugal",Data!$E$4:$E$2311,2022,Data!$F$4:$F$2311,2)</f>
        <v>0</v>
      </c>
      <c r="D86" s="12" t="n">
        <f aca="false">SUMIFS(Data!$H$4:$H$2311,Data!$B$4:$B$2311,"UCO",Data!$C$4:$C$2311,"Portugal",Data!$E$4:$E$2311,2022,Data!$F$4:$F$2311,3)</f>
        <v>0</v>
      </c>
      <c r="E86" s="12" t="n">
        <f aca="false">SUMIFS(Data!$H$4:$H$2311,Data!$B$4:$B$2311,"UCO",Data!$C$4:$C$2311,"Portugal",Data!$E$4:$E$2311,2022,Data!$F$4:$F$2311,4)</f>
        <v>0</v>
      </c>
      <c r="F86" s="12" t="n">
        <f aca="false">SUMIFS(Data!$H$4:$H$2311,Data!$B$4:$B$2311,"UCO",Data!$C$4:$C$2311,"Portugal",Data!$E$4:$E$2311,2022,Data!$F$4:$F$2311,5)</f>
        <v>0</v>
      </c>
      <c r="G86" s="12" t="n">
        <f aca="false">SUMIFS(Data!$H$4:$H$2311,Data!$B$4:$B$2311,"UCO",Data!$C$4:$C$2311,"Portugal",Data!$E$4:$E$2311,2022,Data!$F$4:$F$2311,6)</f>
        <v>0</v>
      </c>
      <c r="H86" s="12" t="n">
        <f aca="false">SUMIFS(Data!$H$4:$H$2311,Data!$B$4:$B$2311,"UCO",Data!$C$4:$C$2311,"Portugal",Data!$E$4:$E$2311,2022,Data!$F$4:$F$2311,7)</f>
        <v>0</v>
      </c>
      <c r="I86" s="12" t="n">
        <f aca="false">SUMIFS(Data!$H$4:$H$2311,Data!$B$4:$B$2311,"UCO",Data!$C$4:$C$2311,"Portugal",Data!$E$4:$E$2311,2022,Data!$F$4:$F$2311,8)</f>
        <v>0</v>
      </c>
      <c r="J86" s="12" t="n">
        <f aca="false">SUMIFS(Data!$H$4:$H$2311,Data!$B$4:$B$2311,"UCO",Data!$C$4:$C$2311,"Portugal",Data!$E$4:$E$2311,2022,Data!$F$4:$F$2311,9)</f>
        <v>0</v>
      </c>
      <c r="K86" s="12" t="n">
        <f aca="false">SUMIFS(Data!$H$4:$H$2311,Data!$B$4:$B$2311,"UCO",Data!$C$4:$C$2311,"Portugal",Data!$E$4:$E$2311,2022,Data!$F$4:$F$2311,10)</f>
        <v>0.0044092452437</v>
      </c>
      <c r="L86" s="12" t="n">
        <f aca="false">SUMIFS(Data!$H$4:$H$2311,Data!$B$4:$B$2311,"UCO",Data!$C$4:$C$2311,"Portugal",Data!$E$4:$E$2311,2022,Data!$F$4:$F$2311,11)</f>
        <v>0</v>
      </c>
      <c r="M86" s="12" t="n">
        <f aca="false">SUMIFS(Data!$H$4:$H$2311,Data!$B$4:$B$2311,"UCO",Data!$C$4:$C$2311,"Portugal",Data!$E$4:$E$2311,2022,Data!$F$4:$F$2311,12)</f>
        <v>0</v>
      </c>
      <c r="N86" s="13" t="n">
        <f aca="false">SUM(B86:M86)</f>
        <v>0.00661386786555</v>
      </c>
    </row>
    <row r="87" customFormat="false" ht="15" hidden="false" customHeight="false" outlineLevel="0" collapsed="false">
      <c r="A87" s="11" t="s">
        <v>73</v>
      </c>
      <c r="B87" s="12" t="n">
        <f aca="false">SUMIFS(Data!$H$4:$H$2311,Data!$B$4:$B$2311,"UCO",Data!$C$4:$C$2311,"Belgium",Data!$E$4:$E$2311,2022,Data!$F$4:$F$2311,1)</f>
        <v>0</v>
      </c>
      <c r="C87" s="12" t="n">
        <f aca="false">SUMIFS(Data!$H$4:$H$2311,Data!$B$4:$B$2311,"UCO",Data!$C$4:$C$2311,"Belgium",Data!$E$4:$E$2311,2022,Data!$F$4:$F$2311,2)</f>
        <v>0</v>
      </c>
      <c r="D87" s="12" t="n">
        <f aca="false">SUMIFS(Data!$H$4:$H$2311,Data!$B$4:$B$2311,"UCO",Data!$C$4:$C$2311,"Belgium",Data!$E$4:$E$2311,2022,Data!$F$4:$F$2311,3)</f>
        <v>0</v>
      </c>
      <c r="E87" s="12" t="n">
        <f aca="false">SUMIFS(Data!$H$4:$H$2311,Data!$B$4:$B$2311,"UCO",Data!$C$4:$C$2311,"Belgium",Data!$E$4:$E$2311,2022,Data!$F$4:$F$2311,4)</f>
        <v>0</v>
      </c>
      <c r="F87" s="12" t="n">
        <f aca="false">SUMIFS(Data!$H$4:$H$2311,Data!$B$4:$B$2311,"UCO",Data!$C$4:$C$2311,"Belgium",Data!$E$4:$E$2311,2022,Data!$F$4:$F$2311,5)</f>
        <v>0.0007760271628912</v>
      </c>
      <c r="G87" s="12" t="n">
        <f aca="false">SUMIFS(Data!$H$4:$H$2311,Data!$B$4:$B$2311,"UCO",Data!$C$4:$C$2311,"Belgium",Data!$E$4:$E$2311,2022,Data!$F$4:$F$2311,6)</f>
        <v>0</v>
      </c>
      <c r="H87" s="12" t="n">
        <f aca="false">SUMIFS(Data!$H$4:$H$2311,Data!$B$4:$B$2311,"UCO",Data!$C$4:$C$2311,"Belgium",Data!$E$4:$E$2311,2022,Data!$F$4:$F$2311,7)</f>
        <v>0</v>
      </c>
      <c r="I87" s="12" t="n">
        <f aca="false">SUMIFS(Data!$H$4:$H$2311,Data!$B$4:$B$2311,"UCO",Data!$C$4:$C$2311,"Belgium",Data!$E$4:$E$2311,2022,Data!$F$4:$F$2311,8)</f>
        <v>0</v>
      </c>
      <c r="J87" s="12" t="n">
        <f aca="false">SUMIFS(Data!$H$4:$H$2311,Data!$B$4:$B$2311,"UCO",Data!$C$4:$C$2311,"Belgium",Data!$E$4:$E$2311,2022,Data!$F$4:$F$2311,9)</f>
        <v>0</v>
      </c>
      <c r="K87" s="12" t="n">
        <f aca="false">SUMIFS(Data!$H$4:$H$2311,Data!$B$4:$B$2311,"UCO",Data!$C$4:$C$2311,"Belgium",Data!$E$4:$E$2311,2022,Data!$F$4:$F$2311,10)</f>
        <v>0.00076941329502565</v>
      </c>
      <c r="L87" s="12" t="n">
        <f aca="false">SUMIFS(Data!$H$4:$H$2311,Data!$B$4:$B$2311,"UCO",Data!$C$4:$C$2311,"Belgium",Data!$E$4:$E$2311,2022,Data!$F$4:$F$2311,11)</f>
        <v>0</v>
      </c>
      <c r="M87" s="12" t="n">
        <f aca="false">SUMIFS(Data!$H$4:$H$2311,Data!$B$4:$B$2311,"UCO",Data!$C$4:$C$2311,"Belgium",Data!$E$4:$E$2311,2022,Data!$F$4:$F$2311,12)</f>
        <v>0</v>
      </c>
      <c r="N87" s="13" t="n">
        <f aca="false">SUM(B87:M87)</f>
        <v>0.00154544045791685</v>
      </c>
    </row>
    <row r="88" customFormat="false" ht="15" hidden="false" customHeight="false" outlineLevel="0" collapsed="false">
      <c r="A88" s="11" t="s">
        <v>61</v>
      </c>
      <c r="B88" s="12" t="n">
        <f aca="false">SUMIFS(Data!$H$4:$H$2311,Data!$B$4:$B$2311,"UCO",Data!$C$4:$C$2311,"Netherlands",Data!$E$4:$E$2311,2022,Data!$F$4:$F$2311,1)</f>
        <v>0</v>
      </c>
      <c r="C88" s="12" t="n">
        <f aca="false">SUMIFS(Data!$H$4:$H$2311,Data!$B$4:$B$2311,"UCO",Data!$C$4:$C$2311,"Netherlands",Data!$E$4:$E$2311,2022,Data!$F$4:$F$2311,2)</f>
        <v>0</v>
      </c>
      <c r="D88" s="12" t="n">
        <f aca="false">SUMIFS(Data!$H$4:$H$2311,Data!$B$4:$B$2311,"UCO",Data!$C$4:$C$2311,"Netherlands",Data!$E$4:$E$2311,2022,Data!$F$4:$F$2311,3)</f>
        <v>0</v>
      </c>
      <c r="E88" s="12" t="n">
        <f aca="false">SUMIFS(Data!$H$4:$H$2311,Data!$B$4:$B$2311,"UCO",Data!$C$4:$C$2311,"Netherlands",Data!$E$4:$E$2311,2022,Data!$F$4:$F$2311,4)</f>
        <v>0</v>
      </c>
      <c r="F88" s="12" t="n">
        <f aca="false">SUMIFS(Data!$H$4:$H$2311,Data!$B$4:$B$2311,"UCO",Data!$C$4:$C$2311,"Netherlands",Data!$E$4:$E$2311,2022,Data!$F$4:$F$2311,5)</f>
        <v>0</v>
      </c>
      <c r="G88" s="12" t="n">
        <f aca="false">SUMIFS(Data!$H$4:$H$2311,Data!$B$4:$B$2311,"UCO",Data!$C$4:$C$2311,"Netherlands",Data!$E$4:$E$2311,2022,Data!$F$4:$F$2311,6)</f>
        <v>0</v>
      </c>
      <c r="H88" s="12" t="n">
        <f aca="false">SUMIFS(Data!$H$4:$H$2311,Data!$B$4:$B$2311,"UCO",Data!$C$4:$C$2311,"Netherlands",Data!$E$4:$E$2311,2022,Data!$F$4:$F$2311,7)</f>
        <v>0</v>
      </c>
      <c r="I88" s="12" t="n">
        <f aca="false">SUMIFS(Data!$H$4:$H$2311,Data!$B$4:$B$2311,"UCO",Data!$C$4:$C$2311,"Netherlands",Data!$E$4:$E$2311,2022,Data!$F$4:$F$2311,8)</f>
        <v>0</v>
      </c>
      <c r="J88" s="12" t="n">
        <f aca="false">SUMIFS(Data!$H$4:$H$2311,Data!$B$4:$B$2311,"UCO",Data!$C$4:$C$2311,"Netherlands",Data!$E$4:$E$2311,2022,Data!$F$4:$F$2311,9)</f>
        <v>0.000132277357311</v>
      </c>
      <c r="K88" s="12" t="n">
        <f aca="false">SUMIFS(Data!$H$4:$H$2311,Data!$B$4:$B$2311,"UCO",Data!$C$4:$C$2311,"Netherlands",Data!$E$4:$E$2311,2022,Data!$F$4:$F$2311,10)</f>
        <v>0</v>
      </c>
      <c r="L88" s="12" t="n">
        <f aca="false">SUMIFS(Data!$H$4:$H$2311,Data!$B$4:$B$2311,"UCO",Data!$C$4:$C$2311,"Netherlands",Data!$E$4:$E$2311,2022,Data!$F$4:$F$2311,11)</f>
        <v>0</v>
      </c>
      <c r="M88" s="12" t="n">
        <f aca="false">SUMIFS(Data!$H$4:$H$2311,Data!$B$4:$B$2311,"UCO",Data!$C$4:$C$2311,"Netherlands",Data!$E$4:$E$2311,2022,Data!$F$4:$F$2311,12)</f>
        <v>0</v>
      </c>
      <c r="N88" s="13" t="n">
        <f aca="false">SUM(B88:M88)</f>
        <v>0.000132277357311</v>
      </c>
    </row>
    <row r="89" customFormat="false" ht="15" hidden="false" customHeight="false" outlineLevel="0" collapsed="false">
      <c r="A89" s="11" t="s">
        <v>95</v>
      </c>
      <c r="B89" s="12" t="n">
        <f aca="false">SUMIFS(Data!$H$4:$H$2311,Data!$B$4:$B$2311,"UCO",Data!$C$4:$C$2311,"Morocco",Data!$E$4:$E$2311,2022,Data!$F$4:$F$2311,1)</f>
        <v>0</v>
      </c>
      <c r="C89" s="12" t="n">
        <f aca="false">SUMIFS(Data!$H$4:$H$2311,Data!$B$4:$B$2311,"UCO",Data!$C$4:$C$2311,"Morocco",Data!$E$4:$E$2311,2022,Data!$F$4:$F$2311,2)</f>
        <v>0</v>
      </c>
      <c r="D89" s="12" t="n">
        <f aca="false">SUMIFS(Data!$H$4:$H$2311,Data!$B$4:$B$2311,"UCO",Data!$C$4:$C$2311,"Morocco",Data!$E$4:$E$2311,2022,Data!$F$4:$F$2311,3)</f>
        <v>0</v>
      </c>
      <c r="E89" s="12" t="n">
        <f aca="false">SUMIFS(Data!$H$4:$H$2311,Data!$B$4:$B$2311,"UCO",Data!$C$4:$C$2311,"Morocco",Data!$E$4:$E$2311,2022,Data!$F$4:$F$2311,4)</f>
        <v>1.102311310925E-005</v>
      </c>
      <c r="F89" s="12" t="n">
        <f aca="false">SUMIFS(Data!$H$4:$H$2311,Data!$B$4:$B$2311,"UCO",Data!$C$4:$C$2311,"Morocco",Data!$E$4:$E$2311,2022,Data!$F$4:$F$2311,5)</f>
        <v>0</v>
      </c>
      <c r="G89" s="12" t="n">
        <f aca="false">SUMIFS(Data!$H$4:$H$2311,Data!$B$4:$B$2311,"UCO",Data!$C$4:$C$2311,"Morocco",Data!$E$4:$E$2311,2022,Data!$F$4:$F$2311,6)</f>
        <v>0</v>
      </c>
      <c r="H89" s="12" t="n">
        <f aca="false">SUMIFS(Data!$H$4:$H$2311,Data!$B$4:$B$2311,"UCO",Data!$C$4:$C$2311,"Morocco",Data!$E$4:$E$2311,2022,Data!$F$4:$F$2311,7)</f>
        <v>0</v>
      </c>
      <c r="I89" s="12" t="n">
        <f aca="false">SUMIFS(Data!$H$4:$H$2311,Data!$B$4:$B$2311,"UCO",Data!$C$4:$C$2311,"Morocco",Data!$E$4:$E$2311,2022,Data!$F$4:$F$2311,8)</f>
        <v>0</v>
      </c>
      <c r="J89" s="12" t="n">
        <f aca="false">SUMIFS(Data!$H$4:$H$2311,Data!$B$4:$B$2311,"UCO",Data!$C$4:$C$2311,"Morocco",Data!$E$4:$E$2311,2022,Data!$F$4:$F$2311,9)</f>
        <v>0</v>
      </c>
      <c r="K89" s="12" t="n">
        <f aca="false">SUMIFS(Data!$H$4:$H$2311,Data!$B$4:$B$2311,"UCO",Data!$C$4:$C$2311,"Morocco",Data!$E$4:$E$2311,2022,Data!$F$4:$F$2311,10)</f>
        <v>0</v>
      </c>
      <c r="L89" s="12" t="n">
        <f aca="false">SUMIFS(Data!$H$4:$H$2311,Data!$B$4:$B$2311,"UCO",Data!$C$4:$C$2311,"Morocco",Data!$E$4:$E$2311,2022,Data!$F$4:$F$2311,11)</f>
        <v>0</v>
      </c>
      <c r="M89" s="12" t="n">
        <f aca="false">SUMIFS(Data!$H$4:$H$2311,Data!$B$4:$B$2311,"UCO",Data!$C$4:$C$2311,"Morocco",Data!$E$4:$E$2311,2022,Data!$F$4:$F$2311,12)</f>
        <v>0</v>
      </c>
      <c r="N89" s="13" t="n">
        <f aca="false">SUM(B89:M89)</f>
        <v>1.102311310925E-005</v>
      </c>
    </row>
    <row r="91" customFormat="false" ht="15" hidden="false" customHeight="false" outlineLevel="0" collapsed="false">
      <c r="A91" s="8"/>
      <c r="B91" s="9" t="s">
        <v>114</v>
      </c>
      <c r="C91" s="9" t="s">
        <v>115</v>
      </c>
      <c r="D91" s="9" t="s">
        <v>116</v>
      </c>
      <c r="E91" s="9" t="s">
        <v>117</v>
      </c>
      <c r="F91" s="9" t="s">
        <v>118</v>
      </c>
      <c r="G91" s="9" t="s">
        <v>119</v>
      </c>
      <c r="H91" s="9" t="s">
        <v>120</v>
      </c>
      <c r="I91" s="9" t="s">
        <v>121</v>
      </c>
      <c r="J91" s="9" t="s">
        <v>122</v>
      </c>
      <c r="K91" s="9" t="s">
        <v>123</v>
      </c>
      <c r="L91" s="9" t="s">
        <v>124</v>
      </c>
      <c r="M91" s="9" t="s">
        <v>125</v>
      </c>
      <c r="N91" s="9" t="s">
        <v>33</v>
      </c>
    </row>
    <row r="92" customFormat="false" ht="15" hidden="false" customHeight="false" outlineLevel="0" collapsed="false">
      <c r="A92" s="10" t="s">
        <v>35</v>
      </c>
      <c r="B92" s="10" t="n">
        <f aca="false">SUM(B93:B137)</f>
        <v>140.082759769604</v>
      </c>
      <c r="C92" s="10" t="n">
        <f aca="false">SUM(C93:C137)</f>
        <v>204.014551655821</v>
      </c>
      <c r="D92" s="10" t="n">
        <f aca="false">SUM(D93:D137)</f>
        <v>226.363587200678</v>
      </c>
      <c r="E92" s="10" t="n">
        <f aca="false">SUM(E93:E137)</f>
        <v>136.871191197582</v>
      </c>
      <c r="F92" s="10" t="n">
        <f aca="false">SUM(F93:F137)</f>
        <v>272.966699153402</v>
      </c>
      <c r="G92" s="10" t="n">
        <f aca="false">SUM(G93:G137)</f>
        <v>205.255295630417</v>
      </c>
      <c r="H92" s="10" t="n">
        <f aca="false">SUM(H93:H137)</f>
        <v>122.481363608543</v>
      </c>
      <c r="I92" s="10" t="n">
        <f aca="false">SUM(I93:I137)</f>
        <v>286.870843969603</v>
      </c>
      <c r="J92" s="10" t="n">
        <f aca="false">SUM(J93:J137)</f>
        <v>382.930738010643</v>
      </c>
      <c r="K92" s="10" t="n">
        <f aca="false">SUM(K93:K137)</f>
        <v>414.549164484633</v>
      </c>
      <c r="L92" s="10" t="n">
        <f aca="false">SUM(L93:L137)</f>
        <v>241.004347141158</v>
      </c>
      <c r="M92" s="10" t="n">
        <f aca="false">SUM(M93:M137)</f>
        <v>392.992651089124</v>
      </c>
      <c r="N92" s="10" t="n">
        <f aca="false">SUM(B92:M92)</f>
        <v>3026.38319291121</v>
      </c>
    </row>
    <row r="93" customFormat="false" ht="15" hidden="false" customHeight="false" outlineLevel="0" collapsed="false">
      <c r="A93" s="11" t="s">
        <v>57</v>
      </c>
      <c r="B93" s="12" t="n">
        <f aca="false">SUMIFS(Data!$H$4:$H$2311,Data!$B$4:$B$2311,"UCO",Data!$C$4:$C$2311,"China",Data!$E$4:$E$2311,2023,Data!$F$4:$F$2311,1)</f>
        <v>83.1790049731678</v>
      </c>
      <c r="C93" s="12" t="n">
        <f aca="false">SUMIFS(Data!$H$4:$H$2311,Data!$B$4:$B$2311,"UCO",Data!$C$4:$C$2311,"China",Data!$E$4:$E$2311,2023,Data!$F$4:$F$2311,2)</f>
        <v>90.2622877012299</v>
      </c>
      <c r="D93" s="12" t="n">
        <f aca="false">SUMIFS(Data!$H$4:$H$2311,Data!$B$4:$B$2311,"UCO",Data!$C$4:$C$2311,"China",Data!$E$4:$E$2311,2023,Data!$F$4:$F$2311,3)</f>
        <v>114.172445184712</v>
      </c>
      <c r="E93" s="12" t="n">
        <f aca="false">SUMIFS(Data!$H$4:$H$2311,Data!$B$4:$B$2311,"UCO",Data!$C$4:$C$2311,"China",Data!$E$4:$E$2311,2023,Data!$F$4:$F$2311,4)</f>
        <v>0</v>
      </c>
      <c r="F93" s="12" t="n">
        <f aca="false">SUMIFS(Data!$H$4:$H$2311,Data!$B$4:$B$2311,"UCO",Data!$C$4:$C$2311,"China",Data!$E$4:$E$2311,2023,Data!$F$4:$F$2311,5)</f>
        <v>137.648402242821</v>
      </c>
      <c r="G93" s="12" t="n">
        <f aca="false">SUMIFS(Data!$H$4:$H$2311,Data!$B$4:$B$2311,"UCO",Data!$C$4:$C$2311,"China",Data!$E$4:$E$2311,2023,Data!$F$4:$F$2311,6)</f>
        <v>70.6028344348424</v>
      </c>
      <c r="H93" s="12" t="n">
        <f aca="false">SUMIFS(Data!$H$4:$H$2311,Data!$B$4:$B$2311,"UCO",Data!$C$4:$C$2311,"China",Data!$E$4:$E$2311,2023,Data!$F$4:$F$2311,7)</f>
        <v>59.0407418008704</v>
      </c>
      <c r="I93" s="12" t="n">
        <f aca="false">SUMIFS(Data!$H$4:$H$2311,Data!$B$4:$B$2311,"UCO",Data!$C$4:$C$2311,"China",Data!$E$4:$E$2311,2023,Data!$F$4:$F$2311,8)</f>
        <v>167.7030281617</v>
      </c>
      <c r="J93" s="12" t="n">
        <f aca="false">SUMIFS(Data!$H$4:$H$2311,Data!$B$4:$B$2311,"UCO",Data!$C$4:$C$2311,"China",Data!$E$4:$E$2311,2023,Data!$F$4:$F$2311,9)</f>
        <v>218.821326293595</v>
      </c>
      <c r="K93" s="12" t="n">
        <f aca="false">SUMIFS(Data!$H$4:$H$2311,Data!$B$4:$B$2311,"UCO",Data!$C$4:$C$2311,"China",Data!$E$4:$E$2311,2023,Data!$F$4:$F$2311,10)</f>
        <v>175.161460498209</v>
      </c>
      <c r="L93" s="12" t="n">
        <f aca="false">SUMIFS(Data!$H$4:$H$2311,Data!$B$4:$B$2311,"UCO",Data!$C$4:$C$2311,"China",Data!$E$4:$E$2311,2023,Data!$F$4:$F$2311,11)</f>
        <v>144.810376770748</v>
      </c>
      <c r="M93" s="12" t="n">
        <f aca="false">SUMIFS(Data!$H$4:$H$2311,Data!$B$4:$B$2311,"UCO",Data!$C$4:$C$2311,"China",Data!$E$4:$E$2311,2023,Data!$F$4:$F$2311,12)</f>
        <v>254.504128894549</v>
      </c>
      <c r="N93" s="13" t="n">
        <f aca="false">SUM(B93:M93)</f>
        <v>1515.90603695645</v>
      </c>
    </row>
    <row r="94" customFormat="false" ht="15" hidden="false" customHeight="false" outlineLevel="0" collapsed="false">
      <c r="A94" s="11" t="s">
        <v>43</v>
      </c>
      <c r="B94" s="12" t="n">
        <f aca="false">SUMIFS(Data!$H$4:$H$2311,Data!$B$4:$B$2311,"UCO",Data!$C$4:$C$2311,"Canada",Data!$E$4:$E$2311,2023,Data!$F$4:$F$2311,1)</f>
        <v>43.6174510607641</v>
      </c>
      <c r="C94" s="12" t="n">
        <f aca="false">SUMIFS(Data!$H$4:$H$2311,Data!$B$4:$B$2311,"UCO",Data!$C$4:$C$2311,"Canada",Data!$E$4:$E$2311,2023,Data!$F$4:$F$2311,2)</f>
        <v>32.3968765171428</v>
      </c>
      <c r="D94" s="12" t="n">
        <f aca="false">SUMIFS(Data!$H$4:$H$2311,Data!$B$4:$B$2311,"UCO",Data!$C$4:$C$2311,"Canada",Data!$E$4:$E$2311,2023,Data!$F$4:$F$2311,3)</f>
        <v>47.8739666630902</v>
      </c>
      <c r="E94" s="12" t="n">
        <f aca="false">SUMIFS(Data!$H$4:$H$2311,Data!$B$4:$B$2311,"UCO",Data!$C$4:$C$2311,"Canada",Data!$E$4:$E$2311,2023,Data!$F$4:$F$2311,4)</f>
        <v>44.0067433233303</v>
      </c>
      <c r="F94" s="12" t="n">
        <f aca="false">SUMIFS(Data!$H$4:$H$2311,Data!$B$4:$B$2311,"UCO",Data!$C$4:$C$2311,"Canada",Data!$E$4:$E$2311,2023,Data!$F$4:$F$2311,5)</f>
        <v>81.6910103669085</v>
      </c>
      <c r="G94" s="12" t="n">
        <f aca="false">SUMIFS(Data!$H$4:$H$2311,Data!$B$4:$B$2311,"UCO",Data!$C$4:$C$2311,"Canada",Data!$E$4:$E$2311,2023,Data!$F$4:$F$2311,6)</f>
        <v>42.4512189215412</v>
      </c>
      <c r="H94" s="12" t="n">
        <f aca="false">SUMIFS(Data!$H$4:$H$2311,Data!$B$4:$B$2311,"UCO",Data!$C$4:$C$2311,"Canada",Data!$E$4:$E$2311,2023,Data!$F$4:$F$2311,7)</f>
        <v>35.4827771904738</v>
      </c>
      <c r="I94" s="12" t="n">
        <f aca="false">SUMIFS(Data!$H$4:$H$2311,Data!$B$4:$B$2311,"UCO",Data!$C$4:$C$2311,"Canada",Data!$E$4:$E$2311,2023,Data!$F$4:$F$2311,8)</f>
        <v>53.9387975155173</v>
      </c>
      <c r="J94" s="12" t="n">
        <f aca="false">SUMIFS(Data!$H$4:$H$2311,Data!$B$4:$B$2311,"UCO",Data!$C$4:$C$2311,"Canada",Data!$E$4:$E$2311,2023,Data!$F$4:$F$2311,9)</f>
        <v>38.7645519698882</v>
      </c>
      <c r="K94" s="12" t="n">
        <f aca="false">SUMIFS(Data!$H$4:$H$2311,Data!$B$4:$B$2311,"UCO",Data!$C$4:$C$2311,"Canada",Data!$E$4:$E$2311,2023,Data!$F$4:$F$2311,10)</f>
        <v>69.613587195079</v>
      </c>
      <c r="L94" s="12" t="n">
        <f aca="false">SUMIFS(Data!$H$4:$H$2311,Data!$B$4:$B$2311,"UCO",Data!$C$4:$C$2311,"Canada",Data!$E$4:$E$2311,2023,Data!$F$4:$F$2311,11)</f>
        <v>57.2495322176923</v>
      </c>
      <c r="M94" s="12" t="n">
        <f aca="false">SUMIFS(Data!$H$4:$H$2311,Data!$B$4:$B$2311,"UCO",Data!$C$4:$C$2311,"Canada",Data!$E$4:$E$2311,2023,Data!$F$4:$F$2311,12)</f>
        <v>44.4693216510922</v>
      </c>
      <c r="N94" s="13" t="n">
        <f aca="false">SUM(B94:M94)</f>
        <v>591.55583459252</v>
      </c>
    </row>
    <row r="95" customFormat="false" ht="15" hidden="false" customHeight="false" outlineLevel="0" collapsed="false">
      <c r="A95" s="11" t="s">
        <v>109</v>
      </c>
      <c r="B95" s="12" t="n">
        <f aca="false">SUMIFS(Data!$H$4:$H$2311,Data!$B$4:$B$2311,"UCO",Data!$C$4:$C$2311,"Australia",Data!$E$4:$E$2311,2023,Data!$F$4:$F$2311,1)</f>
        <v>0</v>
      </c>
      <c r="C95" s="12" t="n">
        <f aca="false">SUMIFS(Data!$H$4:$H$2311,Data!$B$4:$B$2311,"UCO",Data!$C$4:$C$2311,"Australia",Data!$E$4:$E$2311,2023,Data!$F$4:$F$2311,2)</f>
        <v>15.8470390496295</v>
      </c>
      <c r="D95" s="12" t="n">
        <f aca="false">SUMIFS(Data!$H$4:$H$2311,Data!$B$4:$B$2311,"UCO",Data!$C$4:$C$2311,"Australia",Data!$E$4:$E$2311,2023,Data!$F$4:$F$2311,3)</f>
        <v>16.8186118298336</v>
      </c>
      <c r="E95" s="12" t="n">
        <f aca="false">SUMIFS(Data!$H$4:$H$2311,Data!$B$4:$B$2311,"UCO",Data!$C$4:$C$2311,"Australia",Data!$E$4:$E$2311,2023,Data!$F$4:$F$2311,4)</f>
        <v>46.9742293063965</v>
      </c>
      <c r="F95" s="12" t="n">
        <f aca="false">SUMIFS(Data!$H$4:$H$2311,Data!$B$4:$B$2311,"UCO",Data!$C$4:$C$2311,"Australia",Data!$E$4:$E$2311,2023,Data!$F$4:$F$2311,5)</f>
        <v>4.74052727121753</v>
      </c>
      <c r="G95" s="12" t="n">
        <f aca="false">SUMIFS(Data!$H$4:$H$2311,Data!$B$4:$B$2311,"UCO",Data!$C$4:$C$2311,"Australia",Data!$E$4:$E$2311,2023,Data!$F$4:$F$2311,6)</f>
        <v>10.1520314373951</v>
      </c>
      <c r="H95" s="12" t="n">
        <f aca="false">SUMIFS(Data!$H$4:$H$2311,Data!$B$4:$B$2311,"UCO",Data!$C$4:$C$2311,"Australia",Data!$E$4:$E$2311,2023,Data!$F$4:$F$2311,7)</f>
        <v>0</v>
      </c>
      <c r="I95" s="12" t="n">
        <f aca="false">SUMIFS(Data!$H$4:$H$2311,Data!$B$4:$B$2311,"UCO",Data!$C$4:$C$2311,"Australia",Data!$E$4:$E$2311,2023,Data!$F$4:$F$2311,8)</f>
        <v>0</v>
      </c>
      <c r="J95" s="12" t="n">
        <f aca="false">SUMIFS(Data!$H$4:$H$2311,Data!$B$4:$B$2311,"UCO",Data!$C$4:$C$2311,"Australia",Data!$E$4:$E$2311,2023,Data!$F$4:$F$2311,9)</f>
        <v>48.1884781263233</v>
      </c>
      <c r="K95" s="12" t="n">
        <f aca="false">SUMIFS(Data!$H$4:$H$2311,Data!$B$4:$B$2311,"UCO",Data!$C$4:$C$2311,"Australia",Data!$E$4:$E$2311,2023,Data!$F$4:$F$2311,10)</f>
        <v>33.4941083775471</v>
      </c>
      <c r="L95" s="12" t="n">
        <f aca="false">SUMIFS(Data!$H$4:$H$2311,Data!$B$4:$B$2311,"UCO",Data!$C$4:$C$2311,"Australia",Data!$E$4:$E$2311,2023,Data!$F$4:$F$2311,11)</f>
        <v>0</v>
      </c>
      <c r="M95" s="12" t="n">
        <f aca="false">SUMIFS(Data!$H$4:$H$2311,Data!$B$4:$B$2311,"UCO",Data!$C$4:$C$2311,"Australia",Data!$E$4:$E$2311,2023,Data!$F$4:$F$2311,12)</f>
        <v>28.00997071447</v>
      </c>
      <c r="N95" s="13" t="n">
        <f aca="false">SUM(B95:M95)</f>
        <v>204.224996112813</v>
      </c>
    </row>
    <row r="96" customFormat="false" ht="15" hidden="false" customHeight="false" outlineLevel="0" collapsed="false">
      <c r="A96" s="11" t="s">
        <v>45</v>
      </c>
      <c r="B96" s="12" t="n">
        <f aca="false">SUMIFS(Data!$H$4:$H$2311,Data!$B$4:$B$2311,"UCO",Data!$C$4:$C$2311,"Chile",Data!$E$4:$E$2311,2023,Data!$F$4:$F$2311,1)</f>
        <v>0.567954879840997</v>
      </c>
      <c r="C96" s="12" t="n">
        <f aca="false">SUMIFS(Data!$H$4:$H$2311,Data!$B$4:$B$2311,"UCO",Data!$C$4:$C$2311,"Chile",Data!$E$4:$E$2311,2023,Data!$F$4:$F$2311,2)</f>
        <v>21.5259507121018</v>
      </c>
      <c r="D96" s="12" t="n">
        <f aca="false">SUMIFS(Data!$H$4:$H$2311,Data!$B$4:$B$2311,"UCO",Data!$C$4:$C$2311,"Chile",Data!$E$4:$E$2311,2023,Data!$F$4:$F$2311,3)</f>
        <v>15.9382090135335</v>
      </c>
      <c r="E96" s="12" t="n">
        <f aca="false">SUMIFS(Data!$H$4:$H$2311,Data!$B$4:$B$2311,"UCO",Data!$C$4:$C$2311,"Chile",Data!$E$4:$E$2311,2023,Data!$F$4:$F$2311,4)</f>
        <v>25.222212181405</v>
      </c>
      <c r="F96" s="12" t="n">
        <f aca="false">SUMIFS(Data!$H$4:$H$2311,Data!$B$4:$B$2311,"UCO",Data!$C$4:$C$2311,"Chile",Data!$E$4:$E$2311,2023,Data!$F$4:$F$2311,5)</f>
        <v>16.1352559788518</v>
      </c>
      <c r="G96" s="12" t="n">
        <f aca="false">SUMIFS(Data!$H$4:$H$2311,Data!$B$4:$B$2311,"UCO",Data!$C$4:$C$2311,"Chile",Data!$E$4:$E$2311,2023,Data!$F$4:$F$2311,6)</f>
        <v>6.33193631542258</v>
      </c>
      <c r="H96" s="12" t="n">
        <f aca="false">SUMIFS(Data!$H$4:$H$2311,Data!$B$4:$B$2311,"UCO",Data!$C$4:$C$2311,"Chile",Data!$E$4:$E$2311,2023,Data!$F$4:$F$2311,7)</f>
        <v>15.7679834870326</v>
      </c>
      <c r="I96" s="12" t="n">
        <f aca="false">SUMIFS(Data!$H$4:$H$2311,Data!$B$4:$B$2311,"UCO",Data!$C$4:$C$2311,"Chile",Data!$E$4:$E$2311,2023,Data!$F$4:$F$2311,8)</f>
        <v>13.0974226925451</v>
      </c>
      <c r="J96" s="12" t="n">
        <f aca="false">SUMIFS(Data!$H$4:$H$2311,Data!$B$4:$B$2311,"UCO",Data!$C$4:$C$2311,"Chile",Data!$E$4:$E$2311,2023,Data!$F$4:$F$2311,9)</f>
        <v>1.1043395637371</v>
      </c>
      <c r="K96" s="12" t="n">
        <f aca="false">SUMIFS(Data!$H$4:$H$2311,Data!$B$4:$B$2311,"UCO",Data!$C$4:$C$2311,"Chile",Data!$E$4:$E$2311,2023,Data!$F$4:$F$2311,10)</f>
        <v>31.270124759832</v>
      </c>
      <c r="L96" s="12" t="n">
        <f aca="false">SUMIFS(Data!$H$4:$H$2311,Data!$B$4:$B$2311,"UCO",Data!$C$4:$C$2311,"Chile",Data!$E$4:$E$2311,2023,Data!$F$4:$F$2311,11)</f>
        <v>31.760750296589</v>
      </c>
      <c r="M96" s="12" t="n">
        <f aca="false">SUMIFS(Data!$H$4:$H$2311,Data!$B$4:$B$2311,"UCO",Data!$C$4:$C$2311,"Chile",Data!$E$4:$E$2311,2023,Data!$F$4:$F$2311,12)</f>
        <v>11.3582973188082</v>
      </c>
      <c r="N96" s="13" t="n">
        <f aca="false">SUM(B96:M96)</f>
        <v>190.0804371997</v>
      </c>
    </row>
    <row r="97" customFormat="false" ht="15" hidden="false" customHeight="false" outlineLevel="0" collapsed="false">
      <c r="A97" s="11" t="s">
        <v>78</v>
      </c>
      <c r="B97" s="12" t="n">
        <f aca="false">SUMIFS(Data!$H$4:$H$2311,Data!$B$4:$B$2311,"UCO",Data!$C$4:$C$2311,"New Zealand",Data!$E$4:$E$2311,2023,Data!$F$4:$F$2311,1)</f>
        <v>0</v>
      </c>
      <c r="C97" s="12" t="n">
        <f aca="false">SUMIFS(Data!$H$4:$H$2311,Data!$B$4:$B$2311,"UCO",Data!$C$4:$C$2311,"New Zealand",Data!$E$4:$E$2311,2023,Data!$F$4:$F$2311,2)</f>
        <v>22.8938837749977</v>
      </c>
      <c r="D97" s="12" t="n">
        <f aca="false">SUMIFS(Data!$H$4:$H$2311,Data!$B$4:$B$2311,"UCO",Data!$C$4:$C$2311,"New Zealand",Data!$E$4:$E$2311,2023,Data!$F$4:$F$2311,3)</f>
        <v>25.8801156642175</v>
      </c>
      <c r="E97" s="12" t="n">
        <f aca="false">SUMIFS(Data!$H$4:$H$2311,Data!$B$4:$B$2311,"UCO",Data!$C$4:$C$2311,"New Zealand",Data!$E$4:$E$2311,2023,Data!$F$4:$F$2311,4)</f>
        <v>6.61407730469908</v>
      </c>
      <c r="F97" s="12" t="n">
        <f aca="false">SUMIFS(Data!$H$4:$H$2311,Data!$B$4:$B$2311,"UCO",Data!$C$4:$C$2311,"New Zealand",Data!$E$4:$E$2311,2023,Data!$F$4:$F$2311,5)</f>
        <v>15.1706806708495</v>
      </c>
      <c r="G97" s="12" t="n">
        <f aca="false">SUMIFS(Data!$H$4:$H$2311,Data!$B$4:$B$2311,"UCO",Data!$C$4:$C$2311,"New Zealand",Data!$E$4:$E$2311,2023,Data!$F$4:$F$2311,6)</f>
        <v>38.4658630832121</v>
      </c>
      <c r="H97" s="12" t="n">
        <f aca="false">SUMIFS(Data!$H$4:$H$2311,Data!$B$4:$B$2311,"UCO",Data!$C$4:$C$2311,"New Zealand",Data!$E$4:$E$2311,2023,Data!$F$4:$F$2311,7)</f>
        <v>0</v>
      </c>
      <c r="I97" s="12" t="n">
        <f aca="false">SUMIFS(Data!$H$4:$H$2311,Data!$B$4:$B$2311,"UCO",Data!$C$4:$C$2311,"New Zealand",Data!$E$4:$E$2311,2023,Data!$F$4:$F$2311,8)</f>
        <v>0</v>
      </c>
      <c r="J97" s="12" t="n">
        <f aca="false">SUMIFS(Data!$H$4:$H$2311,Data!$B$4:$B$2311,"UCO",Data!$C$4:$C$2311,"New Zealand",Data!$E$4:$E$2311,2023,Data!$F$4:$F$2311,9)</f>
        <v>10.1716018724093</v>
      </c>
      <c r="K97" s="12" t="n">
        <f aca="false">SUMIFS(Data!$H$4:$H$2311,Data!$B$4:$B$2311,"UCO",Data!$C$4:$C$2311,"New Zealand",Data!$E$4:$E$2311,2023,Data!$F$4:$F$2311,10)</f>
        <v>41.8002004751767</v>
      </c>
      <c r="L97" s="12" t="n">
        <f aca="false">SUMIFS(Data!$H$4:$H$2311,Data!$B$4:$B$2311,"UCO",Data!$C$4:$C$2311,"New Zealand",Data!$E$4:$E$2311,2023,Data!$F$4:$F$2311,11)</f>
        <v>0</v>
      </c>
      <c r="M97" s="12" t="n">
        <f aca="false">SUMIFS(Data!$H$4:$H$2311,Data!$B$4:$B$2311,"UCO",Data!$C$4:$C$2311,"New Zealand",Data!$E$4:$E$2311,2023,Data!$F$4:$F$2311,12)</f>
        <v>0</v>
      </c>
      <c r="N97" s="13" t="n">
        <f aca="false">SUM(B97:M97)</f>
        <v>160.996422845562</v>
      </c>
    </row>
    <row r="98" customFormat="false" ht="15" hidden="false" customHeight="false" outlineLevel="0" collapsed="false">
      <c r="A98" s="11" t="s">
        <v>92</v>
      </c>
      <c r="B98" s="12" t="n">
        <f aca="false">SUMIFS(Data!$H$4:$H$2311,Data!$B$4:$B$2311,"UCO",Data!$C$4:$C$2311,"Colombia",Data!$E$4:$E$2311,2023,Data!$F$4:$F$2311,1)</f>
        <v>5.69982691728575</v>
      </c>
      <c r="C98" s="12" t="n">
        <f aca="false">SUMIFS(Data!$H$4:$H$2311,Data!$B$4:$B$2311,"UCO",Data!$C$4:$C$2311,"Colombia",Data!$E$4:$E$2311,2023,Data!$F$4:$F$2311,2)</f>
        <v>10.9528010799713</v>
      </c>
      <c r="D98" s="12" t="n">
        <f aca="false">SUMIFS(Data!$H$4:$H$2311,Data!$B$4:$B$2311,"UCO",Data!$C$4:$C$2311,"Colombia",Data!$E$4:$E$2311,2023,Data!$F$4:$F$2311,3)</f>
        <v>0</v>
      </c>
      <c r="E98" s="12" t="n">
        <f aca="false">SUMIFS(Data!$H$4:$H$2311,Data!$B$4:$B$2311,"UCO",Data!$C$4:$C$2311,"Colombia",Data!$E$4:$E$2311,2023,Data!$F$4:$F$2311,4)</f>
        <v>0</v>
      </c>
      <c r="F98" s="12" t="n">
        <f aca="false">SUMIFS(Data!$H$4:$H$2311,Data!$B$4:$B$2311,"UCO",Data!$C$4:$C$2311,"Colombia",Data!$E$4:$E$2311,2023,Data!$F$4:$F$2311,5)</f>
        <v>11.9608757969254</v>
      </c>
      <c r="G98" s="12" t="n">
        <f aca="false">SUMIFS(Data!$H$4:$H$2311,Data!$B$4:$B$2311,"UCO",Data!$C$4:$C$2311,"Colombia",Data!$E$4:$E$2311,2023,Data!$F$4:$F$2311,6)</f>
        <v>12.7706998246095</v>
      </c>
      <c r="H98" s="12" t="n">
        <f aca="false">SUMIFS(Data!$H$4:$H$2311,Data!$B$4:$B$2311,"UCO",Data!$C$4:$C$2311,"Colombia",Data!$E$4:$E$2311,2023,Data!$F$4:$F$2311,7)</f>
        <v>2.82484689943244</v>
      </c>
      <c r="I98" s="12" t="n">
        <f aca="false">SUMIFS(Data!$H$4:$H$2311,Data!$B$4:$B$2311,"UCO",Data!$C$4:$C$2311,"Colombia",Data!$E$4:$E$2311,2023,Data!$F$4:$F$2311,8)</f>
        <v>15.1480612427493</v>
      </c>
      <c r="J98" s="12" t="n">
        <f aca="false">SUMIFS(Data!$H$4:$H$2311,Data!$B$4:$B$2311,"UCO",Data!$C$4:$C$2311,"Colombia",Data!$E$4:$E$2311,2023,Data!$F$4:$F$2311,9)</f>
        <v>14.0007778349612</v>
      </c>
      <c r="K98" s="12" t="n">
        <f aca="false">SUMIFS(Data!$H$4:$H$2311,Data!$B$4:$B$2311,"UCO",Data!$C$4:$C$2311,"Colombia",Data!$E$4:$E$2311,2023,Data!$F$4:$F$2311,10)</f>
        <v>2.95058975529228</v>
      </c>
      <c r="L98" s="12" t="n">
        <f aca="false">SUMIFS(Data!$H$4:$H$2311,Data!$B$4:$B$2311,"UCO",Data!$C$4:$C$2311,"Colombia",Data!$E$4:$E$2311,2023,Data!$F$4:$F$2311,11)</f>
        <v>1.88173359265385</v>
      </c>
      <c r="M98" s="12" t="n">
        <f aca="false">SUMIFS(Data!$H$4:$H$2311,Data!$B$4:$B$2311,"UCO",Data!$C$4:$C$2311,"Colombia",Data!$E$4:$E$2311,2023,Data!$F$4:$F$2311,12)</f>
        <v>0.451109880882947</v>
      </c>
      <c r="N98" s="13" t="n">
        <f aca="false">SUM(B98:M98)</f>
        <v>78.641322824764</v>
      </c>
    </row>
    <row r="99" customFormat="false" ht="15" hidden="false" customHeight="false" outlineLevel="0" collapsed="false">
      <c r="A99" s="11" t="s">
        <v>47</v>
      </c>
      <c r="B99" s="12" t="n">
        <f aca="false">SUMIFS(Data!$H$4:$H$2311,Data!$B$4:$B$2311,"UCO",Data!$C$4:$C$2311,"Mexico",Data!$E$4:$E$2311,2023,Data!$F$4:$F$2311,1)</f>
        <v>4.72179459279967</v>
      </c>
      <c r="C99" s="12" t="n">
        <f aca="false">SUMIFS(Data!$H$4:$H$2311,Data!$B$4:$B$2311,"UCO",Data!$C$4:$C$2311,"Mexico",Data!$E$4:$E$2311,2023,Data!$F$4:$F$2311,2)</f>
        <v>1.13926299068983</v>
      </c>
      <c r="D99" s="12" t="n">
        <f aca="false">SUMIFS(Data!$H$4:$H$2311,Data!$B$4:$B$2311,"UCO",Data!$C$4:$C$2311,"Mexico",Data!$E$4:$E$2311,2023,Data!$F$4:$F$2311,3)</f>
        <v>5.19720382422065</v>
      </c>
      <c r="E99" s="12" t="n">
        <f aca="false">SUMIFS(Data!$H$4:$H$2311,Data!$B$4:$B$2311,"UCO",Data!$C$4:$C$2311,"Mexico",Data!$E$4:$E$2311,2023,Data!$F$4:$F$2311,4)</f>
        <v>2.43452287347914</v>
      </c>
      <c r="F99" s="12" t="n">
        <f aca="false">SUMIFS(Data!$H$4:$H$2311,Data!$B$4:$B$2311,"UCO",Data!$C$4:$C$2311,"Mexico",Data!$E$4:$E$2311,2023,Data!$F$4:$F$2311,5)</f>
        <v>3.72083198842374</v>
      </c>
      <c r="G99" s="12" t="n">
        <f aca="false">SUMIFS(Data!$H$4:$H$2311,Data!$B$4:$B$2311,"UCO",Data!$C$4:$C$2311,"Mexico",Data!$E$4:$E$2311,2023,Data!$F$4:$F$2311,6)</f>
        <v>1.33583155289922</v>
      </c>
      <c r="H99" s="12" t="n">
        <f aca="false">SUMIFS(Data!$H$4:$H$2311,Data!$B$4:$B$2311,"UCO",Data!$C$4:$C$2311,"Mexico",Data!$E$4:$E$2311,2023,Data!$F$4:$F$2311,7)</f>
        <v>5.94017928476508</v>
      </c>
      <c r="I99" s="12" t="n">
        <f aca="false">SUMIFS(Data!$H$4:$H$2311,Data!$B$4:$B$2311,"UCO",Data!$C$4:$C$2311,"Mexico",Data!$E$4:$E$2311,2023,Data!$F$4:$F$2311,8)</f>
        <v>5.32134171481178</v>
      </c>
      <c r="J99" s="12" t="n">
        <f aca="false">SUMIFS(Data!$H$4:$H$2311,Data!$B$4:$B$2311,"UCO",Data!$C$4:$C$2311,"Mexico",Data!$E$4:$E$2311,2023,Data!$F$4:$F$2311,9)</f>
        <v>5.84905561793615</v>
      </c>
      <c r="K99" s="12" t="n">
        <f aca="false">SUMIFS(Data!$H$4:$H$2311,Data!$B$4:$B$2311,"UCO",Data!$C$4:$C$2311,"Mexico",Data!$E$4:$E$2311,2023,Data!$F$4:$F$2311,10)</f>
        <v>6.32653939924429</v>
      </c>
      <c r="L99" s="12" t="n">
        <f aca="false">SUMIFS(Data!$H$4:$H$2311,Data!$B$4:$B$2311,"UCO",Data!$C$4:$C$2311,"Mexico",Data!$E$4:$E$2311,2023,Data!$F$4:$F$2311,11)</f>
        <v>2.18324439628592</v>
      </c>
      <c r="M99" s="12" t="n">
        <f aca="false">SUMIFS(Data!$H$4:$H$2311,Data!$B$4:$B$2311,"UCO",Data!$C$4:$C$2311,"Mexico",Data!$E$4:$E$2311,2023,Data!$F$4:$F$2311,12)</f>
        <v>2.58351567950901</v>
      </c>
      <c r="N99" s="13" t="n">
        <f aca="false">SUM(B99:M99)</f>
        <v>46.7533239150645</v>
      </c>
    </row>
    <row r="100" customFormat="false" ht="15" hidden="false" customHeight="false" outlineLevel="0" collapsed="false">
      <c r="A100" s="11" t="s">
        <v>59</v>
      </c>
      <c r="B100" s="12" t="n">
        <f aca="false">SUMIFS(Data!$H$4:$H$2311,Data!$B$4:$B$2311,"UCO",Data!$C$4:$C$2311,"Germany",Data!$E$4:$E$2311,2023,Data!$F$4:$F$2311,1)</f>
        <v>0.0749659876333874</v>
      </c>
      <c r="C100" s="12" t="n">
        <f aca="false">SUMIFS(Data!$H$4:$H$2311,Data!$B$4:$B$2311,"UCO",Data!$C$4:$C$2311,"Germany",Data!$E$4:$E$2311,2023,Data!$F$4:$F$2311,2)</f>
        <v>0.0917784397476155</v>
      </c>
      <c r="D100" s="12" t="n">
        <f aca="false">SUMIFS(Data!$H$4:$H$2311,Data!$B$4:$B$2311,"UCO",Data!$C$4:$C$2311,"Germany",Data!$E$4:$E$2311,2023,Data!$F$4:$F$2311,3)</f>
        <v>0.04673799958322</v>
      </c>
      <c r="E100" s="12" t="n">
        <f aca="false">SUMIFS(Data!$H$4:$H$2311,Data!$B$4:$B$2311,"UCO",Data!$C$4:$C$2311,"Germany",Data!$E$4:$E$2311,2023,Data!$F$4:$F$2311,4)</f>
        <v>0.023031692530467</v>
      </c>
      <c r="F100" s="12" t="n">
        <f aca="false">SUMIFS(Data!$H$4:$H$2311,Data!$B$4:$B$2311,"UCO",Data!$C$4:$C$2311,"Germany",Data!$E$4:$E$2311,2023,Data!$F$4:$F$2311,5)</f>
        <v>0.0082937903033997</v>
      </c>
      <c r="G100" s="12" t="n">
        <f aca="false">SUMIFS(Data!$H$4:$H$2311,Data!$B$4:$B$2311,"UCO",Data!$C$4:$C$2311,"Germany",Data!$E$4:$E$2311,2023,Data!$F$4:$F$2311,6)</f>
        <v>3.14065909001245</v>
      </c>
      <c r="H100" s="12" t="n">
        <f aca="false">SUMIFS(Data!$H$4:$H$2311,Data!$B$4:$B$2311,"UCO",Data!$C$4:$C$2311,"Germany",Data!$E$4:$E$2311,2023,Data!$F$4:$F$2311,7)</f>
        <v>0.0020502990383205</v>
      </c>
      <c r="I100" s="12" t="n">
        <f aca="false">SUMIFS(Data!$H$4:$H$2311,Data!$B$4:$B$2311,"UCO",Data!$C$4:$C$2311,"Germany",Data!$E$4:$E$2311,2023,Data!$F$4:$F$2311,8)</f>
        <v>3.6767152851379</v>
      </c>
      <c r="J100" s="12" t="n">
        <f aca="false">SUMIFS(Data!$H$4:$H$2311,Data!$B$4:$B$2311,"UCO",Data!$C$4:$C$2311,"Germany",Data!$E$4:$E$2311,2023,Data!$F$4:$F$2311,9)</f>
        <v>11.1794605363464</v>
      </c>
      <c r="K100" s="12" t="n">
        <f aca="false">SUMIFS(Data!$H$4:$H$2311,Data!$B$4:$B$2311,"UCO",Data!$C$4:$C$2311,"Germany",Data!$E$4:$E$2311,2023,Data!$F$4:$F$2311,10)</f>
        <v>6.22670526843643</v>
      </c>
      <c r="L100" s="12" t="n">
        <f aca="false">SUMIFS(Data!$H$4:$H$2311,Data!$B$4:$B$2311,"UCO",Data!$C$4:$C$2311,"Germany",Data!$E$4:$E$2311,2023,Data!$F$4:$F$2311,11)</f>
        <v>0.0067417359776173</v>
      </c>
      <c r="M100" s="12" t="n">
        <f aca="false">SUMIFS(Data!$H$4:$H$2311,Data!$B$4:$B$2311,"UCO",Data!$C$4:$C$2311,"Germany",Data!$E$4:$E$2311,2023,Data!$F$4:$F$2311,12)</f>
        <v>10.3570613412272</v>
      </c>
      <c r="N100" s="13" t="n">
        <f aca="false">SUM(B100:M100)</f>
        <v>34.8342014659743</v>
      </c>
    </row>
    <row r="101" customFormat="false" ht="15" hidden="false" customHeight="false" outlineLevel="0" collapsed="false">
      <c r="A101" s="11" t="s">
        <v>61</v>
      </c>
      <c r="B101" s="12" t="n">
        <f aca="false">SUMIFS(Data!$H$4:$H$2311,Data!$B$4:$B$2311,"UCO",Data!$C$4:$C$2311,"Netherlands",Data!$E$4:$E$2311,2023,Data!$F$4:$F$2311,1)</f>
        <v>0</v>
      </c>
      <c r="C101" s="12" t="n">
        <f aca="false">SUMIFS(Data!$H$4:$H$2311,Data!$B$4:$B$2311,"UCO",Data!$C$4:$C$2311,"Netherlands",Data!$E$4:$E$2311,2023,Data!$F$4:$F$2311,2)</f>
        <v>0</v>
      </c>
      <c r="D101" s="12" t="n">
        <f aca="false">SUMIFS(Data!$H$4:$H$2311,Data!$B$4:$B$2311,"UCO",Data!$C$4:$C$2311,"Netherlands",Data!$E$4:$E$2311,2023,Data!$F$4:$F$2311,3)</f>
        <v>0</v>
      </c>
      <c r="E101" s="12" t="n">
        <f aca="false">SUMIFS(Data!$H$4:$H$2311,Data!$B$4:$B$2311,"UCO",Data!$C$4:$C$2311,"Netherlands",Data!$E$4:$E$2311,2023,Data!$F$4:$F$2311,4)</f>
        <v>0</v>
      </c>
      <c r="F101" s="12" t="n">
        <f aca="false">SUMIFS(Data!$H$4:$H$2311,Data!$B$4:$B$2311,"UCO",Data!$C$4:$C$2311,"Netherlands",Data!$E$4:$E$2311,2023,Data!$F$4:$F$2311,5)</f>
        <v>0</v>
      </c>
      <c r="G101" s="12" t="n">
        <f aca="false">SUMIFS(Data!$H$4:$H$2311,Data!$B$4:$B$2311,"UCO",Data!$C$4:$C$2311,"Netherlands",Data!$E$4:$E$2311,2023,Data!$F$4:$F$2311,6)</f>
        <v>4.84495804019195</v>
      </c>
      <c r="H101" s="12" t="n">
        <f aca="false">SUMIFS(Data!$H$4:$H$2311,Data!$B$4:$B$2311,"UCO",Data!$C$4:$C$2311,"Netherlands",Data!$E$4:$E$2311,2023,Data!$F$4:$F$2311,7)</f>
        <v>0</v>
      </c>
      <c r="I101" s="12" t="n">
        <f aca="false">SUMIFS(Data!$H$4:$H$2311,Data!$B$4:$B$2311,"UCO",Data!$C$4:$C$2311,"Netherlands",Data!$E$4:$E$2311,2023,Data!$F$4:$F$2311,8)</f>
        <v>3.99142516440699</v>
      </c>
      <c r="J101" s="12" t="n">
        <f aca="false">SUMIFS(Data!$H$4:$H$2311,Data!$B$4:$B$2311,"UCO",Data!$C$4:$C$2311,"Netherlands",Data!$E$4:$E$2311,2023,Data!$F$4:$F$2311,9)</f>
        <v>11.6553195107822</v>
      </c>
      <c r="K101" s="12" t="n">
        <f aca="false">SUMIFS(Data!$H$4:$H$2311,Data!$B$4:$B$2311,"UCO",Data!$C$4:$C$2311,"Netherlands",Data!$E$4:$E$2311,2023,Data!$F$4:$F$2311,10)</f>
        <v>4.97655196449017</v>
      </c>
      <c r="L101" s="12" t="n">
        <f aca="false">SUMIFS(Data!$H$4:$H$2311,Data!$B$4:$B$2311,"UCO",Data!$C$4:$C$2311,"Netherlands",Data!$E$4:$E$2311,2023,Data!$F$4:$F$2311,11)</f>
        <v>0</v>
      </c>
      <c r="M101" s="12" t="n">
        <f aca="false">SUMIFS(Data!$H$4:$H$2311,Data!$B$4:$B$2311,"UCO",Data!$C$4:$C$2311,"Netherlands",Data!$E$4:$E$2311,2023,Data!$F$4:$F$2311,12)</f>
        <v>8.54352995400287</v>
      </c>
      <c r="N101" s="13" t="n">
        <f aca="false">SUM(B101:M101)</f>
        <v>34.0117846338742</v>
      </c>
    </row>
    <row r="102" customFormat="false" ht="15" hidden="false" customHeight="false" outlineLevel="0" collapsed="false">
      <c r="A102" s="11" t="s">
        <v>126</v>
      </c>
      <c r="B102" s="12" t="n">
        <f aca="false">SUMIFS(Data!$H$4:$H$2311,Data!$B$4:$B$2311,"UCO",Data!$C$4:$C$2311,"Indonesia",Data!$E$4:$E$2311,2023,Data!$F$4:$F$2311,1)</f>
        <v>0</v>
      </c>
      <c r="C102" s="12" t="n">
        <f aca="false">SUMIFS(Data!$H$4:$H$2311,Data!$B$4:$B$2311,"UCO",Data!$C$4:$C$2311,"Indonesia",Data!$E$4:$E$2311,2023,Data!$F$4:$F$2311,2)</f>
        <v>0</v>
      </c>
      <c r="D102" s="12" t="n">
        <f aca="false">SUMIFS(Data!$H$4:$H$2311,Data!$B$4:$B$2311,"UCO",Data!$C$4:$C$2311,"Indonesia",Data!$E$4:$E$2311,2023,Data!$F$4:$F$2311,3)</f>
        <v>0</v>
      </c>
      <c r="E102" s="12" t="n">
        <f aca="false">SUMIFS(Data!$H$4:$H$2311,Data!$B$4:$B$2311,"UCO",Data!$C$4:$C$2311,"Indonesia",Data!$E$4:$E$2311,2023,Data!$F$4:$F$2311,4)</f>
        <v>10.8934041372935</v>
      </c>
      <c r="F102" s="12" t="n">
        <f aca="false">SUMIFS(Data!$H$4:$H$2311,Data!$B$4:$B$2311,"UCO",Data!$C$4:$C$2311,"Indonesia",Data!$E$4:$E$2311,2023,Data!$F$4:$F$2311,5)</f>
        <v>0</v>
      </c>
      <c r="G102" s="12" t="n">
        <f aca="false">SUMIFS(Data!$H$4:$H$2311,Data!$B$4:$B$2311,"UCO",Data!$C$4:$C$2311,"Indonesia",Data!$E$4:$E$2311,2023,Data!$F$4:$F$2311,6)</f>
        <v>0</v>
      </c>
      <c r="H102" s="12" t="n">
        <f aca="false">SUMIFS(Data!$H$4:$H$2311,Data!$B$4:$B$2311,"UCO",Data!$C$4:$C$2311,"Indonesia",Data!$E$4:$E$2311,2023,Data!$F$4:$F$2311,7)</f>
        <v>1.12553039637832</v>
      </c>
      <c r="I102" s="12" t="n">
        <f aca="false">SUMIFS(Data!$H$4:$H$2311,Data!$B$4:$B$2311,"UCO",Data!$C$4:$C$2311,"Indonesia",Data!$E$4:$E$2311,2023,Data!$F$4:$F$2311,8)</f>
        <v>7.71608217307964</v>
      </c>
      <c r="J102" s="12" t="n">
        <f aca="false">SUMIFS(Data!$H$4:$H$2311,Data!$B$4:$B$2311,"UCO",Data!$C$4:$C$2311,"Indonesia",Data!$E$4:$E$2311,2023,Data!$F$4:$F$2311,9)</f>
        <v>0</v>
      </c>
      <c r="K102" s="12" t="n">
        <f aca="false">SUMIFS(Data!$H$4:$H$2311,Data!$B$4:$B$2311,"UCO",Data!$C$4:$C$2311,"Indonesia",Data!$E$4:$E$2311,2023,Data!$F$4:$F$2311,10)</f>
        <v>1.30273355347738</v>
      </c>
      <c r="L102" s="12" t="n">
        <f aca="false">SUMIFS(Data!$H$4:$H$2311,Data!$B$4:$B$2311,"UCO",Data!$C$4:$C$2311,"Indonesia",Data!$E$4:$E$2311,2023,Data!$F$4:$F$2311,11)</f>
        <v>0.434961020177896</v>
      </c>
      <c r="M102" s="12" t="n">
        <f aca="false">SUMIFS(Data!$H$4:$H$2311,Data!$B$4:$B$2311,"UCO",Data!$C$4:$C$2311,"Indonesia",Data!$E$4:$E$2311,2023,Data!$F$4:$F$2311,12)</f>
        <v>5.92726240082366</v>
      </c>
      <c r="N102" s="13" t="n">
        <f aca="false">SUM(B102:M102)</f>
        <v>27.3999736812304</v>
      </c>
    </row>
    <row r="103" customFormat="false" ht="15" hidden="false" customHeight="false" outlineLevel="0" collapsed="false">
      <c r="A103" s="11" t="s">
        <v>65</v>
      </c>
      <c r="B103" s="12" t="n">
        <f aca="false">SUMIFS(Data!$H$4:$H$2311,Data!$B$4:$B$2311,"UCO",Data!$C$4:$C$2311,"Malaysia",Data!$E$4:$E$2311,2023,Data!$F$4:$F$2311,1)</f>
        <v>0</v>
      </c>
      <c r="C103" s="12" t="n">
        <f aca="false">SUMIFS(Data!$H$4:$H$2311,Data!$B$4:$B$2311,"UCO",Data!$C$4:$C$2311,"Malaysia",Data!$E$4:$E$2311,2023,Data!$F$4:$F$2311,2)</f>
        <v>0</v>
      </c>
      <c r="D103" s="12" t="n">
        <f aca="false">SUMIFS(Data!$H$4:$H$2311,Data!$B$4:$B$2311,"UCO",Data!$C$4:$C$2311,"Malaysia",Data!$E$4:$E$2311,2023,Data!$F$4:$F$2311,3)</f>
        <v>0</v>
      </c>
      <c r="E103" s="12" t="n">
        <f aca="false">SUMIFS(Data!$H$4:$H$2311,Data!$B$4:$B$2311,"UCO",Data!$C$4:$C$2311,"Malaysia",Data!$E$4:$E$2311,2023,Data!$F$4:$F$2311,4)</f>
        <v>0</v>
      </c>
      <c r="F103" s="12" t="n">
        <f aca="false">SUMIFS(Data!$H$4:$H$2311,Data!$B$4:$B$2311,"UCO",Data!$C$4:$C$2311,"Malaysia",Data!$E$4:$E$2311,2023,Data!$F$4:$F$2311,5)</f>
        <v>0</v>
      </c>
      <c r="G103" s="12" t="n">
        <f aca="false">SUMIFS(Data!$H$4:$H$2311,Data!$B$4:$B$2311,"UCO",Data!$C$4:$C$2311,"Malaysia",Data!$E$4:$E$2311,2023,Data!$F$4:$F$2311,6)</f>
        <v>0</v>
      </c>
      <c r="H103" s="12" t="n">
        <f aca="false">SUMIFS(Data!$H$4:$H$2311,Data!$B$4:$B$2311,"UCO",Data!$C$4:$C$2311,"Malaysia",Data!$E$4:$E$2311,2023,Data!$F$4:$F$2311,7)</f>
        <v>0.336112355682007</v>
      </c>
      <c r="I103" s="12" t="n">
        <f aca="false">SUMIFS(Data!$H$4:$H$2311,Data!$B$4:$B$2311,"UCO",Data!$C$4:$C$2311,"Malaysia",Data!$E$4:$E$2311,2023,Data!$F$4:$F$2311,8)</f>
        <v>0</v>
      </c>
      <c r="J103" s="12" t="n">
        <f aca="false">SUMIFS(Data!$H$4:$H$2311,Data!$B$4:$B$2311,"UCO",Data!$C$4:$C$2311,"Malaysia",Data!$E$4:$E$2311,2023,Data!$F$4:$F$2311,9)</f>
        <v>0</v>
      </c>
      <c r="K103" s="12" t="n">
        <f aca="false">SUMIFS(Data!$H$4:$H$2311,Data!$B$4:$B$2311,"UCO",Data!$C$4:$C$2311,"Malaysia",Data!$E$4:$E$2311,2023,Data!$F$4:$F$2311,10)</f>
        <v>10.7096775018563</v>
      </c>
      <c r="L103" s="12" t="n">
        <f aca="false">SUMIFS(Data!$H$4:$H$2311,Data!$B$4:$B$2311,"UCO",Data!$C$4:$C$2311,"Malaysia",Data!$E$4:$E$2311,2023,Data!$F$4:$F$2311,11)</f>
        <v>0</v>
      </c>
      <c r="M103" s="12" t="n">
        <f aca="false">SUMIFS(Data!$H$4:$H$2311,Data!$B$4:$B$2311,"UCO",Data!$C$4:$C$2311,"Malaysia",Data!$E$4:$E$2311,2023,Data!$F$4:$F$2311,12)</f>
        <v>15.3919189601974</v>
      </c>
      <c r="N103" s="13" t="n">
        <f aca="false">SUM(B103:M103)</f>
        <v>26.4377088177358</v>
      </c>
    </row>
    <row r="104" customFormat="false" ht="15" hidden="false" customHeight="false" outlineLevel="0" collapsed="false">
      <c r="A104" s="11" t="s">
        <v>74</v>
      </c>
      <c r="B104" s="12" t="n">
        <f aca="false">SUMIFS(Data!$H$4:$H$2311,Data!$B$4:$B$2311,"UCO",Data!$C$4:$C$2311,"United Kingdom",Data!$E$4:$E$2311,2023,Data!$F$4:$F$2311,1)</f>
        <v>0</v>
      </c>
      <c r="C104" s="12" t="n">
        <f aca="false">SUMIFS(Data!$H$4:$H$2311,Data!$B$4:$B$2311,"UCO",Data!$C$4:$C$2311,"United Kingdom",Data!$E$4:$E$2311,2023,Data!$F$4:$F$2311,2)</f>
        <v>0.00018739292285725</v>
      </c>
      <c r="D104" s="12" t="n">
        <f aca="false">SUMIFS(Data!$H$4:$H$2311,Data!$B$4:$B$2311,"UCO",Data!$C$4:$C$2311,"United Kingdom",Data!$E$4:$E$2311,2023,Data!$F$4:$F$2311,3)</f>
        <v>0.000485016976807</v>
      </c>
      <c r="E104" s="12" t="n">
        <f aca="false">SUMIFS(Data!$H$4:$H$2311,Data!$B$4:$B$2311,"UCO",Data!$C$4:$C$2311,"United Kingdom",Data!$E$4:$E$2311,2023,Data!$F$4:$F$2311,4)</f>
        <v>0.001058218858488</v>
      </c>
      <c r="F104" s="12" t="n">
        <f aca="false">SUMIFS(Data!$H$4:$H$2311,Data!$B$4:$B$2311,"UCO",Data!$C$4:$C$2311,"United Kingdom",Data!$E$4:$E$2311,2023,Data!$F$4:$F$2311,5)</f>
        <v>0.00705479238992</v>
      </c>
      <c r="G104" s="12" t="n">
        <f aca="false">SUMIFS(Data!$H$4:$H$2311,Data!$B$4:$B$2311,"UCO",Data!$C$4:$C$2311,"United Kingdom",Data!$E$4:$E$2311,2023,Data!$F$4:$F$2311,6)</f>
        <v>8.84155304464717</v>
      </c>
      <c r="H104" s="12" t="n">
        <f aca="false">SUMIFS(Data!$H$4:$H$2311,Data!$B$4:$B$2311,"UCO",Data!$C$4:$C$2311,"United Kingdom",Data!$E$4:$E$2311,2023,Data!$F$4:$F$2311,7)</f>
        <v>0</v>
      </c>
      <c r="I104" s="12" t="n">
        <f aca="false">SUMIFS(Data!$H$4:$H$2311,Data!$B$4:$B$2311,"UCO",Data!$C$4:$C$2311,"United Kingdom",Data!$E$4:$E$2311,2023,Data!$F$4:$F$2311,8)</f>
        <v>8.81360504366998</v>
      </c>
      <c r="J104" s="12" t="n">
        <f aca="false">SUMIFS(Data!$H$4:$H$2311,Data!$B$4:$B$2311,"UCO",Data!$C$4:$C$2311,"United Kingdom",Data!$E$4:$E$2311,2023,Data!$F$4:$F$2311,9)</f>
        <v>6.95348336657813</v>
      </c>
      <c r="K104" s="12" t="n">
        <f aca="false">SUMIFS(Data!$H$4:$H$2311,Data!$B$4:$B$2311,"UCO",Data!$C$4:$C$2311,"United Kingdom",Data!$E$4:$E$2311,2023,Data!$F$4:$F$2311,10)</f>
        <v>0.00016534669663875</v>
      </c>
      <c r="L104" s="12" t="n">
        <f aca="false">SUMIFS(Data!$H$4:$H$2311,Data!$B$4:$B$2311,"UCO",Data!$C$4:$C$2311,"United Kingdom",Data!$E$4:$E$2311,2023,Data!$F$4:$F$2311,11)</f>
        <v>0.001102311310925</v>
      </c>
      <c r="M104" s="12" t="n">
        <f aca="false">SUMIFS(Data!$H$4:$H$2311,Data!$B$4:$B$2311,"UCO",Data!$C$4:$C$2311,"United Kingdom",Data!$E$4:$E$2311,2023,Data!$F$4:$F$2311,12)</f>
        <v>0.001102311310925</v>
      </c>
      <c r="N104" s="13" t="n">
        <f aca="false">SUM(B104:M104)</f>
        <v>24.6197968453618</v>
      </c>
    </row>
    <row r="105" customFormat="false" ht="15" hidden="false" customHeight="false" outlineLevel="0" collapsed="false">
      <c r="A105" s="11" t="s">
        <v>73</v>
      </c>
      <c r="B105" s="12" t="n">
        <f aca="false">SUMIFS(Data!$H$4:$H$2311,Data!$B$4:$B$2311,"UCO",Data!$C$4:$C$2311,"Belgium",Data!$E$4:$E$2311,2023,Data!$F$4:$F$2311,1)</f>
        <v>0</v>
      </c>
      <c r="C105" s="12" t="n">
        <f aca="false">SUMIFS(Data!$H$4:$H$2311,Data!$B$4:$B$2311,"UCO",Data!$C$4:$C$2311,"Belgium",Data!$E$4:$E$2311,2023,Data!$F$4:$F$2311,2)</f>
        <v>0</v>
      </c>
      <c r="D105" s="12" t="n">
        <f aca="false">SUMIFS(Data!$H$4:$H$2311,Data!$B$4:$B$2311,"UCO",Data!$C$4:$C$2311,"Belgium",Data!$E$4:$E$2311,2023,Data!$F$4:$F$2311,3)</f>
        <v>0</v>
      </c>
      <c r="E105" s="12" t="n">
        <f aca="false">SUMIFS(Data!$H$4:$H$2311,Data!$B$4:$B$2311,"UCO",Data!$C$4:$C$2311,"Belgium",Data!$E$4:$E$2311,2023,Data!$F$4:$F$2311,4)</f>
        <v>0</v>
      </c>
      <c r="F105" s="12" t="n">
        <f aca="false">SUMIFS(Data!$H$4:$H$2311,Data!$B$4:$B$2311,"UCO",Data!$C$4:$C$2311,"Belgium",Data!$E$4:$E$2311,2023,Data!$F$4:$F$2311,5)</f>
        <v>0</v>
      </c>
      <c r="G105" s="12" t="n">
        <f aca="false">SUMIFS(Data!$H$4:$H$2311,Data!$B$4:$B$2311,"UCO",Data!$C$4:$C$2311,"Belgium",Data!$E$4:$E$2311,2023,Data!$F$4:$F$2311,6)</f>
        <v>3.79246458665289</v>
      </c>
      <c r="H105" s="12" t="n">
        <f aca="false">SUMIFS(Data!$H$4:$H$2311,Data!$B$4:$B$2311,"UCO",Data!$C$4:$C$2311,"Belgium",Data!$E$4:$E$2311,2023,Data!$F$4:$F$2311,7)</f>
        <v>0</v>
      </c>
      <c r="I105" s="12" t="n">
        <f aca="false">SUMIFS(Data!$H$4:$H$2311,Data!$B$4:$B$2311,"UCO",Data!$C$4:$C$2311,"Belgium",Data!$E$4:$E$2311,2023,Data!$F$4:$F$2311,8)</f>
        <v>4.23358091319099</v>
      </c>
      <c r="J105" s="12" t="n">
        <f aca="false">SUMIFS(Data!$H$4:$H$2311,Data!$B$4:$B$2311,"UCO",Data!$C$4:$C$2311,"Belgium",Data!$E$4:$E$2311,2023,Data!$F$4:$F$2311,9)</f>
        <v>6.07889414013188</v>
      </c>
      <c r="K105" s="12" t="n">
        <f aca="false">SUMIFS(Data!$H$4:$H$2311,Data!$B$4:$B$2311,"UCO",Data!$C$4:$C$2311,"Belgium",Data!$E$4:$E$2311,2023,Data!$F$4:$F$2311,10)</f>
        <v>4.54394768589504</v>
      </c>
      <c r="L105" s="12" t="n">
        <f aca="false">SUMIFS(Data!$H$4:$H$2311,Data!$B$4:$B$2311,"UCO",Data!$C$4:$C$2311,"Belgium",Data!$E$4:$E$2311,2023,Data!$F$4:$F$2311,11)</f>
        <v>0.00104278650013505</v>
      </c>
      <c r="M105" s="12" t="n">
        <f aca="false">SUMIFS(Data!$H$4:$H$2311,Data!$B$4:$B$2311,"UCO",Data!$C$4:$C$2311,"Belgium",Data!$E$4:$E$2311,2023,Data!$F$4:$F$2311,12)</f>
        <v>5.05352415870944</v>
      </c>
      <c r="N105" s="13" t="n">
        <f aca="false">SUM(B105:M105)</f>
        <v>23.7034542710804</v>
      </c>
    </row>
    <row r="106" customFormat="false" ht="15" hidden="false" customHeight="false" outlineLevel="0" collapsed="false">
      <c r="A106" s="11" t="s">
        <v>127</v>
      </c>
      <c r="B106" s="12" t="n">
        <f aca="false">SUMIFS(Data!$H$4:$H$2311,Data!$B$4:$B$2311,"UCO",Data!$C$4:$C$2311,"Korea, South",Data!$E$4:$E$2311,2023,Data!$F$4:$F$2311,1)</f>
        <v>0</v>
      </c>
      <c r="C106" s="12" t="n">
        <f aca="false">SUMIFS(Data!$H$4:$H$2311,Data!$B$4:$B$2311,"UCO",Data!$C$4:$C$2311,"Korea, South",Data!$E$4:$E$2311,2023,Data!$F$4:$F$2311,2)</f>
        <v>0</v>
      </c>
      <c r="D106" s="12" t="n">
        <f aca="false">SUMIFS(Data!$H$4:$H$2311,Data!$B$4:$B$2311,"UCO",Data!$C$4:$C$2311,"Korea, South",Data!$E$4:$E$2311,2023,Data!$F$4:$F$2311,3)</f>
        <v>0</v>
      </c>
      <c r="E106" s="12" t="n">
        <f aca="false">SUMIFS(Data!$H$4:$H$2311,Data!$B$4:$B$2311,"UCO",Data!$C$4:$C$2311,"Korea, South",Data!$E$4:$E$2311,2023,Data!$F$4:$F$2311,4)</f>
        <v>0</v>
      </c>
      <c r="F106" s="12" t="n">
        <f aca="false">SUMIFS(Data!$H$4:$H$2311,Data!$B$4:$B$2311,"UCO",Data!$C$4:$C$2311,"Korea, South",Data!$E$4:$E$2311,2023,Data!$F$4:$F$2311,5)</f>
        <v>0</v>
      </c>
      <c r="G106" s="12" t="n">
        <f aca="false">SUMIFS(Data!$H$4:$H$2311,Data!$B$4:$B$2311,"UCO",Data!$C$4:$C$2311,"Korea, South",Data!$E$4:$E$2311,2023,Data!$F$4:$F$2311,6)</f>
        <v>0</v>
      </c>
      <c r="H106" s="12" t="n">
        <f aca="false">SUMIFS(Data!$H$4:$H$2311,Data!$B$4:$B$2311,"UCO",Data!$C$4:$C$2311,"Korea, South",Data!$E$4:$E$2311,2023,Data!$F$4:$F$2311,7)</f>
        <v>0</v>
      </c>
      <c r="I106" s="12" t="n">
        <f aca="false">SUMIFS(Data!$H$4:$H$2311,Data!$B$4:$B$2311,"UCO",Data!$C$4:$C$2311,"Korea, South",Data!$E$4:$E$2311,2023,Data!$F$4:$F$2311,8)</f>
        <v>0</v>
      </c>
      <c r="J106" s="12" t="n">
        <f aca="false">SUMIFS(Data!$H$4:$H$2311,Data!$B$4:$B$2311,"UCO",Data!$C$4:$C$2311,"Korea, South",Data!$E$4:$E$2311,2023,Data!$F$4:$F$2311,9)</f>
        <v>0</v>
      </c>
      <c r="K106" s="12" t="n">
        <f aca="false">SUMIFS(Data!$H$4:$H$2311,Data!$B$4:$B$2311,"UCO",Data!$C$4:$C$2311,"Korea, South",Data!$E$4:$E$2311,2023,Data!$F$4:$F$2311,10)</f>
        <v>22.141051446711</v>
      </c>
      <c r="L106" s="12" t="n">
        <f aca="false">SUMIFS(Data!$H$4:$H$2311,Data!$B$4:$B$2311,"UCO",Data!$C$4:$C$2311,"Korea, South",Data!$E$4:$E$2311,2023,Data!$F$4:$F$2311,11)</f>
        <v>0</v>
      </c>
      <c r="M106" s="12" t="n">
        <f aca="false">SUMIFS(Data!$H$4:$H$2311,Data!$B$4:$B$2311,"UCO",Data!$C$4:$C$2311,"Korea, South",Data!$E$4:$E$2311,2023,Data!$F$4:$F$2311,12)</f>
        <v>0.215325491476089</v>
      </c>
      <c r="N106" s="13" t="n">
        <f aca="false">SUM(B106:M106)</f>
        <v>22.3563769381871</v>
      </c>
    </row>
    <row r="107" customFormat="false" ht="15" hidden="false" customHeight="false" outlineLevel="0" collapsed="false">
      <c r="A107" s="11" t="s">
        <v>128</v>
      </c>
      <c r="B107" s="12" t="n">
        <f aca="false">SUMIFS(Data!$H$4:$H$2311,Data!$B$4:$B$2311,"UCO",Data!$C$4:$C$2311,"Poland",Data!$E$4:$E$2311,2023,Data!$F$4:$F$2311,1)</f>
        <v>0</v>
      </c>
      <c r="C107" s="12" t="n">
        <f aca="false">SUMIFS(Data!$H$4:$H$2311,Data!$B$4:$B$2311,"UCO",Data!$C$4:$C$2311,"Poland",Data!$E$4:$E$2311,2023,Data!$F$4:$F$2311,2)</f>
        <v>0</v>
      </c>
      <c r="D107" s="12" t="n">
        <f aca="false">SUMIFS(Data!$H$4:$H$2311,Data!$B$4:$B$2311,"UCO",Data!$C$4:$C$2311,"Poland",Data!$E$4:$E$2311,2023,Data!$F$4:$F$2311,3)</f>
        <v>0</v>
      </c>
      <c r="E107" s="12" t="n">
        <f aca="false">SUMIFS(Data!$H$4:$H$2311,Data!$B$4:$B$2311,"UCO",Data!$C$4:$C$2311,"Poland",Data!$E$4:$E$2311,2023,Data!$F$4:$F$2311,4)</f>
        <v>0</v>
      </c>
      <c r="F107" s="12" t="n">
        <f aca="false">SUMIFS(Data!$H$4:$H$2311,Data!$B$4:$B$2311,"UCO",Data!$C$4:$C$2311,"Poland",Data!$E$4:$E$2311,2023,Data!$F$4:$F$2311,5)</f>
        <v>0</v>
      </c>
      <c r="G107" s="12" t="n">
        <f aca="false">SUMIFS(Data!$H$4:$H$2311,Data!$B$4:$B$2311,"UCO",Data!$C$4:$C$2311,"Poland",Data!$E$4:$E$2311,2023,Data!$F$4:$F$2311,6)</f>
        <v>0.655542331984476</v>
      </c>
      <c r="H107" s="12" t="n">
        <f aca="false">SUMIFS(Data!$H$4:$H$2311,Data!$B$4:$B$2311,"UCO",Data!$C$4:$C$2311,"Poland",Data!$E$4:$E$2311,2023,Data!$F$4:$F$2311,7)</f>
        <v>0</v>
      </c>
      <c r="I107" s="12" t="n">
        <f aca="false">SUMIFS(Data!$H$4:$H$2311,Data!$B$4:$B$2311,"UCO",Data!$C$4:$C$2311,"Poland",Data!$E$4:$E$2311,2023,Data!$F$4:$F$2311,8)</f>
        <v>1.33506654884944</v>
      </c>
      <c r="J107" s="12" t="n">
        <f aca="false">SUMIFS(Data!$H$4:$H$2311,Data!$B$4:$B$2311,"UCO",Data!$C$4:$C$2311,"Poland",Data!$E$4:$E$2311,2023,Data!$F$4:$F$2311,9)</f>
        <v>5.63178564930759</v>
      </c>
      <c r="K107" s="12" t="n">
        <f aca="false">SUMIFS(Data!$H$4:$H$2311,Data!$B$4:$B$2311,"UCO",Data!$C$4:$C$2311,"Poland",Data!$E$4:$E$2311,2023,Data!$F$4:$F$2311,10)</f>
        <v>2.0593798788999</v>
      </c>
      <c r="L107" s="12" t="n">
        <f aca="false">SUMIFS(Data!$H$4:$H$2311,Data!$B$4:$B$2311,"UCO",Data!$C$4:$C$2311,"Poland",Data!$E$4:$E$2311,2023,Data!$F$4:$F$2311,11)</f>
        <v>0</v>
      </c>
      <c r="M107" s="12" t="n">
        <f aca="false">SUMIFS(Data!$H$4:$H$2311,Data!$B$4:$B$2311,"UCO",Data!$C$4:$C$2311,"Poland",Data!$E$4:$E$2311,2023,Data!$F$4:$F$2311,12)</f>
        <v>3.54779997732522</v>
      </c>
      <c r="N107" s="13" t="n">
        <f aca="false">SUM(B107:M107)</f>
        <v>13.2295743863666</v>
      </c>
    </row>
    <row r="108" customFormat="false" ht="15" hidden="false" customHeight="false" outlineLevel="0" collapsed="false">
      <c r="A108" s="11" t="s">
        <v>67</v>
      </c>
      <c r="B108" s="12" t="n">
        <f aca="false">SUMIFS(Data!$H$4:$H$2311,Data!$B$4:$B$2311,"UCO",Data!$C$4:$C$2311,"Japan",Data!$E$4:$E$2311,2023,Data!$F$4:$F$2311,1)</f>
        <v>0.550141529056449</v>
      </c>
      <c r="C108" s="12" t="n">
        <f aca="false">SUMIFS(Data!$H$4:$H$2311,Data!$B$4:$B$2311,"UCO",Data!$C$4:$C$2311,"Japan",Data!$E$4:$E$2311,2023,Data!$F$4:$F$2311,2)</f>
        <v>6.62332128735249</v>
      </c>
      <c r="D108" s="12" t="n">
        <f aca="false">SUMIFS(Data!$H$4:$H$2311,Data!$B$4:$B$2311,"UCO",Data!$C$4:$C$2311,"Japan",Data!$E$4:$E$2311,2023,Data!$F$4:$F$2311,3)</f>
        <v>0</v>
      </c>
      <c r="E108" s="12" t="n">
        <f aca="false">SUMIFS(Data!$H$4:$H$2311,Data!$B$4:$B$2311,"UCO",Data!$C$4:$C$2311,"Japan",Data!$E$4:$E$2311,2023,Data!$F$4:$F$2311,4)</f>
        <v>0</v>
      </c>
      <c r="F108" s="12" t="n">
        <f aca="false">SUMIFS(Data!$H$4:$H$2311,Data!$B$4:$B$2311,"UCO",Data!$C$4:$C$2311,"Japan",Data!$E$4:$E$2311,2023,Data!$F$4:$F$2311,5)</f>
        <v>0.002777824503531</v>
      </c>
      <c r="G108" s="12" t="n">
        <f aca="false">SUMIFS(Data!$H$4:$H$2311,Data!$B$4:$B$2311,"UCO",Data!$C$4:$C$2311,"Japan",Data!$E$4:$E$2311,2023,Data!$F$4:$F$2311,6)</f>
        <v>0.0006437498055802</v>
      </c>
      <c r="H108" s="12" t="n">
        <f aca="false">SUMIFS(Data!$H$4:$H$2311,Data!$B$4:$B$2311,"UCO",Data!$C$4:$C$2311,"Japan",Data!$E$4:$E$2311,2023,Data!$F$4:$F$2311,7)</f>
        <v>0.0093652368976188</v>
      </c>
      <c r="I108" s="12" t="n">
        <f aca="false">SUMIFS(Data!$H$4:$H$2311,Data!$B$4:$B$2311,"UCO",Data!$C$4:$C$2311,"Japan",Data!$E$4:$E$2311,2023,Data!$F$4:$F$2311,8)</f>
        <v>0.001190496215799</v>
      </c>
      <c r="J108" s="12" t="n">
        <f aca="false">SUMIFS(Data!$H$4:$H$2311,Data!$B$4:$B$2311,"UCO",Data!$C$4:$C$2311,"Japan",Data!$E$4:$E$2311,2023,Data!$F$4:$F$2311,9)</f>
        <v>0</v>
      </c>
      <c r="K108" s="12" t="n">
        <f aca="false">SUMIFS(Data!$H$4:$H$2311,Data!$B$4:$B$2311,"UCO",Data!$C$4:$C$2311,"Japan",Data!$E$4:$E$2311,2023,Data!$F$4:$F$2311,10)</f>
        <v>0</v>
      </c>
      <c r="L108" s="12" t="n">
        <f aca="false">SUMIFS(Data!$H$4:$H$2311,Data!$B$4:$B$2311,"UCO",Data!$C$4:$C$2311,"Japan",Data!$E$4:$E$2311,2023,Data!$F$4:$F$2311,11)</f>
        <v>0.0060318474933816</v>
      </c>
      <c r="M108" s="12" t="n">
        <f aca="false">SUMIFS(Data!$H$4:$H$2311,Data!$B$4:$B$2311,"UCO",Data!$C$4:$C$2311,"Japan",Data!$E$4:$E$2311,2023,Data!$F$4:$F$2311,12)</f>
        <v>0.0018254275308918</v>
      </c>
      <c r="N108" s="13" t="n">
        <f aca="false">SUM(B108:M108)</f>
        <v>7.19529739885574</v>
      </c>
    </row>
    <row r="109" customFormat="false" ht="15" hidden="false" customHeight="false" outlineLevel="0" collapsed="false">
      <c r="A109" s="11" t="s">
        <v>49</v>
      </c>
      <c r="B109" s="12" t="n">
        <f aca="false">SUMIFS(Data!$H$4:$H$2311,Data!$B$4:$B$2311,"UCO",Data!$C$4:$C$2311,"Brazil",Data!$E$4:$E$2311,2023,Data!$F$4:$F$2311,1)</f>
        <v>0</v>
      </c>
      <c r="C109" s="12" t="n">
        <f aca="false">SUMIFS(Data!$H$4:$H$2311,Data!$B$4:$B$2311,"UCO",Data!$C$4:$C$2311,"Brazil",Data!$E$4:$E$2311,2023,Data!$F$4:$F$2311,2)</f>
        <v>0.220462262185</v>
      </c>
      <c r="D109" s="12" t="n">
        <f aca="false">SUMIFS(Data!$H$4:$H$2311,Data!$B$4:$B$2311,"UCO",Data!$C$4:$C$2311,"Brazil",Data!$E$4:$E$2311,2023,Data!$F$4:$F$2311,3)</f>
        <v>0.0793664143866</v>
      </c>
      <c r="E109" s="12" t="n">
        <f aca="false">SUMIFS(Data!$H$4:$H$2311,Data!$B$4:$B$2311,"UCO",Data!$C$4:$C$2311,"Brazil",Data!$E$4:$E$2311,2023,Data!$F$4:$F$2311,4)</f>
        <v>0.088184904874</v>
      </c>
      <c r="F109" s="12" t="n">
        <f aca="false">SUMIFS(Data!$H$4:$H$2311,Data!$B$4:$B$2311,"UCO",Data!$C$4:$C$2311,"Brazil",Data!$E$4:$E$2311,2023,Data!$F$4:$F$2311,5)</f>
        <v>0.132277357311</v>
      </c>
      <c r="G109" s="12" t="n">
        <f aca="false">SUMIFS(Data!$H$4:$H$2311,Data!$B$4:$B$2311,"UCO",Data!$C$4:$C$2311,"Brazil",Data!$E$4:$E$2311,2023,Data!$F$4:$F$2311,6)</f>
        <v>0.03351026385212</v>
      </c>
      <c r="H109" s="12" t="n">
        <f aca="false">SUMIFS(Data!$H$4:$H$2311,Data!$B$4:$B$2311,"UCO",Data!$C$4:$C$2311,"Brazil",Data!$E$4:$E$2311,2023,Data!$F$4:$F$2311,7)</f>
        <v>0</v>
      </c>
      <c r="I109" s="12" t="n">
        <f aca="false">SUMIFS(Data!$H$4:$H$2311,Data!$B$4:$B$2311,"UCO",Data!$C$4:$C$2311,"Brazil",Data!$E$4:$E$2311,2023,Data!$F$4:$F$2311,8)</f>
        <v>0.413688616499665</v>
      </c>
      <c r="J109" s="12" t="n">
        <f aca="false">SUMIFS(Data!$H$4:$H$2311,Data!$B$4:$B$2311,"UCO",Data!$C$4:$C$2311,"Brazil",Data!$E$4:$E$2311,2023,Data!$F$4:$F$2311,9)</f>
        <v>1.4330047042025</v>
      </c>
      <c r="K109" s="12" t="n">
        <f aca="false">SUMIFS(Data!$H$4:$H$2311,Data!$B$4:$B$2311,"UCO",Data!$C$4:$C$2311,"Brazil",Data!$E$4:$E$2311,2023,Data!$F$4:$F$2311,10)</f>
        <v>1.05730834934518</v>
      </c>
      <c r="L109" s="12" t="n">
        <f aca="false">SUMIFS(Data!$H$4:$H$2311,Data!$B$4:$B$2311,"UCO",Data!$C$4:$C$2311,"Brazil",Data!$E$4:$E$2311,2023,Data!$F$4:$F$2311,11)</f>
        <v>1.5829190424883</v>
      </c>
      <c r="M109" s="12" t="n">
        <f aca="false">SUMIFS(Data!$H$4:$H$2311,Data!$B$4:$B$2311,"UCO",Data!$C$4:$C$2311,"Brazil",Data!$E$4:$E$2311,2023,Data!$F$4:$F$2311,12)</f>
        <v>0.486946021601119</v>
      </c>
      <c r="N109" s="13" t="n">
        <f aca="false">SUM(B109:M109)</f>
        <v>5.52766793674548</v>
      </c>
    </row>
    <row r="110" customFormat="false" ht="15" hidden="false" customHeight="false" outlineLevel="0" collapsed="false">
      <c r="A110" s="11" t="s">
        <v>63</v>
      </c>
      <c r="B110" s="12" t="n">
        <f aca="false">SUMIFS(Data!$H$4:$H$2311,Data!$B$4:$B$2311,"UCO",Data!$C$4:$C$2311,"Peru",Data!$E$4:$E$2311,2023,Data!$F$4:$F$2311,1)</f>
        <v>1.12546866694491</v>
      </c>
      <c r="C110" s="12" t="n">
        <f aca="false">SUMIFS(Data!$H$4:$H$2311,Data!$B$4:$B$2311,"UCO",Data!$C$4:$C$2311,"Peru",Data!$E$4:$E$2311,2023,Data!$F$4:$F$2311,2)</f>
        <v>1.20780250338052</v>
      </c>
      <c r="D110" s="12" t="n">
        <f aca="false">SUMIFS(Data!$H$4:$H$2311,Data!$B$4:$B$2311,"UCO",Data!$C$4:$C$2311,"Peru",Data!$E$4:$E$2311,2023,Data!$F$4:$F$2311,3)</f>
        <v>0.142220205335544</v>
      </c>
      <c r="E110" s="12" t="n">
        <f aca="false">SUMIFS(Data!$H$4:$H$2311,Data!$B$4:$B$2311,"UCO",Data!$C$4:$C$2311,"Peru",Data!$E$4:$E$2311,2023,Data!$F$4:$F$2311,4)</f>
        <v>0.398112957676295</v>
      </c>
      <c r="F110" s="12" t="n">
        <f aca="false">SUMIFS(Data!$H$4:$H$2311,Data!$B$4:$B$2311,"UCO",Data!$C$4:$C$2311,"Peru",Data!$E$4:$E$2311,2023,Data!$F$4:$F$2311,5)</f>
        <v>0.661386786555</v>
      </c>
      <c r="G110" s="12" t="n">
        <f aca="false">SUMIFS(Data!$H$4:$H$2311,Data!$B$4:$B$2311,"UCO",Data!$C$4:$C$2311,"Peru",Data!$E$4:$E$2311,2023,Data!$F$4:$F$2311,6)</f>
        <v>0.760164903126989</v>
      </c>
      <c r="H110" s="12" t="n">
        <f aca="false">SUMIFS(Data!$H$4:$H$2311,Data!$B$4:$B$2311,"UCO",Data!$C$4:$C$2311,"Peru",Data!$E$4:$E$2311,2023,Data!$F$4:$F$2311,7)</f>
        <v>0.691832624962748</v>
      </c>
      <c r="I110" s="12" t="n">
        <f aca="false">SUMIFS(Data!$H$4:$H$2311,Data!$B$4:$B$2311,"UCO",Data!$C$4:$C$2311,"Peru",Data!$E$4:$E$2311,2023,Data!$F$4:$F$2311,8)</f>
        <v>0</v>
      </c>
      <c r="J110" s="12" t="n">
        <f aca="false">SUMIFS(Data!$H$4:$H$2311,Data!$B$4:$B$2311,"UCO",Data!$C$4:$C$2311,"Peru",Data!$E$4:$E$2311,2023,Data!$F$4:$F$2311,9)</f>
        <v>0</v>
      </c>
      <c r="K110" s="12" t="n">
        <f aca="false">SUMIFS(Data!$H$4:$H$2311,Data!$B$4:$B$2311,"UCO",Data!$C$4:$C$2311,"Peru",Data!$E$4:$E$2311,2023,Data!$F$4:$F$2311,10)</f>
        <v>0</v>
      </c>
      <c r="L110" s="12" t="n">
        <f aca="false">SUMIFS(Data!$H$4:$H$2311,Data!$B$4:$B$2311,"UCO",Data!$C$4:$C$2311,"Peru",Data!$E$4:$E$2311,2023,Data!$F$4:$F$2311,11)</f>
        <v>0</v>
      </c>
      <c r="M110" s="12" t="n">
        <f aca="false">SUMIFS(Data!$H$4:$H$2311,Data!$B$4:$B$2311,"UCO",Data!$C$4:$C$2311,"Peru",Data!$E$4:$E$2311,2023,Data!$F$4:$F$2311,12)</f>
        <v>0</v>
      </c>
      <c r="N110" s="13" t="n">
        <f aca="false">SUM(B110:M110)</f>
        <v>4.98698864798201</v>
      </c>
    </row>
    <row r="111" customFormat="false" ht="15" hidden="false" customHeight="false" outlineLevel="0" collapsed="false">
      <c r="A111" s="11" t="s">
        <v>129</v>
      </c>
      <c r="B111" s="12" t="n">
        <f aca="false">SUMIFS(Data!$H$4:$H$2311,Data!$B$4:$B$2311,"UCO",Data!$C$4:$C$2311,"Panama",Data!$E$4:$E$2311,2023,Data!$F$4:$F$2311,1)</f>
        <v>0.0515925785965337</v>
      </c>
      <c r="C111" s="12" t="n">
        <f aca="false">SUMIFS(Data!$H$4:$H$2311,Data!$B$4:$B$2311,"UCO",Data!$C$4:$C$2311,"Panama",Data!$E$4:$E$2311,2023,Data!$F$4:$F$2311,2)</f>
        <v>0.141814554773123</v>
      </c>
      <c r="D111" s="12" t="n">
        <f aca="false">SUMIFS(Data!$H$4:$H$2311,Data!$B$4:$B$2311,"UCO",Data!$C$4:$C$2311,"Panama",Data!$E$4:$E$2311,2023,Data!$F$4:$F$2311,3)</f>
        <v>0</v>
      </c>
      <c r="E111" s="12" t="n">
        <f aca="false">SUMIFS(Data!$H$4:$H$2311,Data!$B$4:$B$2311,"UCO",Data!$C$4:$C$2311,"Panama",Data!$E$4:$E$2311,2023,Data!$F$4:$F$2311,4)</f>
        <v>0</v>
      </c>
      <c r="F111" s="12" t="n">
        <f aca="false">SUMIFS(Data!$H$4:$H$2311,Data!$B$4:$B$2311,"UCO",Data!$C$4:$C$2311,"Panama",Data!$E$4:$E$2311,2023,Data!$F$4:$F$2311,5)</f>
        <v>0.290739017501712</v>
      </c>
      <c r="G111" s="12" t="n">
        <f aca="false">SUMIFS(Data!$H$4:$H$2311,Data!$B$4:$B$2311,"UCO",Data!$C$4:$C$2311,"Panama",Data!$E$4:$E$2311,2023,Data!$F$4:$F$2311,6)</f>
        <v>0.535657158430895</v>
      </c>
      <c r="H111" s="12" t="n">
        <f aca="false">SUMIFS(Data!$H$4:$H$2311,Data!$B$4:$B$2311,"UCO",Data!$C$4:$C$2311,"Panama",Data!$E$4:$E$2311,2023,Data!$F$4:$F$2311,7)</f>
        <v>1.12118288056804</v>
      </c>
      <c r="I111" s="12" t="n">
        <f aca="false">SUMIFS(Data!$H$4:$H$2311,Data!$B$4:$B$2311,"UCO",Data!$C$4:$C$2311,"Panama",Data!$E$4:$E$2311,2023,Data!$F$4:$F$2311,8)</f>
        <v>0.985378127062076</v>
      </c>
      <c r="J111" s="12" t="n">
        <f aca="false">SUMIFS(Data!$H$4:$H$2311,Data!$B$4:$B$2311,"UCO",Data!$C$4:$C$2311,"Panama",Data!$E$4:$E$2311,2023,Data!$F$4:$F$2311,9)</f>
        <v>0.142043835525796</v>
      </c>
      <c r="K111" s="12" t="n">
        <f aca="false">SUMIFS(Data!$H$4:$H$2311,Data!$B$4:$B$2311,"UCO",Data!$C$4:$C$2311,"Panama",Data!$E$4:$E$2311,2023,Data!$F$4:$F$2311,10)</f>
        <v>0.106734599614246</v>
      </c>
      <c r="L111" s="12" t="n">
        <f aca="false">SUMIFS(Data!$H$4:$H$2311,Data!$B$4:$B$2311,"UCO",Data!$C$4:$C$2311,"Panama",Data!$E$4:$E$2311,2023,Data!$F$4:$F$2311,11)</f>
        <v>0.153851794288424</v>
      </c>
      <c r="M111" s="12" t="n">
        <f aca="false">SUMIFS(Data!$H$4:$H$2311,Data!$B$4:$B$2311,"UCO",Data!$C$4:$C$2311,"Panama",Data!$E$4:$E$2311,2023,Data!$F$4:$F$2311,12)</f>
        <v>0</v>
      </c>
      <c r="N111" s="13" t="n">
        <f aca="false">SUM(B111:M111)</f>
        <v>3.52899454636084</v>
      </c>
    </row>
    <row r="112" customFormat="false" ht="15" hidden="false" customHeight="false" outlineLevel="0" collapsed="false">
      <c r="A112" s="11" t="s">
        <v>130</v>
      </c>
      <c r="B112" s="12" t="n">
        <f aca="false">SUMIFS(Data!$H$4:$H$2311,Data!$B$4:$B$2311,"UCO",Data!$C$4:$C$2311,"Ireland",Data!$E$4:$E$2311,2023,Data!$F$4:$F$2311,1)</f>
        <v>0</v>
      </c>
      <c r="C112" s="12" t="n">
        <f aca="false">SUMIFS(Data!$H$4:$H$2311,Data!$B$4:$B$2311,"UCO",Data!$C$4:$C$2311,"Ireland",Data!$E$4:$E$2311,2023,Data!$F$4:$F$2311,2)</f>
        <v>0</v>
      </c>
      <c r="D112" s="12" t="n">
        <f aca="false">SUMIFS(Data!$H$4:$H$2311,Data!$B$4:$B$2311,"UCO",Data!$C$4:$C$2311,"Ireland",Data!$E$4:$E$2311,2023,Data!$F$4:$F$2311,3)</f>
        <v>0</v>
      </c>
      <c r="E112" s="12" t="n">
        <f aca="false">SUMIFS(Data!$H$4:$H$2311,Data!$B$4:$B$2311,"UCO",Data!$C$4:$C$2311,"Ireland",Data!$E$4:$E$2311,2023,Data!$F$4:$F$2311,4)</f>
        <v>0</v>
      </c>
      <c r="F112" s="12" t="n">
        <f aca="false">SUMIFS(Data!$H$4:$H$2311,Data!$B$4:$B$2311,"UCO",Data!$C$4:$C$2311,"Ireland",Data!$E$4:$E$2311,2023,Data!$F$4:$F$2311,5)</f>
        <v>0</v>
      </c>
      <c r="G112" s="12" t="n">
        <f aca="false">SUMIFS(Data!$H$4:$H$2311,Data!$B$4:$B$2311,"UCO",Data!$C$4:$C$2311,"Ireland",Data!$E$4:$E$2311,2023,Data!$F$4:$F$2311,6)</f>
        <v>0</v>
      </c>
      <c r="H112" s="12" t="n">
        <f aca="false">SUMIFS(Data!$H$4:$H$2311,Data!$B$4:$B$2311,"UCO",Data!$C$4:$C$2311,"Ireland",Data!$E$4:$E$2311,2023,Data!$F$4:$F$2311,7)</f>
        <v>0</v>
      </c>
      <c r="I112" s="12" t="n">
        <f aca="false">SUMIFS(Data!$H$4:$H$2311,Data!$B$4:$B$2311,"UCO",Data!$C$4:$C$2311,"Ireland",Data!$E$4:$E$2311,2023,Data!$F$4:$F$2311,8)</f>
        <v>0</v>
      </c>
      <c r="J112" s="12" t="n">
        <f aca="false">SUMIFS(Data!$H$4:$H$2311,Data!$B$4:$B$2311,"UCO",Data!$C$4:$C$2311,"Ireland",Data!$E$4:$E$2311,2023,Data!$F$4:$F$2311,9)</f>
        <v>1.90513125253954</v>
      </c>
      <c r="K112" s="12" t="n">
        <f aca="false">SUMIFS(Data!$H$4:$H$2311,Data!$B$4:$B$2311,"UCO",Data!$C$4:$C$2311,"Ireland",Data!$E$4:$E$2311,2023,Data!$F$4:$F$2311,10)</f>
        <v>0</v>
      </c>
      <c r="L112" s="12" t="n">
        <f aca="false">SUMIFS(Data!$H$4:$H$2311,Data!$B$4:$B$2311,"UCO",Data!$C$4:$C$2311,"Ireland",Data!$E$4:$E$2311,2023,Data!$F$4:$F$2311,11)</f>
        <v>0</v>
      </c>
      <c r="M112" s="12" t="n">
        <f aca="false">SUMIFS(Data!$H$4:$H$2311,Data!$B$4:$B$2311,"UCO",Data!$C$4:$C$2311,"Ireland",Data!$E$4:$E$2311,2023,Data!$F$4:$F$2311,12)</f>
        <v>0</v>
      </c>
      <c r="N112" s="13" t="n">
        <f aca="false">SUM(B112:M112)</f>
        <v>1.90513125253954</v>
      </c>
    </row>
    <row r="113" customFormat="false" ht="15" hidden="false" customHeight="false" outlineLevel="0" collapsed="false">
      <c r="A113" s="11" t="s">
        <v>110</v>
      </c>
      <c r="B113" s="12" t="n">
        <f aca="false">SUMIFS(Data!$H$4:$H$2311,Data!$B$4:$B$2311,"UCO",Data!$C$4:$C$2311,"Honduras",Data!$E$4:$E$2311,2023,Data!$F$4:$F$2311,1)</f>
        <v>0.141578660152585</v>
      </c>
      <c r="C113" s="12" t="n">
        <f aca="false">SUMIFS(Data!$H$4:$H$2311,Data!$B$4:$B$2311,"UCO",Data!$C$4:$C$2311,"Honduras",Data!$E$4:$E$2311,2023,Data!$F$4:$F$2311,2)</f>
        <v>0.131940050049857</v>
      </c>
      <c r="D113" s="12" t="n">
        <f aca="false">SUMIFS(Data!$H$4:$H$2311,Data!$B$4:$B$2311,"UCO",Data!$C$4:$C$2311,"Honduras",Data!$E$4:$E$2311,2023,Data!$F$4:$F$2311,3)</f>
        <v>0.096458853573803</v>
      </c>
      <c r="E113" s="12" t="n">
        <f aca="false">SUMIFS(Data!$H$4:$H$2311,Data!$B$4:$B$2311,"UCO",Data!$C$4:$C$2311,"Honduras",Data!$E$4:$E$2311,2023,Data!$F$4:$F$2311,4)</f>
        <v>0</v>
      </c>
      <c r="F113" s="12" t="n">
        <f aca="false">SUMIFS(Data!$H$4:$H$2311,Data!$B$4:$B$2311,"UCO",Data!$C$4:$C$2311,"Honduras",Data!$E$4:$E$2311,2023,Data!$F$4:$F$2311,5)</f>
        <v>0.166709153419053</v>
      </c>
      <c r="G113" s="12" t="n">
        <f aca="false">SUMIFS(Data!$H$4:$H$2311,Data!$B$4:$B$2311,"UCO",Data!$C$4:$C$2311,"Honduras",Data!$E$4:$E$2311,2023,Data!$F$4:$F$2311,6)</f>
        <v>0.0940139270861714</v>
      </c>
      <c r="H113" s="12" t="n">
        <f aca="false">SUMIFS(Data!$H$4:$H$2311,Data!$B$4:$B$2311,"UCO",Data!$C$4:$C$2311,"Honduras",Data!$E$4:$E$2311,2023,Data!$F$4:$F$2311,7)</f>
        <v>0</v>
      </c>
      <c r="I113" s="12" t="n">
        <f aca="false">SUMIFS(Data!$H$4:$H$2311,Data!$B$4:$B$2311,"UCO",Data!$C$4:$C$2311,"Honduras",Data!$E$4:$E$2311,2023,Data!$F$4:$F$2311,8)</f>
        <v>0.196539902115306</v>
      </c>
      <c r="J113" s="12" t="n">
        <f aca="false">SUMIFS(Data!$H$4:$H$2311,Data!$B$4:$B$2311,"UCO",Data!$C$4:$C$2311,"Honduras",Data!$E$4:$E$2311,2023,Data!$F$4:$F$2311,9)</f>
        <v>0</v>
      </c>
      <c r="K113" s="12" t="n">
        <f aca="false">SUMIFS(Data!$H$4:$H$2311,Data!$B$4:$B$2311,"UCO",Data!$C$4:$C$2311,"Honduras",Data!$E$4:$E$2311,2023,Data!$F$4:$F$2311,10)</f>
        <v>0.0437286897043948</v>
      </c>
      <c r="L113" s="12" t="n">
        <f aca="false">SUMIFS(Data!$H$4:$H$2311,Data!$B$4:$B$2311,"UCO",Data!$C$4:$C$2311,"Honduras",Data!$E$4:$E$2311,2023,Data!$F$4:$F$2311,11)</f>
        <v>0.331961051285064</v>
      </c>
      <c r="M113" s="12" t="n">
        <f aca="false">SUMIFS(Data!$H$4:$H$2311,Data!$B$4:$B$2311,"UCO",Data!$C$4:$C$2311,"Honduras",Data!$E$4:$E$2311,2023,Data!$F$4:$F$2311,12)</f>
        <v>0</v>
      </c>
      <c r="N113" s="13" t="n">
        <f aca="false">SUM(B113:M113)</f>
        <v>1.20293028738623</v>
      </c>
    </row>
    <row r="114" customFormat="false" ht="15" hidden="false" customHeight="false" outlineLevel="0" collapsed="false">
      <c r="A114" s="11" t="s">
        <v>131</v>
      </c>
      <c r="B114" s="12" t="n">
        <f aca="false">SUMIFS(Data!$H$4:$H$2311,Data!$B$4:$B$2311,"UCO",Data!$C$4:$C$2311,"Thailand",Data!$E$4:$E$2311,2023,Data!$F$4:$F$2311,1)</f>
        <v>0</v>
      </c>
      <c r="C114" s="12" t="n">
        <f aca="false">SUMIFS(Data!$H$4:$H$2311,Data!$B$4:$B$2311,"UCO",Data!$C$4:$C$2311,"Thailand",Data!$E$4:$E$2311,2023,Data!$F$4:$F$2311,2)</f>
        <v>0.224318147150616</v>
      </c>
      <c r="D114" s="12" t="n">
        <f aca="false">SUMIFS(Data!$H$4:$H$2311,Data!$B$4:$B$2311,"UCO",Data!$C$4:$C$2311,"Thailand",Data!$E$4:$E$2311,2023,Data!$F$4:$F$2311,3)</f>
        <v>0</v>
      </c>
      <c r="E114" s="12" t="n">
        <f aca="false">SUMIFS(Data!$H$4:$H$2311,Data!$B$4:$B$2311,"UCO",Data!$C$4:$C$2311,"Thailand",Data!$E$4:$E$2311,2023,Data!$F$4:$F$2311,4)</f>
        <v>0</v>
      </c>
      <c r="F114" s="12" t="n">
        <f aca="false">SUMIFS(Data!$H$4:$H$2311,Data!$B$4:$B$2311,"UCO",Data!$C$4:$C$2311,"Thailand",Data!$E$4:$E$2311,2023,Data!$F$4:$F$2311,5)</f>
        <v>0.135242574737388</v>
      </c>
      <c r="G114" s="12" t="n">
        <f aca="false">SUMIFS(Data!$H$4:$H$2311,Data!$B$4:$B$2311,"UCO",Data!$C$4:$C$2311,"Thailand",Data!$E$4:$E$2311,2023,Data!$F$4:$F$2311,6)</f>
        <v>0</v>
      </c>
      <c r="H114" s="12" t="n">
        <f aca="false">SUMIFS(Data!$H$4:$H$2311,Data!$B$4:$B$2311,"UCO",Data!$C$4:$C$2311,"Thailand",Data!$E$4:$E$2311,2023,Data!$F$4:$F$2311,7)</f>
        <v>0</v>
      </c>
      <c r="I114" s="12" t="n">
        <f aca="false">SUMIFS(Data!$H$4:$H$2311,Data!$B$4:$B$2311,"UCO",Data!$C$4:$C$2311,"Thailand",Data!$E$4:$E$2311,2023,Data!$F$4:$F$2311,8)</f>
        <v>0</v>
      </c>
      <c r="J114" s="12" t="n">
        <f aca="false">SUMIFS(Data!$H$4:$H$2311,Data!$B$4:$B$2311,"UCO",Data!$C$4:$C$2311,"Thailand",Data!$E$4:$E$2311,2023,Data!$F$4:$F$2311,9)</f>
        <v>0</v>
      </c>
      <c r="K114" s="12" t="n">
        <f aca="false">SUMIFS(Data!$H$4:$H$2311,Data!$B$4:$B$2311,"UCO",Data!$C$4:$C$2311,"Thailand",Data!$E$4:$E$2311,2023,Data!$F$4:$F$2311,10)</f>
        <v>0.352133348274991</v>
      </c>
      <c r="L114" s="12" t="n">
        <f aca="false">SUMIFS(Data!$H$4:$H$2311,Data!$B$4:$B$2311,"UCO",Data!$C$4:$C$2311,"Thailand",Data!$E$4:$E$2311,2023,Data!$F$4:$F$2311,11)</f>
        <v>0.310499050061354</v>
      </c>
      <c r="M114" s="12" t="n">
        <f aca="false">SUMIFS(Data!$H$4:$H$2311,Data!$B$4:$B$2311,"UCO",Data!$C$4:$C$2311,"Thailand",Data!$E$4:$E$2311,2023,Data!$F$4:$F$2311,12)</f>
        <v>0</v>
      </c>
      <c r="N114" s="13" t="n">
        <f aca="false">SUM(B114:M114)</f>
        <v>1.02219312022435</v>
      </c>
    </row>
    <row r="115" customFormat="false" ht="15" hidden="false" customHeight="false" outlineLevel="0" collapsed="false">
      <c r="A115" s="11" t="s">
        <v>51</v>
      </c>
      <c r="B115" s="12" t="n">
        <f aca="false">SUMIFS(Data!$H$4:$H$2311,Data!$B$4:$B$2311,"UCO",Data!$C$4:$C$2311,"India",Data!$E$4:$E$2311,2023,Data!$F$4:$F$2311,1)</f>
        <v>0.0443217331896724</v>
      </c>
      <c r="C115" s="12" t="n">
        <f aca="false">SUMIFS(Data!$H$4:$H$2311,Data!$B$4:$B$2311,"UCO",Data!$C$4:$C$2311,"India",Data!$E$4:$E$2311,2023,Data!$F$4:$F$2311,2)</f>
        <v>0.0746264757496225</v>
      </c>
      <c r="D115" s="12" t="n">
        <f aca="false">SUMIFS(Data!$H$4:$H$2311,Data!$B$4:$B$2311,"UCO",Data!$C$4:$C$2311,"India",Data!$E$4:$E$2311,2023,Data!$F$4:$F$2311,3)</f>
        <v>0.0454240445005974</v>
      </c>
      <c r="E115" s="12" t="n">
        <f aca="false">SUMIFS(Data!$H$4:$H$2311,Data!$B$4:$B$2311,"UCO",Data!$C$4:$C$2311,"India",Data!$E$4:$E$2311,2023,Data!$F$4:$F$2311,4)</f>
        <v>0.073369840855168</v>
      </c>
      <c r="F115" s="12" t="n">
        <f aca="false">SUMIFS(Data!$H$4:$H$2311,Data!$B$4:$B$2311,"UCO",Data!$C$4:$C$2311,"India",Data!$E$4:$E$2311,2023,Data!$F$4:$F$2311,5)</f>
        <v>0.137012886702734</v>
      </c>
      <c r="G115" s="12" t="n">
        <f aca="false">SUMIFS(Data!$H$4:$H$2311,Data!$B$4:$B$2311,"UCO",Data!$C$4:$C$2311,"India",Data!$E$4:$E$2311,2023,Data!$F$4:$F$2311,6)</f>
        <v>0.0404548251109475</v>
      </c>
      <c r="H115" s="12" t="n">
        <f aca="false">SUMIFS(Data!$H$4:$H$2311,Data!$B$4:$B$2311,"UCO",Data!$C$4:$C$2311,"India",Data!$E$4:$E$2311,2023,Data!$F$4:$F$2311,7)</f>
        <v>0.0631933028327084</v>
      </c>
      <c r="I115" s="12" t="n">
        <f aca="false">SUMIFS(Data!$H$4:$H$2311,Data!$B$4:$B$2311,"UCO",Data!$C$4:$C$2311,"India",Data!$E$4:$E$2311,2023,Data!$F$4:$F$2311,8)</f>
        <v>0.031393826135144</v>
      </c>
      <c r="J115" s="12" t="n">
        <f aca="false">SUMIFS(Data!$H$4:$H$2311,Data!$B$4:$B$2311,"UCO",Data!$C$4:$C$2311,"India",Data!$E$4:$E$2311,2023,Data!$F$4:$F$2311,9)</f>
        <v>0.0838682537804177</v>
      </c>
      <c r="K115" s="12" t="n">
        <f aca="false">SUMIFS(Data!$H$4:$H$2311,Data!$B$4:$B$2311,"UCO",Data!$C$4:$C$2311,"India",Data!$E$4:$E$2311,2023,Data!$F$4:$F$2311,10)</f>
        <v>0.0852990538619984</v>
      </c>
      <c r="L115" s="12" t="n">
        <f aca="false">SUMIFS(Data!$H$4:$H$2311,Data!$B$4:$B$2311,"UCO",Data!$C$4:$C$2311,"India",Data!$E$4:$E$2311,2023,Data!$F$4:$F$2311,11)</f>
        <v>0.033598448756994</v>
      </c>
      <c r="M115" s="12" t="n">
        <f aca="false">SUMIFS(Data!$H$4:$H$2311,Data!$B$4:$B$2311,"UCO",Data!$C$4:$C$2311,"India",Data!$E$4:$E$2311,2023,Data!$F$4:$F$2311,12)</f>
        <v>0.126241100572375</v>
      </c>
      <c r="N115" s="13" t="n">
        <f aca="false">SUM(B115:M115)</f>
        <v>0.838803792048379</v>
      </c>
    </row>
    <row r="116" customFormat="false" ht="15" hidden="false" customHeight="false" outlineLevel="0" collapsed="false">
      <c r="A116" s="11" t="s">
        <v>68</v>
      </c>
      <c r="B116" s="12" t="n">
        <f aca="false">SUMIFS(Data!$H$4:$H$2311,Data!$B$4:$B$2311,"UCO",Data!$C$4:$C$2311,"Argentina",Data!$E$4:$E$2311,2023,Data!$F$4:$F$2311,1)</f>
        <v>0.0837756596303</v>
      </c>
      <c r="C116" s="12" t="n">
        <f aca="false">SUMIFS(Data!$H$4:$H$2311,Data!$B$4:$B$2311,"UCO",Data!$C$4:$C$2311,"Argentina",Data!$E$4:$E$2311,2023,Data!$F$4:$F$2311,2)</f>
        <v>0</v>
      </c>
      <c r="D116" s="12" t="n">
        <f aca="false">SUMIFS(Data!$H$4:$H$2311,Data!$B$4:$B$2311,"UCO",Data!$C$4:$C$2311,"Argentina",Data!$E$4:$E$2311,2023,Data!$F$4:$F$2311,3)</f>
        <v>0.00220462262185</v>
      </c>
      <c r="E116" s="12" t="n">
        <f aca="false">SUMIFS(Data!$H$4:$H$2311,Data!$B$4:$B$2311,"UCO",Data!$C$4:$C$2311,"Argentina",Data!$E$4:$E$2311,2023,Data!$F$4:$F$2311,4)</f>
        <v>0</v>
      </c>
      <c r="F116" s="12" t="n">
        <f aca="false">SUMIFS(Data!$H$4:$H$2311,Data!$B$4:$B$2311,"UCO",Data!$C$4:$C$2311,"Argentina",Data!$E$4:$E$2311,2023,Data!$F$4:$F$2311,5)</f>
        <v>0</v>
      </c>
      <c r="G116" s="12" t="n">
        <f aca="false">SUMIFS(Data!$H$4:$H$2311,Data!$B$4:$B$2311,"UCO",Data!$C$4:$C$2311,"Argentina",Data!$E$4:$E$2311,2023,Data!$F$4:$F$2311,6)</f>
        <v>0.12566348944545</v>
      </c>
      <c r="H116" s="12" t="n">
        <f aca="false">SUMIFS(Data!$H$4:$H$2311,Data!$B$4:$B$2311,"UCO",Data!$C$4:$C$2311,"Argentina",Data!$E$4:$E$2311,2023,Data!$F$4:$F$2311,7)</f>
        <v>0</v>
      </c>
      <c r="I116" s="12" t="n">
        <f aca="false">SUMIFS(Data!$H$4:$H$2311,Data!$B$4:$B$2311,"UCO",Data!$C$4:$C$2311,"Argentina",Data!$E$4:$E$2311,2023,Data!$F$4:$F$2311,8)</f>
        <v>0.176369809748</v>
      </c>
      <c r="J116" s="12" t="n">
        <f aca="false">SUMIFS(Data!$H$4:$H$2311,Data!$B$4:$B$2311,"UCO",Data!$C$4:$C$2311,"Argentina",Data!$E$4:$E$2311,2023,Data!$F$4:$F$2311,9)</f>
        <v>0.0793664143866</v>
      </c>
      <c r="K116" s="12" t="n">
        <f aca="false">SUMIFS(Data!$H$4:$H$2311,Data!$B$4:$B$2311,"UCO",Data!$C$4:$C$2311,"Argentina",Data!$E$4:$E$2311,2023,Data!$F$4:$F$2311,10)</f>
        <v>0.176369809748</v>
      </c>
      <c r="L116" s="12" t="n">
        <f aca="false">SUMIFS(Data!$H$4:$H$2311,Data!$B$4:$B$2311,"UCO",Data!$C$4:$C$2311,"Argentina",Data!$E$4:$E$2311,2023,Data!$F$4:$F$2311,11)</f>
        <v>0.176369809748</v>
      </c>
      <c r="M116" s="12" t="n">
        <f aca="false">SUMIFS(Data!$H$4:$H$2311,Data!$B$4:$B$2311,"UCO",Data!$C$4:$C$2311,"Argentina",Data!$E$4:$E$2311,2023,Data!$F$4:$F$2311,12)</f>
        <v>0</v>
      </c>
      <c r="N116" s="13" t="n">
        <f aca="false">SUM(B116:M116)</f>
        <v>0.8201196153282</v>
      </c>
    </row>
    <row r="117" customFormat="false" ht="15" hidden="false" customHeight="false" outlineLevel="0" collapsed="false">
      <c r="A117" s="11" t="s">
        <v>132</v>
      </c>
      <c r="B117" s="12" t="n">
        <f aca="false">SUMIFS(Data!$H$4:$H$2311,Data!$B$4:$B$2311,"UCO",Data!$C$4:$C$2311,"Philippines",Data!$E$4:$E$2311,2023,Data!$F$4:$F$2311,1)</f>
        <v>0</v>
      </c>
      <c r="C117" s="12" t="n">
        <f aca="false">SUMIFS(Data!$H$4:$H$2311,Data!$B$4:$B$2311,"UCO",Data!$C$4:$C$2311,"Philippines",Data!$E$4:$E$2311,2023,Data!$F$4:$F$2311,2)</f>
        <v>0</v>
      </c>
      <c r="D117" s="12" t="n">
        <f aca="false">SUMIFS(Data!$H$4:$H$2311,Data!$B$4:$B$2311,"UCO",Data!$C$4:$C$2311,"Philippines",Data!$E$4:$E$2311,2023,Data!$F$4:$F$2311,3)</f>
        <v>0</v>
      </c>
      <c r="E117" s="12" t="n">
        <f aca="false">SUMIFS(Data!$H$4:$H$2311,Data!$B$4:$B$2311,"UCO",Data!$C$4:$C$2311,"Philippines",Data!$E$4:$E$2311,2023,Data!$F$4:$F$2311,4)</f>
        <v>0</v>
      </c>
      <c r="F117" s="12" t="n">
        <f aca="false">SUMIFS(Data!$H$4:$H$2311,Data!$B$4:$B$2311,"UCO",Data!$C$4:$C$2311,"Philippines",Data!$E$4:$E$2311,2023,Data!$F$4:$F$2311,5)</f>
        <v>0</v>
      </c>
      <c r="G117" s="12" t="n">
        <f aca="false">SUMIFS(Data!$H$4:$H$2311,Data!$B$4:$B$2311,"UCO",Data!$C$4:$C$2311,"Philippines",Data!$E$4:$E$2311,2023,Data!$F$4:$F$2311,6)</f>
        <v>0</v>
      </c>
      <c r="H117" s="12" t="n">
        <f aca="false">SUMIFS(Data!$H$4:$H$2311,Data!$B$4:$B$2311,"UCO",Data!$C$4:$C$2311,"Philippines",Data!$E$4:$E$2311,2023,Data!$F$4:$F$2311,7)</f>
        <v>0</v>
      </c>
      <c r="I117" s="12" t="n">
        <f aca="false">SUMIFS(Data!$H$4:$H$2311,Data!$B$4:$B$2311,"UCO",Data!$C$4:$C$2311,"Philippines",Data!$E$4:$E$2311,2023,Data!$F$4:$F$2311,8)</f>
        <v>0</v>
      </c>
      <c r="J117" s="12" t="n">
        <f aca="false">SUMIFS(Data!$H$4:$H$2311,Data!$B$4:$B$2311,"UCO",Data!$C$4:$C$2311,"Philippines",Data!$E$4:$E$2311,2023,Data!$F$4:$F$2311,9)</f>
        <v>0.792764657836285</v>
      </c>
      <c r="K117" s="12" t="n">
        <f aca="false">SUMIFS(Data!$H$4:$H$2311,Data!$B$4:$B$2311,"UCO",Data!$C$4:$C$2311,"Philippines",Data!$E$4:$E$2311,2023,Data!$F$4:$F$2311,10)</f>
        <v>0</v>
      </c>
      <c r="L117" s="12" t="n">
        <f aca="false">SUMIFS(Data!$H$4:$H$2311,Data!$B$4:$B$2311,"UCO",Data!$C$4:$C$2311,"Philippines",Data!$E$4:$E$2311,2023,Data!$F$4:$F$2311,11)</f>
        <v>0</v>
      </c>
      <c r="M117" s="12" t="n">
        <f aca="false">SUMIFS(Data!$H$4:$H$2311,Data!$B$4:$B$2311,"UCO",Data!$C$4:$C$2311,"Philippines",Data!$E$4:$E$2311,2023,Data!$F$4:$F$2311,12)</f>
        <v>0</v>
      </c>
      <c r="N117" s="13" t="n">
        <f aca="false">SUM(B117:M117)</f>
        <v>0.792764657836285</v>
      </c>
    </row>
    <row r="118" customFormat="false" ht="15" hidden="false" customHeight="false" outlineLevel="0" collapsed="false">
      <c r="A118" s="11" t="s">
        <v>53</v>
      </c>
      <c r="B118" s="12" t="n">
        <f aca="false">SUMIFS(Data!$H$4:$H$2311,Data!$B$4:$B$2311,"UCO",Data!$C$4:$C$2311,"France",Data!$E$4:$E$2311,2023,Data!$F$4:$F$2311,1)</f>
        <v>0.0864498668706041</v>
      </c>
      <c r="C118" s="12" t="n">
        <f aca="false">SUMIFS(Data!$H$4:$H$2311,Data!$B$4:$B$2311,"UCO",Data!$C$4:$C$2311,"France",Data!$E$4:$E$2311,2023,Data!$F$4:$F$2311,2)</f>
        <v>0.112429139846484</v>
      </c>
      <c r="D118" s="12" t="n">
        <f aca="false">SUMIFS(Data!$H$4:$H$2311,Data!$B$4:$B$2311,"UCO",Data!$C$4:$C$2311,"France",Data!$E$4:$E$2311,2023,Data!$F$4:$F$2311,3)</f>
        <v>0.0126853985661249</v>
      </c>
      <c r="E118" s="12" t="n">
        <f aca="false">SUMIFS(Data!$H$4:$H$2311,Data!$B$4:$B$2311,"UCO",Data!$C$4:$C$2311,"France",Data!$E$4:$E$2311,2023,Data!$F$4:$F$2311,4)</f>
        <v>0.00423508005657385</v>
      </c>
      <c r="F118" s="12" t="n">
        <f aca="false">SUMIFS(Data!$H$4:$H$2311,Data!$B$4:$B$2311,"UCO",Data!$C$4:$C$2311,"France",Data!$E$4:$E$2311,2023,Data!$F$4:$F$2311,5)</f>
        <v>0.0911104390931949</v>
      </c>
      <c r="G118" s="12" t="n">
        <f aca="false">SUMIFS(Data!$H$4:$H$2311,Data!$B$4:$B$2311,"UCO",Data!$C$4:$C$2311,"France",Data!$E$4:$E$2311,2023,Data!$F$4:$F$2311,6)</f>
        <v>0.0111862551832669</v>
      </c>
      <c r="H118" s="12" t="n">
        <f aca="false">SUMIFS(Data!$H$4:$H$2311,Data!$B$4:$B$2311,"UCO",Data!$C$4:$C$2311,"France",Data!$E$4:$E$2311,2023,Data!$F$4:$F$2311,7)</f>
        <v>0.0226701344204836</v>
      </c>
      <c r="I118" s="12" t="n">
        <f aca="false">SUMIFS(Data!$H$4:$H$2311,Data!$B$4:$B$2311,"UCO",Data!$C$4:$C$2311,"France",Data!$E$4:$E$2311,2023,Data!$F$4:$F$2311,8)</f>
        <v>0.051352274730752</v>
      </c>
      <c r="J118" s="12" t="n">
        <f aca="false">SUMIFS(Data!$H$4:$H$2311,Data!$B$4:$B$2311,"UCO",Data!$C$4:$C$2311,"France",Data!$E$4:$E$2311,2023,Data!$F$4:$F$2311,9)</f>
        <v>0.00544762249859135</v>
      </c>
      <c r="K118" s="12" t="n">
        <f aca="false">SUMIFS(Data!$H$4:$H$2311,Data!$B$4:$B$2311,"UCO",Data!$C$4:$C$2311,"France",Data!$E$4:$E$2311,2023,Data!$F$4:$F$2311,10)</f>
        <v>0.0240766836532238</v>
      </c>
      <c r="L118" s="12" t="n">
        <f aca="false">SUMIFS(Data!$H$4:$H$2311,Data!$B$4:$B$2311,"UCO",Data!$C$4:$C$2311,"France",Data!$E$4:$E$2311,2023,Data!$F$4:$F$2311,11)</f>
        <v>0.079630969101222</v>
      </c>
      <c r="M118" s="12" t="n">
        <f aca="false">SUMIFS(Data!$H$4:$H$2311,Data!$B$4:$B$2311,"UCO",Data!$C$4:$C$2311,"France",Data!$E$4:$E$2311,2023,Data!$F$4:$F$2311,12)</f>
        <v>0.134261517670665</v>
      </c>
      <c r="N118" s="13" t="n">
        <f aca="false">SUM(B118:M118)</f>
        <v>0.635535381691187</v>
      </c>
    </row>
    <row r="119" customFormat="false" ht="15" hidden="false" customHeight="false" outlineLevel="0" collapsed="false">
      <c r="A119" s="11" t="s">
        <v>94</v>
      </c>
      <c r="B119" s="12" t="n">
        <f aca="false">SUMIFS(Data!$H$4:$H$2311,Data!$B$4:$B$2311,"UCO",Data!$C$4:$C$2311,"Czech Republic",Data!$E$4:$E$2311,2023,Data!$F$4:$F$2311,1)</f>
        <v>0</v>
      </c>
      <c r="C119" s="12" t="n">
        <f aca="false">SUMIFS(Data!$H$4:$H$2311,Data!$B$4:$B$2311,"UCO",Data!$C$4:$C$2311,"Czech Republic",Data!$E$4:$E$2311,2023,Data!$F$4:$F$2311,2)</f>
        <v>0</v>
      </c>
      <c r="D119" s="12" t="n">
        <f aca="false">SUMIFS(Data!$H$4:$H$2311,Data!$B$4:$B$2311,"UCO",Data!$C$4:$C$2311,"Czech Republic",Data!$E$4:$E$2311,2023,Data!$F$4:$F$2311,3)</f>
        <v>0</v>
      </c>
      <c r="E119" s="12" t="n">
        <f aca="false">SUMIFS(Data!$H$4:$H$2311,Data!$B$4:$B$2311,"UCO",Data!$C$4:$C$2311,"Czech Republic",Data!$E$4:$E$2311,2023,Data!$F$4:$F$2311,4)</f>
        <v>0</v>
      </c>
      <c r="F119" s="12" t="n">
        <f aca="false">SUMIFS(Data!$H$4:$H$2311,Data!$B$4:$B$2311,"UCO",Data!$C$4:$C$2311,"Czech Republic",Data!$E$4:$E$2311,2023,Data!$F$4:$F$2311,5)</f>
        <v>0</v>
      </c>
      <c r="G119" s="12" t="n">
        <f aca="false">SUMIFS(Data!$H$4:$H$2311,Data!$B$4:$B$2311,"UCO",Data!$C$4:$C$2311,"Czech Republic",Data!$E$4:$E$2311,2023,Data!$F$4:$F$2311,6)</f>
        <v>0</v>
      </c>
      <c r="H119" s="12" t="n">
        <f aca="false">SUMIFS(Data!$H$4:$H$2311,Data!$B$4:$B$2311,"UCO",Data!$C$4:$C$2311,"Czech Republic",Data!$E$4:$E$2311,2023,Data!$F$4:$F$2311,7)</f>
        <v>0</v>
      </c>
      <c r="I119" s="12" t="n">
        <f aca="false">SUMIFS(Data!$H$4:$H$2311,Data!$B$4:$B$2311,"UCO",Data!$C$4:$C$2311,"Czech Republic",Data!$E$4:$E$2311,2023,Data!$F$4:$F$2311,8)</f>
        <v>0</v>
      </c>
      <c r="J119" s="12" t="n">
        <f aca="false">SUMIFS(Data!$H$4:$H$2311,Data!$B$4:$B$2311,"UCO",Data!$C$4:$C$2311,"Czech Republic",Data!$E$4:$E$2311,2023,Data!$F$4:$F$2311,9)</f>
        <v>0</v>
      </c>
      <c r="K119" s="12" t="n">
        <f aca="false">SUMIFS(Data!$H$4:$H$2311,Data!$B$4:$B$2311,"UCO",Data!$C$4:$C$2311,"Czech Republic",Data!$E$4:$E$2311,2023,Data!$F$4:$F$2311,10)</f>
        <v>0</v>
      </c>
      <c r="L119" s="12" t="n">
        <f aca="false">SUMIFS(Data!$H$4:$H$2311,Data!$B$4:$B$2311,"UCO",Data!$C$4:$C$2311,"Czech Republic",Data!$E$4:$E$2311,2023,Data!$F$4:$F$2311,11)</f>
        <v>0</v>
      </c>
      <c r="M119" s="12" t="n">
        <f aca="false">SUMIFS(Data!$H$4:$H$2311,Data!$B$4:$B$2311,"UCO",Data!$C$4:$C$2311,"Czech Republic",Data!$E$4:$E$2311,2023,Data!$F$4:$F$2311,12)</f>
        <v>0.595137876768408</v>
      </c>
      <c r="N119" s="13" t="n">
        <f aca="false">SUM(B119:M119)</f>
        <v>0.595137876768408</v>
      </c>
    </row>
    <row r="120" customFormat="false" ht="15" hidden="false" customHeight="false" outlineLevel="0" collapsed="false">
      <c r="A120" s="11" t="s">
        <v>79</v>
      </c>
      <c r="B120" s="12" t="n">
        <f aca="false">SUMIFS(Data!$H$4:$H$2311,Data!$B$4:$B$2311,"UCO",Data!$C$4:$C$2311,"Italy",Data!$E$4:$E$2311,2023,Data!$F$4:$F$2311,1)</f>
        <v>0</v>
      </c>
      <c r="C120" s="12" t="n">
        <f aca="false">SUMIFS(Data!$H$4:$H$2311,Data!$B$4:$B$2311,"UCO",Data!$C$4:$C$2311,"Italy",Data!$E$4:$E$2311,2023,Data!$F$4:$F$2311,2)</f>
        <v>9.70033953614E-005</v>
      </c>
      <c r="D120" s="12" t="n">
        <f aca="false">SUMIFS(Data!$H$4:$H$2311,Data!$B$4:$B$2311,"UCO",Data!$C$4:$C$2311,"Italy",Data!$E$4:$E$2311,2023,Data!$F$4:$F$2311,3)</f>
        <v>0.00749571691429</v>
      </c>
      <c r="E120" s="12" t="n">
        <f aca="false">SUMIFS(Data!$H$4:$H$2311,Data!$B$4:$B$2311,"UCO",Data!$C$4:$C$2311,"Italy",Data!$E$4:$E$2311,2023,Data!$F$4:$F$2311,4)</f>
        <v>0.089110846375177</v>
      </c>
      <c r="F120" s="12" t="n">
        <f aca="false">SUMIFS(Data!$H$4:$H$2311,Data!$B$4:$B$2311,"UCO",Data!$C$4:$C$2311,"Italy",Data!$E$4:$E$2311,2023,Data!$F$4:$F$2311,5)</f>
        <v>0.0001410958477984</v>
      </c>
      <c r="G120" s="12" t="n">
        <f aca="false">SUMIFS(Data!$H$4:$H$2311,Data!$B$4:$B$2311,"UCO",Data!$C$4:$C$2311,"Italy",Data!$E$4:$E$2311,2023,Data!$F$4:$F$2311,6)</f>
        <v>0.176193439938252</v>
      </c>
      <c r="H120" s="12" t="n">
        <f aca="false">SUMIFS(Data!$H$4:$H$2311,Data!$B$4:$B$2311,"UCO",Data!$C$4:$C$2311,"Italy",Data!$E$4:$E$2311,2023,Data!$F$4:$F$2311,7)</f>
        <v>0.04453337696137</v>
      </c>
      <c r="I120" s="12" t="n">
        <f aca="false">SUMIFS(Data!$H$4:$H$2311,Data!$B$4:$B$2311,"UCO",Data!$C$4:$C$2311,"Italy",Data!$E$4:$E$2311,2023,Data!$F$4:$F$2311,8)</f>
        <v>0.0296323326602859</v>
      </c>
      <c r="J120" s="12" t="n">
        <f aca="false">SUMIFS(Data!$H$4:$H$2311,Data!$B$4:$B$2311,"UCO",Data!$C$4:$C$2311,"Italy",Data!$E$4:$E$2311,2023,Data!$F$4:$F$2311,9)</f>
        <v>0</v>
      </c>
      <c r="K120" s="12" t="n">
        <f aca="false">SUMIFS(Data!$H$4:$H$2311,Data!$B$4:$B$2311,"UCO",Data!$C$4:$C$2311,"Italy",Data!$E$4:$E$2311,2023,Data!$F$4:$F$2311,10)</f>
        <v>0.0359485764718861</v>
      </c>
      <c r="L120" s="12" t="n">
        <f aca="false">SUMIFS(Data!$H$4:$H$2311,Data!$B$4:$B$2311,"UCO",Data!$C$4:$C$2311,"Italy",Data!$E$4:$E$2311,2023,Data!$F$4:$F$2311,11)</f>
        <v>0</v>
      </c>
      <c r="M120" s="12" t="n">
        <f aca="false">SUMIFS(Data!$H$4:$H$2311,Data!$B$4:$B$2311,"UCO",Data!$C$4:$C$2311,"Italy",Data!$E$4:$E$2311,2023,Data!$F$4:$F$2311,12)</f>
        <v>0</v>
      </c>
      <c r="N120" s="13" t="n">
        <f aca="false">SUM(B120:M120)</f>
        <v>0.383152388564421</v>
      </c>
    </row>
    <row r="121" customFormat="false" ht="15" hidden="false" customHeight="false" outlineLevel="0" collapsed="false">
      <c r="A121" s="11" t="s">
        <v>133</v>
      </c>
      <c r="B121" s="12" t="n">
        <f aca="false">SUMIFS(Data!$H$4:$H$2311,Data!$B$4:$B$2311,"UCO",Data!$C$4:$C$2311,"Belarus",Data!$E$4:$E$2311,2023,Data!$F$4:$F$2311,1)</f>
        <v>0</v>
      </c>
      <c r="C121" s="12" t="n">
        <f aca="false">SUMIFS(Data!$H$4:$H$2311,Data!$B$4:$B$2311,"UCO",Data!$C$4:$C$2311,"Belarus",Data!$E$4:$E$2311,2023,Data!$F$4:$F$2311,2)</f>
        <v>0</v>
      </c>
      <c r="D121" s="12" t="n">
        <f aca="false">SUMIFS(Data!$H$4:$H$2311,Data!$B$4:$B$2311,"UCO",Data!$C$4:$C$2311,"Belarus",Data!$E$4:$E$2311,2023,Data!$F$4:$F$2311,3)</f>
        <v>0</v>
      </c>
      <c r="E121" s="12" t="n">
        <f aca="false">SUMIFS(Data!$H$4:$H$2311,Data!$B$4:$B$2311,"UCO",Data!$C$4:$C$2311,"Belarus",Data!$E$4:$E$2311,2023,Data!$F$4:$F$2311,4)</f>
        <v>0</v>
      </c>
      <c r="F121" s="12" t="n">
        <f aca="false">SUMIFS(Data!$H$4:$H$2311,Data!$B$4:$B$2311,"UCO",Data!$C$4:$C$2311,"Belarus",Data!$E$4:$E$2311,2023,Data!$F$4:$F$2311,5)</f>
        <v>0</v>
      </c>
      <c r="G121" s="12" t="n">
        <f aca="false">SUMIFS(Data!$H$4:$H$2311,Data!$B$4:$B$2311,"UCO",Data!$C$4:$C$2311,"Belarus",Data!$E$4:$E$2311,2023,Data!$F$4:$F$2311,6)</f>
        <v>0</v>
      </c>
      <c r="H121" s="12" t="n">
        <f aca="false">SUMIFS(Data!$H$4:$H$2311,Data!$B$4:$B$2311,"UCO",Data!$C$4:$C$2311,"Belarus",Data!$E$4:$E$2311,2023,Data!$F$4:$F$2311,7)</f>
        <v>0</v>
      </c>
      <c r="I121" s="12" t="n">
        <f aca="false">SUMIFS(Data!$H$4:$H$2311,Data!$B$4:$B$2311,"UCO",Data!$C$4:$C$2311,"Belarus",Data!$E$4:$E$2311,2023,Data!$F$4:$F$2311,8)</f>
        <v>0</v>
      </c>
      <c r="J121" s="12" t="n">
        <f aca="false">SUMIFS(Data!$H$4:$H$2311,Data!$B$4:$B$2311,"UCO",Data!$C$4:$C$2311,"Belarus",Data!$E$4:$E$2311,2023,Data!$F$4:$F$2311,9)</f>
        <v>0</v>
      </c>
      <c r="K121" s="12" t="n">
        <f aca="false">SUMIFS(Data!$H$4:$H$2311,Data!$B$4:$B$2311,"UCO",Data!$C$4:$C$2311,"Belarus",Data!$E$4:$E$2311,2023,Data!$F$4:$F$2311,10)</f>
        <v>0</v>
      </c>
      <c r="L121" s="12" t="n">
        <f aca="false">SUMIFS(Data!$H$4:$H$2311,Data!$B$4:$B$2311,"UCO",Data!$C$4:$C$2311,"Belarus",Data!$E$4:$E$2311,2023,Data!$F$4:$F$2311,11)</f>
        <v>0</v>
      </c>
      <c r="M121" s="12" t="n">
        <f aca="false">SUMIFS(Data!$H$4:$H$2311,Data!$B$4:$B$2311,"UCO",Data!$C$4:$C$2311,"Belarus",Data!$E$4:$E$2311,2023,Data!$F$4:$F$2311,12)</f>
        <v>0.244962233381619</v>
      </c>
      <c r="N121" s="13" t="n">
        <f aca="false">SUM(B121:M121)</f>
        <v>0.244962233381619</v>
      </c>
    </row>
    <row r="122" customFormat="false" ht="15" hidden="false" customHeight="false" outlineLevel="0" collapsed="false">
      <c r="A122" s="11" t="s">
        <v>134</v>
      </c>
      <c r="B122" s="12" t="n">
        <f aca="false">SUMIFS(Data!$H$4:$H$2311,Data!$B$4:$B$2311,"UCO",Data!$C$4:$C$2311,"Denmark",Data!$E$4:$E$2311,2023,Data!$F$4:$F$2311,1)</f>
        <v>0</v>
      </c>
      <c r="C122" s="12" t="n">
        <f aca="false">SUMIFS(Data!$H$4:$H$2311,Data!$B$4:$B$2311,"UCO",Data!$C$4:$C$2311,"Denmark",Data!$E$4:$E$2311,2023,Data!$F$4:$F$2311,2)</f>
        <v>0</v>
      </c>
      <c r="D122" s="12" t="n">
        <f aca="false">SUMIFS(Data!$H$4:$H$2311,Data!$B$4:$B$2311,"UCO",Data!$C$4:$C$2311,"Denmark",Data!$E$4:$E$2311,2023,Data!$F$4:$F$2311,3)</f>
        <v>0</v>
      </c>
      <c r="E122" s="12" t="n">
        <f aca="false">SUMIFS(Data!$H$4:$H$2311,Data!$B$4:$B$2311,"UCO",Data!$C$4:$C$2311,"Denmark",Data!$E$4:$E$2311,2023,Data!$F$4:$F$2311,4)</f>
        <v>0</v>
      </c>
      <c r="F122" s="12" t="n">
        <f aca="false">SUMIFS(Data!$H$4:$H$2311,Data!$B$4:$B$2311,"UCO",Data!$C$4:$C$2311,"Denmark",Data!$E$4:$E$2311,2023,Data!$F$4:$F$2311,5)</f>
        <v>0</v>
      </c>
      <c r="G122" s="12" t="n">
        <f aca="false">SUMIFS(Data!$H$4:$H$2311,Data!$B$4:$B$2311,"UCO",Data!$C$4:$C$2311,"Denmark",Data!$E$4:$E$2311,2023,Data!$F$4:$F$2311,6)</f>
        <v>0</v>
      </c>
      <c r="H122" s="12" t="n">
        <f aca="false">SUMIFS(Data!$H$4:$H$2311,Data!$B$4:$B$2311,"UCO",Data!$C$4:$C$2311,"Denmark",Data!$E$4:$E$2311,2023,Data!$F$4:$F$2311,7)</f>
        <v>0</v>
      </c>
      <c r="I122" s="12" t="n">
        <f aca="false">SUMIFS(Data!$H$4:$H$2311,Data!$B$4:$B$2311,"UCO",Data!$C$4:$C$2311,"Denmark",Data!$E$4:$E$2311,2023,Data!$F$4:$F$2311,8)</f>
        <v>0</v>
      </c>
      <c r="J122" s="12" t="n">
        <f aca="false">SUMIFS(Data!$H$4:$H$2311,Data!$B$4:$B$2311,"UCO",Data!$C$4:$C$2311,"Denmark",Data!$E$4:$E$2311,2023,Data!$F$4:$F$2311,9)</f>
        <v>0.060494844743564</v>
      </c>
      <c r="K122" s="12" t="n">
        <f aca="false">SUMIFS(Data!$H$4:$H$2311,Data!$B$4:$B$2311,"UCO",Data!$C$4:$C$2311,"Denmark",Data!$E$4:$E$2311,2023,Data!$F$4:$F$2311,10)</f>
        <v>0.058951608908269</v>
      </c>
      <c r="L122" s="12" t="n">
        <f aca="false">SUMIFS(Data!$H$4:$H$2311,Data!$B$4:$B$2311,"UCO",Data!$C$4:$C$2311,"Denmark",Data!$E$4:$E$2311,2023,Data!$F$4:$F$2311,11)</f>
        <v>0</v>
      </c>
      <c r="M122" s="12" t="n">
        <f aca="false">SUMIFS(Data!$H$4:$H$2311,Data!$B$4:$B$2311,"UCO",Data!$C$4:$C$2311,"Denmark",Data!$E$4:$E$2311,2023,Data!$F$4:$F$2311,12)</f>
        <v>0.11816777253116</v>
      </c>
      <c r="N122" s="13" t="n">
        <f aca="false">SUM(B122:M122)</f>
        <v>0.237614226182993</v>
      </c>
    </row>
    <row r="123" customFormat="false" ht="15" hidden="false" customHeight="false" outlineLevel="0" collapsed="false">
      <c r="A123" s="11" t="s">
        <v>135</v>
      </c>
      <c r="B123" s="12" t="n">
        <f aca="false">SUMIFS(Data!$H$4:$H$2311,Data!$B$4:$B$2311,"UCO",Data!$C$4:$C$2311,"Austria",Data!$E$4:$E$2311,2023,Data!$F$4:$F$2311,1)</f>
        <v>0</v>
      </c>
      <c r="C123" s="12" t="n">
        <f aca="false">SUMIFS(Data!$H$4:$H$2311,Data!$B$4:$B$2311,"UCO",Data!$C$4:$C$2311,"Austria",Data!$E$4:$E$2311,2023,Data!$F$4:$F$2311,2)</f>
        <v>0</v>
      </c>
      <c r="D123" s="12" t="n">
        <f aca="false">SUMIFS(Data!$H$4:$H$2311,Data!$B$4:$B$2311,"UCO",Data!$C$4:$C$2311,"Austria",Data!$E$4:$E$2311,2023,Data!$F$4:$F$2311,3)</f>
        <v>0</v>
      </c>
      <c r="E123" s="12" t="n">
        <f aca="false">SUMIFS(Data!$H$4:$H$2311,Data!$B$4:$B$2311,"UCO",Data!$C$4:$C$2311,"Austria",Data!$E$4:$E$2311,2023,Data!$F$4:$F$2311,4)</f>
        <v>0</v>
      </c>
      <c r="F123" s="12" t="n">
        <f aca="false">SUMIFS(Data!$H$4:$H$2311,Data!$B$4:$B$2311,"UCO",Data!$C$4:$C$2311,"Austria",Data!$E$4:$E$2311,2023,Data!$F$4:$F$2311,5)</f>
        <v>0</v>
      </c>
      <c r="G123" s="12" t="n">
        <f aca="false">SUMIFS(Data!$H$4:$H$2311,Data!$B$4:$B$2311,"UCO",Data!$C$4:$C$2311,"Austria",Data!$E$4:$E$2311,2023,Data!$F$4:$F$2311,6)</f>
        <v>0</v>
      </c>
      <c r="H123" s="12" t="n">
        <f aca="false">SUMIFS(Data!$H$4:$H$2311,Data!$B$4:$B$2311,"UCO",Data!$C$4:$C$2311,"Austria",Data!$E$4:$E$2311,2023,Data!$F$4:$F$2311,7)</f>
        <v>0</v>
      </c>
      <c r="I123" s="12" t="n">
        <f aca="false">SUMIFS(Data!$H$4:$H$2311,Data!$B$4:$B$2311,"UCO",Data!$C$4:$C$2311,"Austria",Data!$E$4:$E$2311,2023,Data!$F$4:$F$2311,8)</f>
        <v>0</v>
      </c>
      <c r="J123" s="12" t="n">
        <f aca="false">SUMIFS(Data!$H$4:$H$2311,Data!$B$4:$B$2311,"UCO",Data!$C$4:$C$2311,"Austria",Data!$E$4:$E$2311,2023,Data!$F$4:$F$2311,9)</f>
        <v>0</v>
      </c>
      <c r="K123" s="12" t="n">
        <f aca="false">SUMIFS(Data!$H$4:$H$2311,Data!$B$4:$B$2311,"UCO",Data!$C$4:$C$2311,"Austria",Data!$E$4:$E$2311,2023,Data!$F$4:$F$2311,10)</f>
        <v>0</v>
      </c>
      <c r="L123" s="12" t="n">
        <f aca="false">SUMIFS(Data!$H$4:$H$2311,Data!$B$4:$B$2311,"UCO",Data!$C$4:$C$2311,"Austria",Data!$E$4:$E$2311,2023,Data!$F$4:$F$2311,11)</f>
        <v>0</v>
      </c>
      <c r="M123" s="12" t="n">
        <f aca="false">SUMIFS(Data!$H$4:$H$2311,Data!$B$4:$B$2311,"UCO",Data!$C$4:$C$2311,"Austria",Data!$E$4:$E$2311,2023,Data!$F$4:$F$2311,12)</f>
        <v>0.218550854371856</v>
      </c>
      <c r="N123" s="13" t="n">
        <f aca="false">SUM(B123:M123)</f>
        <v>0.218550854371856</v>
      </c>
    </row>
    <row r="124" customFormat="false" ht="15" hidden="false" customHeight="false" outlineLevel="0" collapsed="false">
      <c r="A124" s="11" t="s">
        <v>113</v>
      </c>
      <c r="B124" s="12" t="n">
        <f aca="false">SUMIFS(Data!$H$4:$H$2311,Data!$B$4:$B$2311,"UCO",Data!$C$4:$C$2311,"Sri Lanka",Data!$E$4:$E$2311,2023,Data!$F$4:$F$2311,1)</f>
        <v>0</v>
      </c>
      <c r="C124" s="12" t="n">
        <f aca="false">SUMIFS(Data!$H$4:$H$2311,Data!$B$4:$B$2311,"UCO",Data!$C$4:$C$2311,"Sri Lanka",Data!$E$4:$E$2311,2023,Data!$F$4:$F$2311,2)</f>
        <v>0.0317509749998837</v>
      </c>
      <c r="D124" s="12" t="n">
        <f aca="false">SUMIFS(Data!$H$4:$H$2311,Data!$B$4:$B$2311,"UCO",Data!$C$4:$C$2311,"Sri Lanka",Data!$E$4:$E$2311,2023,Data!$F$4:$F$2311,3)</f>
        <v>0</v>
      </c>
      <c r="E124" s="12" t="n">
        <f aca="false">SUMIFS(Data!$H$4:$H$2311,Data!$B$4:$B$2311,"UCO",Data!$C$4:$C$2311,"Sri Lanka",Data!$E$4:$E$2311,2023,Data!$F$4:$F$2311,4)</f>
        <v>0</v>
      </c>
      <c r="F124" s="12" t="n">
        <f aca="false">SUMIFS(Data!$H$4:$H$2311,Data!$B$4:$B$2311,"UCO",Data!$C$4:$C$2311,"Sri Lanka",Data!$E$4:$E$2311,2023,Data!$F$4:$F$2311,5)</f>
        <v>0.0643661620675326</v>
      </c>
      <c r="G124" s="12" t="n">
        <f aca="false">SUMIFS(Data!$H$4:$H$2311,Data!$B$4:$B$2311,"UCO",Data!$C$4:$C$2311,"Sri Lanka",Data!$E$4:$E$2311,2023,Data!$F$4:$F$2311,6)</f>
        <v>0</v>
      </c>
      <c r="H124" s="12" t="n">
        <f aca="false">SUMIFS(Data!$H$4:$H$2311,Data!$B$4:$B$2311,"UCO",Data!$C$4:$C$2311,"Sri Lanka",Data!$E$4:$E$2311,2023,Data!$F$4:$F$2311,7)</f>
        <v>0.0046252982606413</v>
      </c>
      <c r="I124" s="12" t="n">
        <f aca="false">SUMIFS(Data!$H$4:$H$2311,Data!$B$4:$B$2311,"UCO",Data!$C$4:$C$2311,"Sri Lanka",Data!$E$4:$E$2311,2023,Data!$F$4:$F$2311,8)</f>
        <v>0</v>
      </c>
      <c r="J124" s="12" t="n">
        <f aca="false">SUMIFS(Data!$H$4:$H$2311,Data!$B$4:$B$2311,"UCO",Data!$C$4:$C$2311,"Sri Lanka",Data!$E$4:$E$2311,2023,Data!$F$4:$F$2311,9)</f>
        <v>0.02954194313279</v>
      </c>
      <c r="K124" s="12" t="n">
        <f aca="false">SUMIFS(Data!$H$4:$H$2311,Data!$B$4:$B$2311,"UCO",Data!$C$4:$C$2311,"Sri Lanka",Data!$E$4:$E$2311,2023,Data!$F$4:$F$2311,10)</f>
        <v>0.0295154876613278</v>
      </c>
      <c r="L124" s="12" t="n">
        <f aca="false">SUMIFS(Data!$H$4:$H$2311,Data!$B$4:$B$2311,"UCO",Data!$C$4:$C$2311,"Sri Lanka",Data!$E$4:$E$2311,2023,Data!$F$4:$F$2311,11)</f>
        <v>0</v>
      </c>
      <c r="M124" s="12" t="n">
        <f aca="false">SUMIFS(Data!$H$4:$H$2311,Data!$B$4:$B$2311,"UCO",Data!$C$4:$C$2311,"Sri Lanka",Data!$E$4:$E$2311,2023,Data!$F$4:$F$2311,12)</f>
        <v>0.0316848363212282</v>
      </c>
      <c r="N124" s="13" t="n">
        <f aca="false">SUM(B124:M124)</f>
        <v>0.191484702443404</v>
      </c>
    </row>
    <row r="125" customFormat="false" ht="15" hidden="false" customHeight="false" outlineLevel="0" collapsed="false">
      <c r="A125" s="11" t="s">
        <v>136</v>
      </c>
      <c r="B125" s="12" t="n">
        <f aca="false">SUMIFS(Data!$H$4:$H$2311,Data!$B$4:$B$2311,"UCO",Data!$C$4:$C$2311,"El Salvador",Data!$E$4:$E$2311,2023,Data!$F$4:$F$2311,1)</f>
        <v>0</v>
      </c>
      <c r="C125" s="12" t="n">
        <f aca="false">SUMIFS(Data!$H$4:$H$2311,Data!$B$4:$B$2311,"UCO",Data!$C$4:$C$2311,"El Salvador",Data!$E$4:$E$2311,2023,Data!$F$4:$F$2311,2)</f>
        <v>0.0874199008242181</v>
      </c>
      <c r="D125" s="12" t="n">
        <f aca="false">SUMIFS(Data!$H$4:$H$2311,Data!$B$4:$B$2311,"UCO",Data!$C$4:$C$2311,"El Salvador",Data!$E$4:$E$2311,2023,Data!$F$4:$F$2311,3)</f>
        <v>0.0472781321255733</v>
      </c>
      <c r="E125" s="12" t="n">
        <f aca="false">SUMIFS(Data!$H$4:$H$2311,Data!$B$4:$B$2311,"UCO",Data!$C$4:$C$2311,"El Salvador",Data!$E$4:$E$2311,2023,Data!$F$4:$F$2311,4)</f>
        <v>0</v>
      </c>
      <c r="F125" s="12" t="n">
        <f aca="false">SUMIFS(Data!$H$4:$H$2311,Data!$B$4:$B$2311,"UCO",Data!$C$4:$C$2311,"El Salvador",Data!$E$4:$E$2311,2023,Data!$F$4:$F$2311,5)</f>
        <v>0.0566279366648391</v>
      </c>
      <c r="G125" s="12" t="n">
        <f aca="false">SUMIFS(Data!$H$4:$H$2311,Data!$B$4:$B$2311,"UCO",Data!$C$4:$C$2311,"El Salvador",Data!$E$4:$E$2311,2023,Data!$F$4:$F$2311,6)</f>
        <v>0</v>
      </c>
      <c r="H125" s="12" t="n">
        <f aca="false">SUMIFS(Data!$H$4:$H$2311,Data!$B$4:$B$2311,"UCO",Data!$C$4:$C$2311,"El Salvador",Data!$E$4:$E$2311,2023,Data!$F$4:$F$2311,7)</f>
        <v>0</v>
      </c>
      <c r="I125" s="12" t="n">
        <f aca="false">SUMIFS(Data!$H$4:$H$2311,Data!$B$4:$B$2311,"UCO",Data!$C$4:$C$2311,"El Salvador",Data!$E$4:$E$2311,2023,Data!$F$4:$F$2311,8)</f>
        <v>0</v>
      </c>
      <c r="J125" s="12" t="n">
        <f aca="false">SUMIFS(Data!$H$4:$H$2311,Data!$B$4:$B$2311,"UCO",Data!$C$4:$C$2311,"El Salvador",Data!$E$4:$E$2311,2023,Data!$F$4:$F$2311,9)</f>
        <v>0</v>
      </c>
      <c r="K125" s="12" t="n">
        <f aca="false">SUMIFS(Data!$H$4:$H$2311,Data!$B$4:$B$2311,"UCO",Data!$C$4:$C$2311,"El Salvador",Data!$E$4:$E$2311,2023,Data!$F$4:$F$2311,10)</f>
        <v>0</v>
      </c>
      <c r="L125" s="12" t="n">
        <f aca="false">SUMIFS(Data!$H$4:$H$2311,Data!$B$4:$B$2311,"UCO",Data!$C$4:$C$2311,"El Salvador",Data!$E$4:$E$2311,2023,Data!$F$4:$F$2311,11)</f>
        <v>0</v>
      </c>
      <c r="M125" s="12" t="n">
        <f aca="false">SUMIFS(Data!$H$4:$H$2311,Data!$B$4:$B$2311,"UCO",Data!$C$4:$C$2311,"El Salvador",Data!$E$4:$E$2311,2023,Data!$F$4:$F$2311,12)</f>
        <v>0</v>
      </c>
      <c r="N125" s="13" t="n">
        <f aca="false">SUM(B125:M125)</f>
        <v>0.19132596961463</v>
      </c>
    </row>
    <row r="126" customFormat="false" ht="15" hidden="false" customHeight="false" outlineLevel="0" collapsed="false">
      <c r="A126" s="11" t="s">
        <v>137</v>
      </c>
      <c r="B126" s="12" t="n">
        <f aca="false">SUMIFS(Data!$H$4:$H$2311,Data!$B$4:$B$2311,"UCO",Data!$C$4:$C$2311,"Guatemala",Data!$E$4:$E$2311,2023,Data!$F$4:$F$2311,1)</f>
        <v>0.0895782263710092</v>
      </c>
      <c r="C126" s="12" t="n">
        <f aca="false">SUMIFS(Data!$H$4:$H$2311,Data!$B$4:$B$2311,"UCO",Data!$C$4:$C$2311,"Guatemala",Data!$E$4:$E$2311,2023,Data!$F$4:$F$2311,2)</f>
        <v>0</v>
      </c>
      <c r="D126" s="12" t="n">
        <f aca="false">SUMIFS(Data!$H$4:$H$2311,Data!$B$4:$B$2311,"UCO",Data!$C$4:$C$2311,"Guatemala",Data!$E$4:$E$2311,2023,Data!$F$4:$F$2311,3)</f>
        <v>0</v>
      </c>
      <c r="E126" s="12" t="n">
        <f aca="false">SUMIFS(Data!$H$4:$H$2311,Data!$B$4:$B$2311,"UCO",Data!$C$4:$C$2311,"Guatemala",Data!$E$4:$E$2311,2023,Data!$F$4:$F$2311,4)</f>
        <v>0</v>
      </c>
      <c r="F126" s="12" t="n">
        <f aca="false">SUMIFS(Data!$H$4:$H$2311,Data!$B$4:$B$2311,"UCO",Data!$C$4:$C$2311,"Guatemala",Data!$E$4:$E$2311,2023,Data!$F$4:$F$2311,5)</f>
        <v>0.0969394613053664</v>
      </c>
      <c r="G126" s="12" t="n">
        <f aca="false">SUMIFS(Data!$H$4:$H$2311,Data!$B$4:$B$2311,"UCO",Data!$C$4:$C$2311,"Guatemala",Data!$E$4:$E$2311,2023,Data!$F$4:$F$2311,6)</f>
        <v>0</v>
      </c>
      <c r="H126" s="12" t="n">
        <f aca="false">SUMIFS(Data!$H$4:$H$2311,Data!$B$4:$B$2311,"UCO",Data!$C$4:$C$2311,"Guatemala",Data!$E$4:$E$2311,2023,Data!$F$4:$F$2311,7)</f>
        <v>0</v>
      </c>
      <c r="I126" s="12" t="n">
        <f aca="false">SUMIFS(Data!$H$4:$H$2311,Data!$B$4:$B$2311,"UCO",Data!$C$4:$C$2311,"Guatemala",Data!$E$4:$E$2311,2023,Data!$F$4:$F$2311,8)</f>
        <v>0</v>
      </c>
      <c r="J126" s="12" t="n">
        <f aca="false">SUMIFS(Data!$H$4:$H$2311,Data!$B$4:$B$2311,"UCO",Data!$C$4:$C$2311,"Guatemala",Data!$E$4:$E$2311,2023,Data!$F$4:$F$2311,9)</f>
        <v>0</v>
      </c>
      <c r="K126" s="12" t="n">
        <f aca="false">SUMIFS(Data!$H$4:$H$2311,Data!$B$4:$B$2311,"UCO",Data!$C$4:$C$2311,"Guatemala",Data!$E$4:$E$2311,2023,Data!$F$4:$F$2311,10)</f>
        <v>0</v>
      </c>
      <c r="L126" s="12" t="n">
        <f aca="false">SUMIFS(Data!$H$4:$H$2311,Data!$B$4:$B$2311,"UCO",Data!$C$4:$C$2311,"Guatemala",Data!$E$4:$E$2311,2023,Data!$F$4:$F$2311,11)</f>
        <v>0</v>
      </c>
      <c r="M126" s="12" t="n">
        <f aca="false">SUMIFS(Data!$H$4:$H$2311,Data!$B$4:$B$2311,"UCO",Data!$C$4:$C$2311,"Guatemala",Data!$E$4:$E$2311,2023,Data!$F$4:$F$2311,12)</f>
        <v>0</v>
      </c>
      <c r="N126" s="13" t="n">
        <f aca="false">SUM(B126:M126)</f>
        <v>0.186517687676376</v>
      </c>
    </row>
    <row r="127" customFormat="false" ht="15" hidden="false" customHeight="false" outlineLevel="0" collapsed="false">
      <c r="A127" s="11" t="s">
        <v>96</v>
      </c>
      <c r="B127" s="12" t="n">
        <f aca="false">SUMIFS(Data!$H$4:$H$2311,Data!$B$4:$B$2311,"UCO",Data!$C$4:$C$2311,"Greece",Data!$E$4:$E$2311,2023,Data!$F$4:$F$2311,1)</f>
        <v>0</v>
      </c>
      <c r="C127" s="12" t="n">
        <f aca="false">SUMIFS(Data!$H$4:$H$2311,Data!$B$4:$B$2311,"UCO",Data!$C$4:$C$2311,"Greece",Data!$E$4:$E$2311,2023,Data!$F$4:$F$2311,2)</f>
        <v>0</v>
      </c>
      <c r="D127" s="12" t="n">
        <f aca="false">SUMIFS(Data!$H$4:$H$2311,Data!$B$4:$B$2311,"UCO",Data!$C$4:$C$2311,"Greece",Data!$E$4:$E$2311,2023,Data!$F$4:$F$2311,3)</f>
        <v>0</v>
      </c>
      <c r="E127" s="12" t="n">
        <f aca="false">SUMIFS(Data!$H$4:$H$2311,Data!$B$4:$B$2311,"UCO",Data!$C$4:$C$2311,"Greece",Data!$E$4:$E$2311,2023,Data!$F$4:$F$2311,4)</f>
        <v>0</v>
      </c>
      <c r="F127" s="12" t="n">
        <f aca="false">SUMIFS(Data!$H$4:$H$2311,Data!$B$4:$B$2311,"UCO",Data!$C$4:$C$2311,"Greece",Data!$E$4:$E$2311,2023,Data!$F$4:$F$2311,5)</f>
        <v>0</v>
      </c>
      <c r="G127" s="12" t="n">
        <f aca="false">SUMIFS(Data!$H$4:$H$2311,Data!$B$4:$B$2311,"UCO",Data!$C$4:$C$2311,"Greece",Data!$E$4:$E$2311,2023,Data!$F$4:$F$2311,6)</f>
        <v>0</v>
      </c>
      <c r="H127" s="12" t="n">
        <f aca="false">SUMIFS(Data!$H$4:$H$2311,Data!$B$4:$B$2311,"UCO",Data!$C$4:$C$2311,"Greece",Data!$E$4:$E$2311,2023,Data!$F$4:$F$2311,7)</f>
        <v>0</v>
      </c>
      <c r="I127" s="12" t="n">
        <f aca="false">SUMIFS(Data!$H$4:$H$2311,Data!$B$4:$B$2311,"UCO",Data!$C$4:$C$2311,"Greece",Data!$E$4:$E$2311,2023,Data!$F$4:$F$2311,8)</f>
        <v>0</v>
      </c>
      <c r="J127" s="12" t="n">
        <f aca="false">SUMIFS(Data!$H$4:$H$2311,Data!$B$4:$B$2311,"UCO",Data!$C$4:$C$2311,"Greece",Data!$E$4:$E$2311,2023,Data!$F$4:$F$2311,9)</f>
        <v>0</v>
      </c>
      <c r="K127" s="12" t="n">
        <f aca="false">SUMIFS(Data!$H$4:$H$2311,Data!$B$4:$B$2311,"UCO",Data!$C$4:$C$2311,"Greece",Data!$E$4:$E$2311,2023,Data!$F$4:$F$2311,10)</f>
        <v>0</v>
      </c>
      <c r="L127" s="12" t="n">
        <f aca="false">SUMIFS(Data!$H$4:$H$2311,Data!$B$4:$B$2311,"UCO",Data!$C$4:$C$2311,"Greece",Data!$E$4:$E$2311,2023,Data!$F$4:$F$2311,11)</f>
        <v>0</v>
      </c>
      <c r="M127" s="12" t="n">
        <f aca="false">SUMIFS(Data!$H$4:$H$2311,Data!$B$4:$B$2311,"UCO",Data!$C$4:$C$2311,"Greece",Data!$E$4:$E$2311,2023,Data!$F$4:$F$2311,12)</f>
        <v>0.186336908621384</v>
      </c>
      <c r="N127" s="13" t="n">
        <f aca="false">SUM(B127:M127)</f>
        <v>0.186336908621384</v>
      </c>
    </row>
    <row r="128" customFormat="false" ht="15" hidden="false" customHeight="false" outlineLevel="0" collapsed="false">
      <c r="A128" s="11" t="s">
        <v>138</v>
      </c>
      <c r="B128" s="12" t="n">
        <f aca="false">SUMIFS(Data!$H$4:$H$2311,Data!$B$4:$B$2311,"UCO",Data!$C$4:$C$2311,"Slovenia",Data!$E$4:$E$2311,2023,Data!$F$4:$F$2311,1)</f>
        <v>0</v>
      </c>
      <c r="C128" s="12" t="n">
        <f aca="false">SUMIFS(Data!$H$4:$H$2311,Data!$B$4:$B$2311,"UCO",Data!$C$4:$C$2311,"Slovenia",Data!$E$4:$E$2311,2023,Data!$F$4:$F$2311,2)</f>
        <v>0</v>
      </c>
      <c r="D128" s="12" t="n">
        <f aca="false">SUMIFS(Data!$H$4:$H$2311,Data!$B$4:$B$2311,"UCO",Data!$C$4:$C$2311,"Slovenia",Data!$E$4:$E$2311,2023,Data!$F$4:$F$2311,3)</f>
        <v>0</v>
      </c>
      <c r="E128" s="12" t="n">
        <f aca="false">SUMIFS(Data!$H$4:$H$2311,Data!$B$4:$B$2311,"UCO",Data!$C$4:$C$2311,"Slovenia",Data!$E$4:$E$2311,2023,Data!$F$4:$F$2311,4)</f>
        <v>0</v>
      </c>
      <c r="F128" s="12" t="n">
        <f aca="false">SUMIFS(Data!$H$4:$H$2311,Data!$B$4:$B$2311,"UCO",Data!$C$4:$C$2311,"Slovenia",Data!$E$4:$E$2311,2023,Data!$F$4:$F$2311,5)</f>
        <v>0</v>
      </c>
      <c r="G128" s="12" t="n">
        <f aca="false">SUMIFS(Data!$H$4:$H$2311,Data!$B$4:$B$2311,"UCO",Data!$C$4:$C$2311,"Slovenia",Data!$E$4:$E$2311,2023,Data!$F$4:$F$2311,6)</f>
        <v>0</v>
      </c>
      <c r="H128" s="12" t="n">
        <f aca="false">SUMIFS(Data!$H$4:$H$2311,Data!$B$4:$B$2311,"UCO",Data!$C$4:$C$2311,"Slovenia",Data!$E$4:$E$2311,2023,Data!$F$4:$F$2311,7)</f>
        <v>0</v>
      </c>
      <c r="I128" s="12" t="n">
        <f aca="false">SUMIFS(Data!$H$4:$H$2311,Data!$B$4:$B$2311,"UCO",Data!$C$4:$C$2311,"Slovenia",Data!$E$4:$E$2311,2023,Data!$F$4:$F$2311,8)</f>
        <v>0</v>
      </c>
      <c r="J128" s="12" t="n">
        <f aca="false">SUMIFS(Data!$H$4:$H$2311,Data!$B$4:$B$2311,"UCO",Data!$C$4:$C$2311,"Slovenia",Data!$E$4:$E$2311,2023,Data!$F$4:$F$2311,9)</f>
        <v>0</v>
      </c>
      <c r="K128" s="12" t="n">
        <f aca="false">SUMIFS(Data!$H$4:$H$2311,Data!$B$4:$B$2311,"UCO",Data!$C$4:$C$2311,"Slovenia",Data!$E$4:$E$2311,2023,Data!$F$4:$F$2311,10)</f>
        <v>0</v>
      </c>
      <c r="L128" s="12" t="n">
        <f aca="false">SUMIFS(Data!$H$4:$H$2311,Data!$B$4:$B$2311,"UCO",Data!$C$4:$C$2311,"Slovenia",Data!$E$4:$E$2311,2023,Data!$F$4:$F$2311,11)</f>
        <v>0</v>
      </c>
      <c r="M128" s="12" t="n">
        <f aca="false">SUMIFS(Data!$H$4:$H$2311,Data!$B$4:$B$2311,"UCO",Data!$C$4:$C$2311,"Slovenia",Data!$E$4:$E$2311,2023,Data!$F$4:$F$2311,12)</f>
        <v>0.163836530142783</v>
      </c>
      <c r="N128" s="13" t="n">
        <f aca="false">SUM(B128:M128)</f>
        <v>0.163836530142783</v>
      </c>
    </row>
    <row r="129" customFormat="false" ht="15" hidden="false" customHeight="false" outlineLevel="0" collapsed="false">
      <c r="A129" s="11" t="s">
        <v>139</v>
      </c>
      <c r="B129" s="12" t="n">
        <f aca="false">SUMIFS(Data!$H$4:$H$2311,Data!$B$4:$B$2311,"UCO",Data!$C$4:$C$2311,"Estonia",Data!$E$4:$E$2311,2023,Data!$F$4:$F$2311,1)</f>
        <v>0</v>
      </c>
      <c r="C129" s="12" t="n">
        <f aca="false">SUMIFS(Data!$H$4:$H$2311,Data!$B$4:$B$2311,"UCO",Data!$C$4:$C$2311,"Estonia",Data!$E$4:$E$2311,2023,Data!$F$4:$F$2311,2)</f>
        <v>0</v>
      </c>
      <c r="D129" s="12" t="n">
        <f aca="false">SUMIFS(Data!$H$4:$H$2311,Data!$B$4:$B$2311,"UCO",Data!$C$4:$C$2311,"Estonia",Data!$E$4:$E$2311,2023,Data!$F$4:$F$2311,3)</f>
        <v>0</v>
      </c>
      <c r="E129" s="12" t="n">
        <f aca="false">SUMIFS(Data!$H$4:$H$2311,Data!$B$4:$B$2311,"UCO",Data!$C$4:$C$2311,"Estonia",Data!$E$4:$E$2311,2023,Data!$F$4:$F$2311,4)</f>
        <v>0</v>
      </c>
      <c r="F129" s="12" t="n">
        <f aca="false">SUMIFS(Data!$H$4:$H$2311,Data!$B$4:$B$2311,"UCO",Data!$C$4:$C$2311,"Estonia",Data!$E$4:$E$2311,2023,Data!$F$4:$F$2311,5)</f>
        <v>0</v>
      </c>
      <c r="G129" s="12" t="n">
        <f aca="false">SUMIFS(Data!$H$4:$H$2311,Data!$B$4:$B$2311,"UCO",Data!$C$4:$C$2311,"Estonia",Data!$E$4:$E$2311,2023,Data!$F$4:$F$2311,6)</f>
        <v>0</v>
      </c>
      <c r="H129" s="12" t="n">
        <f aca="false">SUMIFS(Data!$H$4:$H$2311,Data!$B$4:$B$2311,"UCO",Data!$C$4:$C$2311,"Estonia",Data!$E$4:$E$2311,2023,Data!$F$4:$F$2311,7)</f>
        <v>0</v>
      </c>
      <c r="I129" s="12" t="n">
        <f aca="false">SUMIFS(Data!$H$4:$H$2311,Data!$B$4:$B$2311,"UCO",Data!$C$4:$C$2311,"Estonia",Data!$E$4:$E$2311,2023,Data!$F$4:$F$2311,8)</f>
        <v>0</v>
      </c>
      <c r="J129" s="12" t="n">
        <f aca="false">SUMIFS(Data!$H$4:$H$2311,Data!$B$4:$B$2311,"UCO",Data!$C$4:$C$2311,"Estonia",Data!$E$4:$E$2311,2023,Data!$F$4:$F$2311,9)</f>
        <v>0</v>
      </c>
      <c r="K129" s="12" t="n">
        <f aca="false">SUMIFS(Data!$H$4:$H$2311,Data!$B$4:$B$2311,"UCO",Data!$C$4:$C$2311,"Estonia",Data!$E$4:$E$2311,2023,Data!$F$4:$F$2311,10)</f>
        <v>0</v>
      </c>
      <c r="L129" s="12" t="n">
        <f aca="false">SUMIFS(Data!$H$4:$H$2311,Data!$B$4:$B$2311,"UCO",Data!$C$4:$C$2311,"Estonia",Data!$E$4:$E$2311,2023,Data!$F$4:$F$2311,11)</f>
        <v>0</v>
      </c>
      <c r="M129" s="12" t="n">
        <f aca="false">SUMIFS(Data!$H$4:$H$2311,Data!$B$4:$B$2311,"UCO",Data!$C$4:$C$2311,"Estonia",Data!$E$4:$E$2311,2023,Data!$F$4:$F$2311,12)</f>
        <v>0.15838670302157</v>
      </c>
      <c r="N129" s="13" t="n">
        <f aca="false">SUM(B129:M129)</f>
        <v>0.15838670302157</v>
      </c>
    </row>
    <row r="130" customFormat="false" ht="15" hidden="false" customHeight="false" outlineLevel="0" collapsed="false">
      <c r="A130" s="11" t="s">
        <v>140</v>
      </c>
      <c r="B130" s="12" t="n">
        <f aca="false">SUMIFS(Data!$H$4:$H$2311,Data!$B$4:$B$2311,"UCO",Data!$C$4:$C$2311,"Lithuania",Data!$E$4:$E$2311,2023,Data!$F$4:$F$2311,1)</f>
        <v>0</v>
      </c>
      <c r="C130" s="12" t="n">
        <f aca="false">SUMIFS(Data!$H$4:$H$2311,Data!$B$4:$B$2311,"UCO",Data!$C$4:$C$2311,"Lithuania",Data!$E$4:$E$2311,2023,Data!$F$4:$F$2311,2)</f>
        <v>0</v>
      </c>
      <c r="D130" s="12" t="n">
        <f aca="false">SUMIFS(Data!$H$4:$H$2311,Data!$B$4:$B$2311,"UCO",Data!$C$4:$C$2311,"Lithuania",Data!$E$4:$E$2311,2023,Data!$F$4:$F$2311,3)</f>
        <v>0</v>
      </c>
      <c r="E130" s="12" t="n">
        <f aca="false">SUMIFS(Data!$H$4:$H$2311,Data!$B$4:$B$2311,"UCO",Data!$C$4:$C$2311,"Lithuania",Data!$E$4:$E$2311,2023,Data!$F$4:$F$2311,4)</f>
        <v>0</v>
      </c>
      <c r="F130" s="12" t="n">
        <f aca="false">SUMIFS(Data!$H$4:$H$2311,Data!$B$4:$B$2311,"UCO",Data!$C$4:$C$2311,"Lithuania",Data!$E$4:$E$2311,2023,Data!$F$4:$F$2311,5)</f>
        <v>0</v>
      </c>
      <c r="G130" s="12" t="n">
        <f aca="false">SUMIFS(Data!$H$4:$H$2311,Data!$B$4:$B$2311,"UCO",Data!$C$4:$C$2311,"Lithuania",Data!$E$4:$E$2311,2023,Data!$F$4:$F$2311,6)</f>
        <v>0</v>
      </c>
      <c r="H130" s="12" t="n">
        <f aca="false">SUMIFS(Data!$H$4:$H$2311,Data!$B$4:$B$2311,"UCO",Data!$C$4:$C$2311,"Lithuania",Data!$E$4:$E$2311,2023,Data!$F$4:$F$2311,7)</f>
        <v>0</v>
      </c>
      <c r="I130" s="12" t="n">
        <f aca="false">SUMIFS(Data!$H$4:$H$2311,Data!$B$4:$B$2311,"UCO",Data!$C$4:$C$2311,"Lithuania",Data!$E$4:$E$2311,2023,Data!$F$4:$F$2311,8)</f>
        <v>0</v>
      </c>
      <c r="J130" s="12" t="n">
        <f aca="false">SUMIFS(Data!$H$4:$H$2311,Data!$B$4:$B$2311,"UCO",Data!$C$4:$C$2311,"Lithuania",Data!$E$4:$E$2311,2023,Data!$F$4:$F$2311,9)</f>
        <v>0</v>
      </c>
      <c r="K130" s="12" t="n">
        <f aca="false">SUMIFS(Data!$H$4:$H$2311,Data!$B$4:$B$2311,"UCO",Data!$C$4:$C$2311,"Lithuania",Data!$E$4:$E$2311,2023,Data!$F$4:$F$2311,10)</f>
        <v>0</v>
      </c>
      <c r="L130" s="12" t="n">
        <f aca="false">SUMIFS(Data!$H$4:$H$2311,Data!$B$4:$B$2311,"UCO",Data!$C$4:$C$2311,"Lithuania",Data!$E$4:$E$2311,2023,Data!$F$4:$F$2311,11)</f>
        <v>0</v>
      </c>
      <c r="M130" s="12" t="n">
        <f aca="false">SUMIFS(Data!$H$4:$H$2311,Data!$B$4:$B$2311,"UCO",Data!$C$4:$C$2311,"Lithuania",Data!$E$4:$E$2311,2023,Data!$F$4:$F$2311,12)</f>
        <v>0.108242561487591</v>
      </c>
      <c r="N130" s="13" t="n">
        <f aca="false">SUM(B130:M130)</f>
        <v>0.108242561487591</v>
      </c>
    </row>
    <row r="131" customFormat="false" ht="15" hidden="false" customHeight="false" outlineLevel="0" collapsed="false">
      <c r="A131" s="11" t="s">
        <v>55</v>
      </c>
      <c r="B131" s="12" t="n">
        <f aca="false">SUMIFS(Data!$H$4:$H$2311,Data!$B$4:$B$2311,"UCO",Data!$C$4:$C$2311,"Aruba",Data!$E$4:$E$2311,2023,Data!$F$4:$F$2311,1)</f>
        <v>0</v>
      </c>
      <c r="C131" s="12" t="n">
        <f aca="false">SUMIFS(Data!$H$4:$H$2311,Data!$B$4:$B$2311,"UCO",Data!$C$4:$C$2311,"Aruba",Data!$E$4:$E$2311,2023,Data!$F$4:$F$2311,2)</f>
        <v>0.0485016976807</v>
      </c>
      <c r="D131" s="12" t="n">
        <f aca="false">SUMIFS(Data!$H$4:$H$2311,Data!$B$4:$B$2311,"UCO",Data!$C$4:$C$2311,"Aruba",Data!$E$4:$E$2311,2023,Data!$F$4:$F$2311,3)</f>
        <v>0</v>
      </c>
      <c r="E131" s="12" t="n">
        <f aca="false">SUMIFS(Data!$H$4:$H$2311,Data!$B$4:$B$2311,"UCO",Data!$C$4:$C$2311,"Aruba",Data!$E$4:$E$2311,2023,Data!$F$4:$F$2311,4)</f>
        <v>0</v>
      </c>
      <c r="F131" s="12" t="n">
        <f aca="false">SUMIFS(Data!$H$4:$H$2311,Data!$B$4:$B$2311,"UCO",Data!$C$4:$C$2311,"Aruba",Data!$E$4:$E$2311,2023,Data!$F$4:$F$2311,5)</f>
        <v>0</v>
      </c>
      <c r="G131" s="12" t="n">
        <f aca="false">SUMIFS(Data!$H$4:$H$2311,Data!$B$4:$B$2311,"UCO",Data!$C$4:$C$2311,"Aruba",Data!$E$4:$E$2311,2023,Data!$F$4:$F$2311,6)</f>
        <v>0.049868563706247</v>
      </c>
      <c r="H131" s="12" t="n">
        <f aca="false">SUMIFS(Data!$H$4:$H$2311,Data!$B$4:$B$2311,"UCO",Data!$C$4:$C$2311,"Aruba",Data!$E$4:$E$2311,2023,Data!$F$4:$F$2311,7)</f>
        <v>0</v>
      </c>
      <c r="I131" s="12" t="n">
        <f aca="false">SUMIFS(Data!$H$4:$H$2311,Data!$B$4:$B$2311,"UCO",Data!$C$4:$C$2311,"Aruba",Data!$E$4:$E$2311,2023,Data!$F$4:$F$2311,8)</f>
        <v>0</v>
      </c>
      <c r="J131" s="12" t="n">
        <f aca="false">SUMIFS(Data!$H$4:$H$2311,Data!$B$4:$B$2311,"UCO",Data!$C$4:$C$2311,"Aruba",Data!$E$4:$E$2311,2023,Data!$F$4:$F$2311,9)</f>
        <v>0</v>
      </c>
      <c r="K131" s="12" t="n">
        <f aca="false">SUMIFS(Data!$H$4:$H$2311,Data!$B$4:$B$2311,"UCO",Data!$C$4:$C$2311,"Aruba",Data!$E$4:$E$2311,2023,Data!$F$4:$F$2311,10)</f>
        <v>0</v>
      </c>
      <c r="L131" s="12" t="n">
        <f aca="false">SUMIFS(Data!$H$4:$H$2311,Data!$B$4:$B$2311,"UCO",Data!$C$4:$C$2311,"Aruba",Data!$E$4:$E$2311,2023,Data!$F$4:$F$2311,11)</f>
        <v>0</v>
      </c>
      <c r="M131" s="12" t="n">
        <f aca="false">SUMIFS(Data!$H$4:$H$2311,Data!$B$4:$B$2311,"UCO",Data!$C$4:$C$2311,"Aruba",Data!$E$4:$E$2311,2023,Data!$F$4:$F$2311,12)</f>
        <v>0</v>
      </c>
      <c r="N131" s="13" t="n">
        <f aca="false">SUM(B131:M131)</f>
        <v>0.098370261386947</v>
      </c>
    </row>
    <row r="132" customFormat="false" ht="15" hidden="false" customHeight="false" outlineLevel="0" collapsed="false">
      <c r="A132" s="11" t="s">
        <v>141</v>
      </c>
      <c r="B132" s="12" t="n">
        <f aca="false">SUMIFS(Data!$H$4:$H$2311,Data!$B$4:$B$2311,"UCO",Data!$C$4:$C$2311,"Taiwan",Data!$E$4:$E$2311,2023,Data!$F$4:$F$2311,1)</f>
        <v>0</v>
      </c>
      <c r="C132" s="12" t="n">
        <f aca="false">SUMIFS(Data!$H$4:$H$2311,Data!$B$4:$B$2311,"UCO",Data!$C$4:$C$2311,"Taiwan",Data!$E$4:$E$2311,2023,Data!$F$4:$F$2311,2)</f>
        <v>0</v>
      </c>
      <c r="D132" s="12" t="n">
        <f aca="false">SUMIFS(Data!$H$4:$H$2311,Data!$B$4:$B$2311,"UCO",Data!$C$4:$C$2311,"Taiwan",Data!$E$4:$E$2311,2023,Data!$F$4:$F$2311,3)</f>
        <v>0</v>
      </c>
      <c r="E132" s="12" t="n">
        <f aca="false">SUMIFS(Data!$H$4:$H$2311,Data!$B$4:$B$2311,"UCO",Data!$C$4:$C$2311,"Taiwan",Data!$E$4:$E$2311,2023,Data!$F$4:$F$2311,4)</f>
        <v>0.048898529752633</v>
      </c>
      <c r="F132" s="12" t="n">
        <f aca="false">SUMIFS(Data!$H$4:$H$2311,Data!$B$4:$B$2311,"UCO",Data!$C$4:$C$2311,"Taiwan",Data!$E$4:$E$2311,2023,Data!$F$4:$F$2311,5)</f>
        <v>0</v>
      </c>
      <c r="G132" s="12" t="n">
        <f aca="false">SUMIFS(Data!$H$4:$H$2311,Data!$B$4:$B$2311,"UCO",Data!$C$4:$C$2311,"Taiwan",Data!$E$4:$E$2311,2023,Data!$F$4:$F$2311,6)</f>
        <v>0.040961888313973</v>
      </c>
      <c r="H132" s="12" t="n">
        <f aca="false">SUMIFS(Data!$H$4:$H$2311,Data!$B$4:$B$2311,"UCO",Data!$C$4:$C$2311,"Taiwan",Data!$E$4:$E$2311,2023,Data!$F$4:$F$2311,7)</f>
        <v>0</v>
      </c>
      <c r="I132" s="12" t="n">
        <f aca="false">SUMIFS(Data!$H$4:$H$2311,Data!$B$4:$B$2311,"UCO",Data!$C$4:$C$2311,"Taiwan",Data!$E$4:$E$2311,2023,Data!$F$4:$F$2311,8)</f>
        <v>0</v>
      </c>
      <c r="J132" s="12" t="n">
        <f aca="false">SUMIFS(Data!$H$4:$H$2311,Data!$B$4:$B$2311,"UCO",Data!$C$4:$C$2311,"Taiwan",Data!$E$4:$E$2311,2023,Data!$F$4:$F$2311,9)</f>
        <v>0</v>
      </c>
      <c r="K132" s="12" t="n">
        <f aca="false">SUMIFS(Data!$H$4:$H$2311,Data!$B$4:$B$2311,"UCO",Data!$C$4:$C$2311,"Taiwan",Data!$E$4:$E$2311,2023,Data!$F$4:$F$2311,10)</f>
        <v>0</v>
      </c>
      <c r="L132" s="12" t="n">
        <f aca="false">SUMIFS(Data!$H$4:$H$2311,Data!$B$4:$B$2311,"UCO",Data!$C$4:$C$2311,"Taiwan",Data!$E$4:$E$2311,2023,Data!$F$4:$F$2311,11)</f>
        <v>0</v>
      </c>
      <c r="M132" s="12" t="n">
        <f aca="false">SUMIFS(Data!$H$4:$H$2311,Data!$B$4:$B$2311,"UCO",Data!$C$4:$C$2311,"Taiwan",Data!$E$4:$E$2311,2023,Data!$F$4:$F$2311,12)</f>
        <v>0</v>
      </c>
      <c r="N132" s="13" t="n">
        <f aca="false">SUM(B132:M132)</f>
        <v>0.089860418066606</v>
      </c>
    </row>
    <row r="133" customFormat="false" ht="15" hidden="false" customHeight="false" outlineLevel="0" collapsed="false">
      <c r="A133" s="11" t="s">
        <v>71</v>
      </c>
      <c r="B133" s="12" t="n">
        <f aca="false">SUMIFS(Data!$H$4:$H$2311,Data!$B$4:$B$2311,"UCO",Data!$C$4:$C$2311,"Ecuador",Data!$E$4:$E$2311,2023,Data!$F$4:$F$2311,1)</f>
        <v>0.048854437300196</v>
      </c>
      <c r="C133" s="12" t="n">
        <f aca="false">SUMIFS(Data!$H$4:$H$2311,Data!$B$4:$B$2311,"UCO",Data!$C$4:$C$2311,"Ecuador",Data!$E$4:$E$2311,2023,Data!$F$4:$F$2311,2)</f>
        <v>0</v>
      </c>
      <c r="D133" s="12" t="n">
        <f aca="false">SUMIFS(Data!$H$4:$H$2311,Data!$B$4:$B$2311,"UCO",Data!$C$4:$C$2311,"Ecuador",Data!$E$4:$E$2311,2023,Data!$F$4:$F$2311,3)</f>
        <v>0.00267861648554775</v>
      </c>
      <c r="E133" s="12" t="n">
        <f aca="false">SUMIFS(Data!$H$4:$H$2311,Data!$B$4:$B$2311,"UCO",Data!$C$4:$C$2311,"Ecuador",Data!$E$4:$E$2311,2023,Data!$F$4:$F$2311,4)</f>
        <v>0</v>
      </c>
      <c r="F133" s="12" t="n">
        <f aca="false">SUMIFS(Data!$H$4:$H$2311,Data!$B$4:$B$2311,"UCO",Data!$C$4:$C$2311,"Ecuador",Data!$E$4:$E$2311,2023,Data!$F$4:$F$2311,5)</f>
        <v>0</v>
      </c>
      <c r="G133" s="12" t="n">
        <f aca="false">SUMIFS(Data!$H$4:$H$2311,Data!$B$4:$B$2311,"UCO",Data!$C$4:$C$2311,"Ecuador",Data!$E$4:$E$2311,2023,Data!$F$4:$F$2311,6)</f>
        <v>0</v>
      </c>
      <c r="H133" s="12" t="n">
        <f aca="false">SUMIFS(Data!$H$4:$H$2311,Data!$B$4:$B$2311,"UCO",Data!$C$4:$C$2311,"Ecuador",Data!$E$4:$E$2311,2023,Data!$F$4:$F$2311,7)</f>
        <v>0.0028571909179176</v>
      </c>
      <c r="I133" s="12" t="n">
        <f aca="false">SUMIFS(Data!$H$4:$H$2311,Data!$B$4:$B$2311,"UCO",Data!$C$4:$C$2311,"Ecuador",Data!$E$4:$E$2311,2023,Data!$F$4:$F$2311,8)</f>
        <v>0.003571488647397</v>
      </c>
      <c r="J133" s="12" t="n">
        <f aca="false">SUMIFS(Data!$H$4:$H$2311,Data!$B$4:$B$2311,"UCO",Data!$C$4:$C$2311,"Ecuador",Data!$E$4:$E$2311,2023,Data!$F$4:$F$2311,9)</f>
        <v>0</v>
      </c>
      <c r="K133" s="12" t="n">
        <f aca="false">SUMIFS(Data!$H$4:$H$2311,Data!$B$4:$B$2311,"UCO",Data!$C$4:$C$2311,"Ecuador",Data!$E$4:$E$2311,2023,Data!$F$4:$F$2311,10)</f>
        <v>0</v>
      </c>
      <c r="L133" s="12" t="n">
        <f aca="false">SUMIFS(Data!$H$4:$H$2311,Data!$B$4:$B$2311,"UCO",Data!$C$4:$C$2311,"Ecuador",Data!$E$4:$E$2311,2023,Data!$F$4:$F$2311,11)</f>
        <v>0</v>
      </c>
      <c r="M133" s="12" t="n">
        <f aca="false">SUMIFS(Data!$H$4:$H$2311,Data!$B$4:$B$2311,"UCO",Data!$C$4:$C$2311,"Ecuador",Data!$E$4:$E$2311,2023,Data!$F$4:$F$2311,12)</f>
        <v>0.003571488647397</v>
      </c>
      <c r="N133" s="13" t="n">
        <f aca="false">SUM(B133:M133)</f>
        <v>0.0615332219984554</v>
      </c>
    </row>
    <row r="134" customFormat="false" ht="15" hidden="false" customHeight="false" outlineLevel="0" collapsed="false">
      <c r="A134" s="11" t="s">
        <v>76</v>
      </c>
      <c r="B134" s="12" t="n">
        <f aca="false">SUMIFS(Data!$H$4:$H$2311,Data!$B$4:$B$2311,"UCO",Data!$C$4:$C$2311,"Switzerland",Data!$E$4:$E$2311,2023,Data!$F$4:$F$2311,1)</f>
        <v>0</v>
      </c>
      <c r="C134" s="12" t="n">
        <f aca="false">SUMIFS(Data!$H$4:$H$2311,Data!$B$4:$B$2311,"UCO",Data!$C$4:$C$2311,"Switzerland",Data!$E$4:$E$2311,2023,Data!$F$4:$F$2311,2)</f>
        <v>0</v>
      </c>
      <c r="D134" s="12" t="n">
        <f aca="false">SUMIFS(Data!$H$4:$H$2311,Data!$B$4:$B$2311,"UCO",Data!$C$4:$C$2311,"Switzerland",Data!$E$4:$E$2311,2023,Data!$F$4:$F$2311,3)</f>
        <v>0</v>
      </c>
      <c r="E134" s="12" t="n">
        <f aca="false">SUMIFS(Data!$H$4:$H$2311,Data!$B$4:$B$2311,"UCO",Data!$C$4:$C$2311,"Switzerland",Data!$E$4:$E$2311,2023,Data!$F$4:$F$2311,4)</f>
        <v>0</v>
      </c>
      <c r="F134" s="12" t="n">
        <f aca="false">SUMIFS(Data!$H$4:$H$2311,Data!$B$4:$B$2311,"UCO",Data!$C$4:$C$2311,"Switzerland",Data!$E$4:$E$2311,2023,Data!$F$4:$F$2311,5)</f>
        <v>0.0484355590020445</v>
      </c>
      <c r="G134" s="12" t="n">
        <f aca="false">SUMIFS(Data!$H$4:$H$2311,Data!$B$4:$B$2311,"UCO",Data!$C$4:$C$2311,"Switzerland",Data!$E$4:$E$2311,2023,Data!$F$4:$F$2311,6)</f>
        <v>0</v>
      </c>
      <c r="H134" s="12" t="n">
        <f aca="false">SUMIFS(Data!$H$4:$H$2311,Data!$B$4:$B$2311,"UCO",Data!$C$4:$C$2311,"Switzerland",Data!$E$4:$E$2311,2023,Data!$F$4:$F$2311,7)</f>
        <v>0</v>
      </c>
      <c r="I134" s="12" t="n">
        <f aca="false">SUMIFS(Data!$H$4:$H$2311,Data!$B$4:$B$2311,"UCO",Data!$C$4:$C$2311,"Switzerland",Data!$E$4:$E$2311,2023,Data!$F$4:$F$2311,8)</f>
        <v>0</v>
      </c>
      <c r="J134" s="12" t="n">
        <f aca="false">SUMIFS(Data!$H$4:$H$2311,Data!$B$4:$B$2311,"UCO",Data!$C$4:$C$2311,"Switzerland",Data!$E$4:$E$2311,2023,Data!$F$4:$F$2311,9)</f>
        <v>0</v>
      </c>
      <c r="K134" s="12" t="n">
        <f aca="false">SUMIFS(Data!$H$4:$H$2311,Data!$B$4:$B$2311,"UCO",Data!$C$4:$C$2311,"Switzerland",Data!$E$4:$E$2311,2023,Data!$F$4:$F$2311,10)</f>
        <v>0</v>
      </c>
      <c r="L134" s="12" t="n">
        <f aca="false">SUMIFS(Data!$H$4:$H$2311,Data!$B$4:$B$2311,"UCO",Data!$C$4:$C$2311,"Switzerland",Data!$E$4:$E$2311,2023,Data!$F$4:$F$2311,11)</f>
        <v>0</v>
      </c>
      <c r="M134" s="12" t="n">
        <f aca="false">SUMIFS(Data!$H$4:$H$2311,Data!$B$4:$B$2311,"UCO",Data!$C$4:$C$2311,"Switzerland",Data!$E$4:$E$2311,2023,Data!$F$4:$F$2311,12)</f>
        <v>0</v>
      </c>
      <c r="N134" s="13" t="n">
        <f aca="false">SUM(B134:M134)</f>
        <v>0.0484355590020445</v>
      </c>
    </row>
    <row r="135" customFormat="false" ht="15" hidden="false" customHeight="false" outlineLevel="0" collapsed="false">
      <c r="A135" s="11" t="s">
        <v>70</v>
      </c>
      <c r="B135" s="12" t="n">
        <f aca="false">SUMIFS(Data!$H$4:$H$2311,Data!$B$4:$B$2311,"UCO",Data!$C$4:$C$2311,"Sweden",Data!$E$4:$E$2311,2023,Data!$F$4:$F$2311,1)</f>
        <v>0</v>
      </c>
      <c r="C135" s="12" t="n">
        <f aca="false">SUMIFS(Data!$H$4:$H$2311,Data!$B$4:$B$2311,"UCO",Data!$C$4:$C$2311,"Sweden",Data!$E$4:$E$2311,2023,Data!$F$4:$F$2311,2)</f>
        <v>0</v>
      </c>
      <c r="D135" s="12" t="n">
        <f aca="false">SUMIFS(Data!$H$4:$H$2311,Data!$B$4:$B$2311,"UCO",Data!$C$4:$C$2311,"Sweden",Data!$E$4:$E$2311,2023,Data!$F$4:$F$2311,3)</f>
        <v>0</v>
      </c>
      <c r="E135" s="12" t="n">
        <f aca="false">SUMIFS(Data!$H$4:$H$2311,Data!$B$4:$B$2311,"UCO",Data!$C$4:$C$2311,"Sweden",Data!$E$4:$E$2311,2023,Data!$F$4:$F$2311,4)</f>
        <v>0</v>
      </c>
      <c r="F135" s="12" t="n">
        <f aca="false">SUMIFS(Data!$H$4:$H$2311,Data!$B$4:$B$2311,"UCO",Data!$C$4:$C$2311,"Sweden",Data!$E$4:$E$2311,2023,Data!$F$4:$F$2311,5)</f>
        <v>0</v>
      </c>
      <c r="G135" s="12" t="n">
        <f aca="false">SUMIFS(Data!$H$4:$H$2311,Data!$B$4:$B$2311,"UCO",Data!$C$4:$C$2311,"Sweden",Data!$E$4:$E$2311,2023,Data!$F$4:$F$2311,6)</f>
        <v>0</v>
      </c>
      <c r="H135" s="12" t="n">
        <f aca="false">SUMIFS(Data!$H$4:$H$2311,Data!$B$4:$B$2311,"UCO",Data!$C$4:$C$2311,"Sweden",Data!$E$4:$E$2311,2023,Data!$F$4:$F$2311,7)</f>
        <v>0</v>
      </c>
      <c r="I135" s="12" t="n">
        <f aca="false">SUMIFS(Data!$H$4:$H$2311,Data!$B$4:$B$2311,"UCO",Data!$C$4:$C$2311,"Sweden",Data!$E$4:$E$2311,2023,Data!$F$4:$F$2311,8)</f>
        <v>0.00521834174591895</v>
      </c>
      <c r="J135" s="12" t="n">
        <f aca="false">SUMIFS(Data!$H$4:$H$2311,Data!$B$4:$B$2311,"UCO",Data!$C$4:$C$2311,"Sweden",Data!$E$4:$E$2311,2023,Data!$F$4:$F$2311,9)</f>
        <v>0</v>
      </c>
      <c r="K135" s="12" t="n">
        <f aca="false">SUMIFS(Data!$H$4:$H$2311,Data!$B$4:$B$2311,"UCO",Data!$C$4:$C$2311,"Sweden",Data!$E$4:$E$2311,2023,Data!$F$4:$F$2311,10)</f>
        <v>0.0009523969726392</v>
      </c>
      <c r="L135" s="12" t="n">
        <f aca="false">SUMIFS(Data!$H$4:$H$2311,Data!$B$4:$B$2311,"UCO",Data!$C$4:$C$2311,"Sweden",Data!$E$4:$E$2311,2023,Data!$F$4:$F$2311,11)</f>
        <v>0</v>
      </c>
      <c r="M135" s="12" t="n">
        <f aca="false">SUMIFS(Data!$H$4:$H$2311,Data!$B$4:$B$2311,"UCO",Data!$C$4:$C$2311,"Sweden",Data!$E$4:$E$2311,2023,Data!$F$4:$F$2311,12)</f>
        <v>0</v>
      </c>
      <c r="N135" s="13" t="n">
        <f aca="false">SUM(B135:M135)</f>
        <v>0.00617073871855815</v>
      </c>
    </row>
    <row r="136" customFormat="false" ht="15" hidden="false" customHeight="false" outlineLevel="0" collapsed="false">
      <c r="A136" s="11" t="s">
        <v>69</v>
      </c>
      <c r="B136" s="12" t="n">
        <f aca="false">SUMIFS(Data!$H$4:$H$2311,Data!$B$4:$B$2311,"UCO",Data!$C$4:$C$2311,"Spain",Data!$E$4:$E$2311,2023,Data!$F$4:$F$2311,1)</f>
        <v>0</v>
      </c>
      <c r="C136" s="12" t="n">
        <f aca="false">SUMIFS(Data!$H$4:$H$2311,Data!$B$4:$B$2311,"UCO",Data!$C$4:$C$2311,"Spain",Data!$E$4:$E$2311,2023,Data!$F$4:$F$2311,2)</f>
        <v>0</v>
      </c>
      <c r="D136" s="12" t="n">
        <f aca="false">SUMIFS(Data!$H$4:$H$2311,Data!$B$4:$B$2311,"UCO",Data!$C$4:$C$2311,"Spain",Data!$E$4:$E$2311,2023,Data!$F$4:$F$2311,3)</f>
        <v>0</v>
      </c>
      <c r="E136" s="12" t="n">
        <f aca="false">SUMIFS(Data!$H$4:$H$2311,Data!$B$4:$B$2311,"UCO",Data!$C$4:$C$2311,"Spain",Data!$E$4:$E$2311,2023,Data!$F$4:$F$2311,4)</f>
        <v>0</v>
      </c>
      <c r="F136" s="12" t="n">
        <f aca="false">SUMIFS(Data!$H$4:$H$2311,Data!$B$4:$B$2311,"UCO",Data!$C$4:$C$2311,"Spain",Data!$E$4:$E$2311,2023,Data!$F$4:$F$2311,5)</f>
        <v>0</v>
      </c>
      <c r="G136" s="12" t="n">
        <f aca="false">SUMIFS(Data!$H$4:$H$2311,Data!$B$4:$B$2311,"UCO",Data!$C$4:$C$2311,"Spain",Data!$E$4:$E$2311,2023,Data!$F$4:$F$2311,6)</f>
        <v>0.0012125424420175</v>
      </c>
      <c r="H136" s="12" t="n">
        <f aca="false">SUMIFS(Data!$H$4:$H$2311,Data!$B$4:$B$2311,"UCO",Data!$C$4:$C$2311,"Spain",Data!$E$4:$E$2311,2023,Data!$F$4:$F$2311,7)</f>
        <v>0.00088184904874</v>
      </c>
      <c r="I136" s="12" t="n">
        <f aca="false">SUMIFS(Data!$H$4:$H$2311,Data!$B$4:$B$2311,"UCO",Data!$C$4:$C$2311,"Spain",Data!$E$4:$E$2311,2023,Data!$F$4:$F$2311,8)</f>
        <v>0.00138229838389995</v>
      </c>
      <c r="J136" s="12" t="n">
        <f aca="false">SUMIFS(Data!$H$4:$H$2311,Data!$B$4:$B$2311,"UCO",Data!$C$4:$C$2311,"Spain",Data!$E$4:$E$2311,2023,Data!$F$4:$F$2311,9)</f>
        <v>0</v>
      </c>
      <c r="K136" s="12" t="n">
        <f aca="false">SUMIFS(Data!$H$4:$H$2311,Data!$B$4:$B$2311,"UCO",Data!$C$4:$C$2311,"Spain",Data!$E$4:$E$2311,2023,Data!$F$4:$F$2311,10)</f>
        <v>0.00132277357311</v>
      </c>
      <c r="L136" s="12" t="n">
        <f aca="false">SUMIFS(Data!$H$4:$H$2311,Data!$B$4:$B$2311,"UCO",Data!$C$4:$C$2311,"Spain",Data!$E$4:$E$2311,2023,Data!$F$4:$F$2311,11)</f>
        <v>0</v>
      </c>
      <c r="M136" s="12" t="n">
        <f aca="false">SUMIFS(Data!$H$4:$H$2311,Data!$B$4:$B$2311,"UCO",Data!$C$4:$C$2311,"Spain",Data!$E$4:$E$2311,2023,Data!$F$4:$F$2311,12)</f>
        <v>0.0006305220698491</v>
      </c>
      <c r="N136" s="13" t="n">
        <f aca="false">SUM(B136:M136)</f>
        <v>0.00542998551761655</v>
      </c>
    </row>
    <row r="137" customFormat="false" ht="15" hidden="false" customHeight="false" outlineLevel="0" collapsed="false">
      <c r="A137" s="11" t="s">
        <v>142</v>
      </c>
      <c r="B137" s="12" t="n">
        <f aca="false">SUMIFS(Data!$H$4:$H$2311,Data!$B$4:$B$2311,"UCO",Data!$C$4:$C$2311,"Slovakia",Data!$E$4:$E$2311,2023,Data!$F$4:$F$2311,1)</f>
        <v>0</v>
      </c>
      <c r="C137" s="12" t="n">
        <f aca="false">SUMIFS(Data!$H$4:$H$2311,Data!$B$4:$B$2311,"UCO",Data!$C$4:$C$2311,"Slovakia",Data!$E$4:$E$2311,2023,Data!$F$4:$F$2311,2)</f>
        <v>0</v>
      </c>
      <c r="D137" s="12" t="n">
        <f aca="false">SUMIFS(Data!$H$4:$H$2311,Data!$B$4:$B$2311,"UCO",Data!$C$4:$C$2311,"Slovakia",Data!$E$4:$E$2311,2023,Data!$F$4:$F$2311,3)</f>
        <v>0</v>
      </c>
      <c r="E137" s="12" t="n">
        <f aca="false">SUMIFS(Data!$H$4:$H$2311,Data!$B$4:$B$2311,"UCO",Data!$C$4:$C$2311,"Slovakia",Data!$E$4:$E$2311,2023,Data!$F$4:$F$2311,4)</f>
        <v>0</v>
      </c>
      <c r="F137" s="12" t="n">
        <f aca="false">SUMIFS(Data!$H$4:$H$2311,Data!$B$4:$B$2311,"UCO",Data!$C$4:$C$2311,"Slovakia",Data!$E$4:$E$2311,2023,Data!$F$4:$F$2311,5)</f>
        <v>0</v>
      </c>
      <c r="G137" s="12" t="n">
        <f aca="false">SUMIFS(Data!$H$4:$H$2311,Data!$B$4:$B$2311,"UCO",Data!$C$4:$C$2311,"Slovakia",Data!$E$4:$E$2311,2023,Data!$F$4:$F$2311,6)</f>
        <v>0.0001719605645043</v>
      </c>
      <c r="H137" s="12" t="n">
        <f aca="false">SUMIFS(Data!$H$4:$H$2311,Data!$B$4:$B$2311,"UCO",Data!$C$4:$C$2311,"Slovakia",Data!$E$4:$E$2311,2023,Data!$F$4:$F$2311,7)</f>
        <v>0</v>
      </c>
      <c r="I137" s="12" t="n">
        <f aca="false">SUMIFS(Data!$H$4:$H$2311,Data!$B$4:$B$2311,"UCO",Data!$C$4:$C$2311,"Slovakia",Data!$E$4:$E$2311,2023,Data!$F$4:$F$2311,8)</f>
        <v>0</v>
      </c>
      <c r="J137" s="12" t="n">
        <f aca="false">SUMIFS(Data!$H$4:$H$2311,Data!$B$4:$B$2311,"UCO",Data!$C$4:$C$2311,"Slovakia",Data!$E$4:$E$2311,2023,Data!$F$4:$F$2311,9)</f>
        <v>0</v>
      </c>
      <c r="K137" s="12" t="n">
        <f aca="false">SUMIFS(Data!$H$4:$H$2311,Data!$B$4:$B$2311,"UCO",Data!$C$4:$C$2311,"Slovakia",Data!$E$4:$E$2311,2023,Data!$F$4:$F$2311,10)</f>
        <v>0</v>
      </c>
      <c r="L137" s="12" t="n">
        <f aca="false">SUMIFS(Data!$H$4:$H$2311,Data!$B$4:$B$2311,"UCO",Data!$C$4:$C$2311,"Slovakia",Data!$E$4:$E$2311,2023,Data!$F$4:$F$2311,11)</f>
        <v>0</v>
      </c>
      <c r="M137" s="12" t="n">
        <f aca="false">SUMIFS(Data!$H$4:$H$2311,Data!$B$4:$B$2311,"UCO",Data!$C$4:$C$2311,"Slovakia",Data!$E$4:$E$2311,2023,Data!$F$4:$F$2311,12)</f>
        <v>0</v>
      </c>
      <c r="N137" s="13" t="n">
        <f aca="false">SUM(B137:M137)</f>
        <v>0.0001719605645043</v>
      </c>
    </row>
    <row r="139" customFormat="false" ht="15" hidden="false" customHeight="false" outlineLevel="0" collapsed="false">
      <c r="A139" s="8"/>
      <c r="B139" s="9" t="s">
        <v>143</v>
      </c>
      <c r="C139" s="9" t="s">
        <v>144</v>
      </c>
      <c r="D139" s="9" t="s">
        <v>145</v>
      </c>
      <c r="E139" s="9" t="s">
        <v>146</v>
      </c>
      <c r="F139" s="9" t="s">
        <v>147</v>
      </c>
      <c r="G139" s="9" t="s">
        <v>148</v>
      </c>
      <c r="H139" s="9" t="s">
        <v>149</v>
      </c>
      <c r="I139" s="9" t="s">
        <v>150</v>
      </c>
      <c r="J139" s="9" t="s">
        <v>151</v>
      </c>
      <c r="K139" s="9" t="s">
        <v>152</v>
      </c>
      <c r="L139" s="9" t="s">
        <v>153</v>
      </c>
      <c r="M139" s="9" t="s">
        <v>154</v>
      </c>
      <c r="N139" s="9" t="s">
        <v>33</v>
      </c>
    </row>
    <row r="140" customFormat="false" ht="15" hidden="false" customHeight="false" outlineLevel="0" collapsed="false">
      <c r="A140" s="10" t="s">
        <v>35</v>
      </c>
      <c r="B140" s="10" t="n">
        <f aca="false">SUM(B141:B186)</f>
        <v>492.76874520646</v>
      </c>
      <c r="C140" s="10" t="n">
        <f aca="false">SUM(C141:C186)</f>
        <v>183.957516745809</v>
      </c>
      <c r="D140" s="10" t="n">
        <f aca="false">SUM(D141:D186)</f>
        <v>634.560539455635</v>
      </c>
      <c r="E140" s="10" t="n">
        <f aca="false">SUM(E141:E186)</f>
        <v>274.415848309065</v>
      </c>
      <c r="F140" s="10" t="n">
        <f aca="false">SUM(F141:F186)</f>
        <v>307.47081349732</v>
      </c>
      <c r="G140" s="10" t="n">
        <f aca="false">SUM(G141:G186)</f>
        <v>370.339677451129</v>
      </c>
      <c r="H140" s="10" t="n">
        <f aca="false">SUM(H141:H186)</f>
        <v>436.63988660151</v>
      </c>
      <c r="I140" s="10" t="n">
        <f aca="false">SUM(I141:I186)</f>
        <v>540.755917036559</v>
      </c>
      <c r="J140" s="10" t="n">
        <f aca="false">SUM(J141:J186)</f>
        <v>691.840993710221</v>
      </c>
      <c r="K140" s="10" t="n">
        <f aca="false">SUM(K141:K186)</f>
        <v>500.297273519231</v>
      </c>
      <c r="L140" s="10" t="n">
        <f aca="false">SUM(L141:L186)</f>
        <v>612.529300261718</v>
      </c>
      <c r="M140" s="10" t="n">
        <f aca="false">SUM(M141:M186)</f>
        <v>381.093385675989</v>
      </c>
      <c r="N140" s="10" t="n">
        <f aca="false">SUM(B140:M140)</f>
        <v>5426.66989747065</v>
      </c>
    </row>
    <row r="141" customFormat="false" ht="15" hidden="false" customHeight="false" outlineLevel="0" collapsed="false">
      <c r="A141" s="11" t="s">
        <v>57</v>
      </c>
      <c r="B141" s="12" t="n">
        <f aca="false">SUMIFS(Data!$H$4:$H$2311,Data!$B$4:$B$2311,"UCO",Data!$C$4:$C$2311,"China",Data!$E$4:$E$2311,2024,Data!$F$4:$F$2311,1)</f>
        <v>286.093130270406</v>
      </c>
      <c r="C141" s="12" t="n">
        <f aca="false">SUMIFS(Data!$H$4:$H$2311,Data!$B$4:$B$2311,"UCO",Data!$C$4:$C$2311,"China",Data!$E$4:$E$2311,2024,Data!$F$4:$F$2311,2)</f>
        <v>75.421921228567</v>
      </c>
      <c r="D141" s="12" t="n">
        <f aca="false">SUMIFS(Data!$H$4:$H$2311,Data!$B$4:$B$2311,"UCO",Data!$C$4:$C$2311,"China",Data!$E$4:$E$2311,2024,Data!$F$4:$F$2311,3)</f>
        <v>396.552243592854</v>
      </c>
      <c r="E141" s="12" t="n">
        <f aca="false">SUMIFS(Data!$H$4:$H$2311,Data!$B$4:$B$2311,"UCO",Data!$C$4:$C$2311,"China",Data!$E$4:$E$2311,2024,Data!$F$4:$F$2311,4)</f>
        <v>102.765258154642</v>
      </c>
      <c r="F141" s="12" t="n">
        <f aca="false">SUMIFS(Data!$H$4:$H$2311,Data!$B$4:$B$2311,"UCO",Data!$C$4:$C$2311,"China",Data!$E$4:$E$2311,2024,Data!$F$4:$F$2311,5)</f>
        <v>175.41585631179</v>
      </c>
      <c r="G141" s="12" t="n">
        <f aca="false">SUMIFS(Data!$H$4:$H$2311,Data!$B$4:$B$2311,"UCO",Data!$C$4:$C$2311,"China",Data!$E$4:$E$2311,2024,Data!$F$4:$F$2311,6)</f>
        <v>247.707517655252</v>
      </c>
      <c r="H141" s="12" t="n">
        <f aca="false">SUMIFS(Data!$H$4:$H$2311,Data!$B$4:$B$2311,"UCO",Data!$C$4:$C$2311,"China",Data!$E$4:$E$2311,2024,Data!$F$4:$F$2311,7)</f>
        <v>221.532831339416</v>
      </c>
      <c r="I141" s="12" t="n">
        <f aca="false">SUMIFS(Data!$H$4:$H$2311,Data!$B$4:$B$2311,"UCO",Data!$C$4:$C$2311,"China",Data!$E$4:$E$2311,2024,Data!$F$4:$F$2311,8)</f>
        <v>322.817297389904</v>
      </c>
      <c r="J141" s="12" t="n">
        <f aca="false">SUMIFS(Data!$H$4:$H$2311,Data!$B$4:$B$2311,"UCO",Data!$C$4:$C$2311,"China",Data!$E$4:$E$2311,2024,Data!$F$4:$F$2311,9)</f>
        <v>328.935583727043</v>
      </c>
      <c r="K141" s="12" t="n">
        <f aca="false">SUMIFS(Data!$H$4:$H$2311,Data!$B$4:$B$2311,"UCO",Data!$C$4:$C$2311,"China",Data!$E$4:$E$2311,2024,Data!$F$4:$F$2311,10)</f>
        <v>213.106569671914</v>
      </c>
      <c r="L141" s="12" t="n">
        <f aca="false">SUMIFS(Data!$H$4:$H$2311,Data!$B$4:$B$2311,"UCO",Data!$C$4:$C$2311,"China",Data!$E$4:$E$2311,2024,Data!$F$4:$F$2311,11)</f>
        <v>308.091386105277</v>
      </c>
      <c r="M141" s="12" t="n">
        <f aca="false">SUMIFS(Data!$H$4:$H$2311,Data!$B$4:$B$2311,"UCO",Data!$C$4:$C$2311,"China",Data!$E$4:$E$2311,2024,Data!$F$4:$F$2311,12)</f>
        <v>134.003755398341</v>
      </c>
      <c r="N141" s="13" t="n">
        <f aca="false">SUM(B141:M141)</f>
        <v>2812.4433508454</v>
      </c>
    </row>
    <row r="142" customFormat="false" ht="15" hidden="false" customHeight="false" outlineLevel="0" collapsed="false">
      <c r="A142" s="11" t="s">
        <v>43</v>
      </c>
      <c r="B142" s="12" t="n">
        <f aca="false">SUMIFS(Data!$H$4:$H$2311,Data!$B$4:$B$2311,"UCO",Data!$C$4:$C$2311,"Canada",Data!$E$4:$E$2311,2024,Data!$F$4:$F$2311,1)</f>
        <v>63.3108797663769</v>
      </c>
      <c r="C142" s="12" t="n">
        <f aca="false">SUMIFS(Data!$H$4:$H$2311,Data!$B$4:$B$2311,"UCO",Data!$C$4:$C$2311,"Canada",Data!$E$4:$E$2311,2024,Data!$F$4:$F$2311,2)</f>
        <v>35.3717942830672</v>
      </c>
      <c r="D142" s="12" t="n">
        <f aca="false">SUMIFS(Data!$H$4:$H$2311,Data!$B$4:$B$2311,"UCO",Data!$C$4:$C$2311,"Canada",Data!$E$4:$E$2311,2024,Data!$F$4:$F$2311,3)</f>
        <v>40.7893038412667</v>
      </c>
      <c r="E142" s="12" t="n">
        <f aca="false">SUMIFS(Data!$H$4:$H$2311,Data!$B$4:$B$2311,"UCO",Data!$C$4:$C$2311,"Canada",Data!$E$4:$E$2311,2024,Data!$F$4:$F$2311,4)</f>
        <v>61.9655683362037</v>
      </c>
      <c r="F142" s="12" t="n">
        <f aca="false">SUMIFS(Data!$H$4:$H$2311,Data!$B$4:$B$2311,"UCO",Data!$C$4:$C$2311,"Canada",Data!$E$4:$E$2311,2024,Data!$F$4:$F$2311,5)</f>
        <v>32.2352887020743</v>
      </c>
      <c r="G142" s="12" t="n">
        <f aca="false">SUMIFS(Data!$H$4:$H$2311,Data!$B$4:$B$2311,"UCO",Data!$C$4:$C$2311,"Canada",Data!$E$4:$E$2311,2024,Data!$F$4:$F$2311,6)</f>
        <v>64.4433547240141</v>
      </c>
      <c r="H142" s="12" t="n">
        <f aca="false">SUMIFS(Data!$H$4:$H$2311,Data!$B$4:$B$2311,"UCO",Data!$C$4:$C$2311,"Canada",Data!$E$4:$E$2311,2024,Data!$F$4:$F$2311,7)</f>
        <v>47.5900707942067</v>
      </c>
      <c r="I142" s="12" t="n">
        <f aca="false">SUMIFS(Data!$H$4:$H$2311,Data!$B$4:$B$2311,"UCO",Data!$C$4:$C$2311,"Canada",Data!$E$4:$E$2311,2024,Data!$F$4:$F$2311,8)</f>
        <v>41.5409589010734</v>
      </c>
      <c r="J142" s="12" t="n">
        <f aca="false">SUMIFS(Data!$H$4:$H$2311,Data!$B$4:$B$2311,"UCO",Data!$C$4:$C$2311,"Canada",Data!$E$4:$E$2311,2024,Data!$F$4:$F$2311,9)</f>
        <v>66.747035449509</v>
      </c>
      <c r="K142" s="12" t="n">
        <f aca="false">SUMIFS(Data!$H$4:$H$2311,Data!$B$4:$B$2311,"UCO",Data!$C$4:$C$2311,"Canada",Data!$E$4:$E$2311,2024,Data!$F$4:$F$2311,10)</f>
        <v>50.2403159912338</v>
      </c>
      <c r="L142" s="12" t="n">
        <f aca="false">SUMIFS(Data!$H$4:$H$2311,Data!$B$4:$B$2311,"UCO",Data!$C$4:$C$2311,"Canada",Data!$E$4:$E$2311,2024,Data!$F$4:$F$2311,11)</f>
        <v>42.3443873185315</v>
      </c>
      <c r="M142" s="12" t="n">
        <f aca="false">SUMIFS(Data!$H$4:$H$2311,Data!$B$4:$B$2311,"UCO",Data!$C$4:$C$2311,"Canada",Data!$E$4:$E$2311,2024,Data!$F$4:$F$2311,12)</f>
        <v>65.9732944802767</v>
      </c>
      <c r="N142" s="13" t="n">
        <f aca="false">SUM(B142:M142)</f>
        <v>612.552252587834</v>
      </c>
    </row>
    <row r="143" customFormat="false" ht="15" hidden="false" customHeight="false" outlineLevel="0" collapsed="false">
      <c r="A143" s="11" t="s">
        <v>65</v>
      </c>
      <c r="B143" s="12" t="n">
        <f aca="false">SUMIFS(Data!$H$4:$H$2311,Data!$B$4:$B$2311,"UCO",Data!$C$4:$C$2311,"Malaysia",Data!$E$4:$E$2311,2024,Data!$F$4:$F$2311,1)</f>
        <v>0</v>
      </c>
      <c r="C143" s="12" t="n">
        <f aca="false">SUMIFS(Data!$H$4:$H$2311,Data!$B$4:$B$2311,"UCO",Data!$C$4:$C$2311,"Malaysia",Data!$E$4:$E$2311,2024,Data!$F$4:$F$2311,2)</f>
        <v>0</v>
      </c>
      <c r="D143" s="12" t="n">
        <f aca="false">SUMIFS(Data!$H$4:$H$2311,Data!$B$4:$B$2311,"UCO",Data!$C$4:$C$2311,"Malaysia",Data!$E$4:$E$2311,2024,Data!$F$4:$F$2311,3)</f>
        <v>0</v>
      </c>
      <c r="E143" s="12" t="n">
        <f aca="false">SUMIFS(Data!$H$4:$H$2311,Data!$B$4:$B$2311,"UCO",Data!$C$4:$C$2311,"Malaysia",Data!$E$4:$E$2311,2024,Data!$F$4:$F$2311,4)</f>
        <v>0</v>
      </c>
      <c r="F143" s="12" t="n">
        <f aca="false">SUMIFS(Data!$H$4:$H$2311,Data!$B$4:$B$2311,"UCO",Data!$C$4:$C$2311,"Malaysia",Data!$E$4:$E$2311,2024,Data!$F$4:$F$2311,5)</f>
        <v>0</v>
      </c>
      <c r="G143" s="12" t="n">
        <f aca="false">SUMIFS(Data!$H$4:$H$2311,Data!$B$4:$B$2311,"UCO",Data!$C$4:$C$2311,"Malaysia",Data!$E$4:$E$2311,2024,Data!$F$4:$F$2311,6)</f>
        <v>0</v>
      </c>
      <c r="H143" s="12" t="n">
        <f aca="false">SUMIFS(Data!$H$4:$H$2311,Data!$B$4:$B$2311,"UCO",Data!$C$4:$C$2311,"Malaysia",Data!$E$4:$E$2311,2024,Data!$F$4:$F$2311,7)</f>
        <v>33.1408749225838</v>
      </c>
      <c r="I143" s="12" t="n">
        <f aca="false">SUMIFS(Data!$H$4:$H$2311,Data!$B$4:$B$2311,"UCO",Data!$C$4:$C$2311,"Malaysia",Data!$E$4:$E$2311,2024,Data!$F$4:$F$2311,8)</f>
        <v>90.295815602063</v>
      </c>
      <c r="J143" s="12" t="n">
        <f aca="false">SUMIFS(Data!$H$4:$H$2311,Data!$B$4:$B$2311,"UCO",Data!$C$4:$C$2311,"Malaysia",Data!$E$4:$E$2311,2024,Data!$F$4:$F$2311,9)</f>
        <v>45.7425463307761</v>
      </c>
      <c r="K143" s="12" t="n">
        <f aca="false">SUMIFS(Data!$H$4:$H$2311,Data!$B$4:$B$2311,"UCO",Data!$C$4:$C$2311,"Malaysia",Data!$E$4:$E$2311,2024,Data!$F$4:$F$2311,10)</f>
        <v>114.043366734826</v>
      </c>
      <c r="L143" s="12" t="n">
        <f aca="false">SUMIFS(Data!$H$4:$H$2311,Data!$B$4:$B$2311,"UCO",Data!$C$4:$C$2311,"Malaysia",Data!$E$4:$E$2311,2024,Data!$F$4:$F$2311,11)</f>
        <v>43.130848960292</v>
      </c>
      <c r="M143" s="12" t="n">
        <f aca="false">SUMIFS(Data!$H$4:$H$2311,Data!$B$4:$B$2311,"UCO",Data!$C$4:$C$2311,"Malaysia",Data!$E$4:$E$2311,2024,Data!$F$4:$F$2311,12)</f>
        <v>8.98282526225532</v>
      </c>
      <c r="N143" s="13" t="n">
        <f aca="false">SUM(B143:M143)</f>
        <v>335.336277812796</v>
      </c>
    </row>
    <row r="144" customFormat="false" ht="15" hidden="false" customHeight="false" outlineLevel="0" collapsed="false">
      <c r="A144" s="11" t="s">
        <v>74</v>
      </c>
      <c r="B144" s="12" t="n">
        <f aca="false">SUMIFS(Data!$H$4:$H$2311,Data!$B$4:$B$2311,"UCO",Data!$C$4:$C$2311,"United Kingdom",Data!$E$4:$E$2311,2024,Data!$F$4:$F$2311,1)</f>
        <v>5.4196480421427</v>
      </c>
      <c r="C144" s="12" t="n">
        <f aca="false">SUMIFS(Data!$H$4:$H$2311,Data!$B$4:$B$2311,"UCO",Data!$C$4:$C$2311,"United Kingdom",Data!$E$4:$E$2311,2024,Data!$F$4:$F$2311,2)</f>
        <v>0.001102311310925</v>
      </c>
      <c r="D144" s="12" t="n">
        <f aca="false">SUMIFS(Data!$H$4:$H$2311,Data!$B$4:$B$2311,"UCO",Data!$C$4:$C$2311,"United Kingdom",Data!$E$4:$E$2311,2024,Data!$F$4:$F$2311,3)</f>
        <v>43.5081899636252</v>
      </c>
      <c r="E144" s="12" t="n">
        <f aca="false">SUMIFS(Data!$H$4:$H$2311,Data!$B$4:$B$2311,"UCO",Data!$C$4:$C$2311,"United Kingdom",Data!$E$4:$E$2311,2024,Data!$F$4:$F$2311,4)</f>
        <v>5.43936177762728</v>
      </c>
      <c r="F144" s="12" t="n">
        <f aca="false">SUMIFS(Data!$H$4:$H$2311,Data!$B$4:$B$2311,"UCO",Data!$C$4:$C$2311,"United Kingdom",Data!$E$4:$E$2311,2024,Data!$F$4:$F$2311,5)</f>
        <v>32.8918892529173</v>
      </c>
      <c r="G144" s="12" t="n">
        <f aca="false">SUMIFS(Data!$H$4:$H$2311,Data!$B$4:$B$2311,"UCO",Data!$C$4:$C$2311,"United Kingdom",Data!$E$4:$E$2311,2024,Data!$F$4:$F$2311,6)</f>
        <v>0.0085451172822906</v>
      </c>
      <c r="H144" s="12" t="n">
        <f aca="false">SUMIFS(Data!$H$4:$H$2311,Data!$B$4:$B$2311,"UCO",Data!$C$4:$C$2311,"United Kingdom",Data!$E$4:$E$2311,2024,Data!$F$4:$F$2311,7)</f>
        <v>30.6886842034131</v>
      </c>
      <c r="I144" s="12" t="n">
        <f aca="false">SUMIFS(Data!$H$4:$H$2311,Data!$B$4:$B$2311,"UCO",Data!$C$4:$C$2311,"United Kingdom",Data!$E$4:$E$2311,2024,Data!$F$4:$F$2311,8)</f>
        <v>0.471566574191093</v>
      </c>
      <c r="J144" s="12" t="n">
        <f aca="false">SUMIFS(Data!$H$4:$H$2311,Data!$B$4:$B$2311,"UCO",Data!$C$4:$C$2311,"United Kingdom",Data!$E$4:$E$2311,2024,Data!$F$4:$F$2311,9)</f>
        <v>33.4209876590482</v>
      </c>
      <c r="K144" s="12" t="n">
        <f aca="false">SUMIFS(Data!$H$4:$H$2311,Data!$B$4:$B$2311,"UCO",Data!$C$4:$C$2311,"United Kingdom",Data!$E$4:$E$2311,2024,Data!$F$4:$F$2311,10)</f>
        <v>3.306933932775E-005</v>
      </c>
      <c r="L144" s="12" t="n">
        <f aca="false">SUMIFS(Data!$H$4:$H$2311,Data!$B$4:$B$2311,"UCO",Data!$C$4:$C$2311,"United Kingdom",Data!$E$4:$E$2311,2024,Data!$F$4:$F$2311,11)</f>
        <v>35.2335446030736</v>
      </c>
      <c r="M144" s="12" t="n">
        <f aca="false">SUMIFS(Data!$H$4:$H$2311,Data!$B$4:$B$2311,"UCO",Data!$C$4:$C$2311,"United Kingdom",Data!$E$4:$E$2311,2024,Data!$F$4:$F$2311,12)</f>
        <v>33.5996083884931</v>
      </c>
      <c r="N144" s="13" t="n">
        <f aca="false">SUM(B144:M144)</f>
        <v>220.683160962464</v>
      </c>
    </row>
    <row r="145" customFormat="false" ht="15" hidden="false" customHeight="false" outlineLevel="0" collapsed="false">
      <c r="A145" s="11" t="s">
        <v>127</v>
      </c>
      <c r="B145" s="12" t="n">
        <f aca="false">SUMIFS(Data!$H$4:$H$2311,Data!$B$4:$B$2311,"UCO",Data!$C$4:$C$2311,"Korea, South",Data!$E$4:$E$2311,2024,Data!$F$4:$F$2311,1)</f>
        <v>22.935864198963</v>
      </c>
      <c r="C145" s="12" t="n">
        <f aca="false">SUMIFS(Data!$H$4:$H$2311,Data!$B$4:$B$2311,"UCO",Data!$C$4:$C$2311,"Korea, South",Data!$E$4:$E$2311,2024,Data!$F$4:$F$2311,2)</f>
        <v>0</v>
      </c>
      <c r="D145" s="12" t="n">
        <f aca="false">SUMIFS(Data!$H$4:$H$2311,Data!$B$4:$B$2311,"UCO",Data!$C$4:$C$2311,"Korea, South",Data!$E$4:$E$2311,2024,Data!$F$4:$F$2311,3)</f>
        <v>0</v>
      </c>
      <c r="E145" s="12" t="n">
        <f aca="false">SUMIFS(Data!$H$4:$H$2311,Data!$B$4:$B$2311,"UCO",Data!$C$4:$C$2311,"Korea, South",Data!$E$4:$E$2311,2024,Data!$F$4:$F$2311,4)</f>
        <v>10.6635545919846</v>
      </c>
      <c r="F145" s="12" t="n">
        <f aca="false">SUMIFS(Data!$H$4:$H$2311,Data!$B$4:$B$2311,"UCO",Data!$C$4:$C$2311,"Korea, South",Data!$E$4:$E$2311,2024,Data!$F$4:$F$2311,5)</f>
        <v>0</v>
      </c>
      <c r="G145" s="12" t="n">
        <f aca="false">SUMIFS(Data!$H$4:$H$2311,Data!$B$4:$B$2311,"UCO",Data!$C$4:$C$2311,"Korea, South",Data!$E$4:$E$2311,2024,Data!$F$4:$F$2311,6)</f>
        <v>0</v>
      </c>
      <c r="H145" s="12" t="n">
        <f aca="false">SUMIFS(Data!$H$4:$H$2311,Data!$B$4:$B$2311,"UCO",Data!$C$4:$C$2311,"Korea, South",Data!$E$4:$E$2311,2024,Data!$F$4:$F$2311,7)</f>
        <v>13.212980191892</v>
      </c>
      <c r="I145" s="12" t="n">
        <f aca="false">SUMIFS(Data!$H$4:$H$2311,Data!$B$4:$B$2311,"UCO",Data!$C$4:$C$2311,"Korea, South",Data!$E$4:$E$2311,2024,Data!$F$4:$F$2311,8)</f>
        <v>22.9410891545768</v>
      </c>
      <c r="J145" s="12" t="n">
        <f aca="false">SUMIFS(Data!$H$4:$H$2311,Data!$B$4:$B$2311,"UCO",Data!$C$4:$C$2311,"Korea, South",Data!$E$4:$E$2311,2024,Data!$F$4:$F$2311,9)</f>
        <v>48.7065137361377</v>
      </c>
      <c r="K145" s="12" t="n">
        <f aca="false">SUMIFS(Data!$H$4:$H$2311,Data!$B$4:$B$2311,"UCO",Data!$C$4:$C$2311,"Korea, South",Data!$E$4:$E$2311,2024,Data!$F$4:$F$2311,10)</f>
        <v>23.2863573080073</v>
      </c>
      <c r="L145" s="12" t="n">
        <f aca="false">SUMIFS(Data!$H$4:$H$2311,Data!$B$4:$B$2311,"UCO",Data!$C$4:$C$2311,"Korea, South",Data!$E$4:$E$2311,2024,Data!$F$4:$F$2311,11)</f>
        <v>41.3681848308216</v>
      </c>
      <c r="M145" s="12" t="n">
        <f aca="false">SUMIFS(Data!$H$4:$H$2311,Data!$B$4:$B$2311,"UCO",Data!$C$4:$C$2311,"Korea, South",Data!$E$4:$E$2311,2024,Data!$F$4:$F$2311,12)</f>
        <v>10.9947726854461</v>
      </c>
      <c r="N145" s="13" t="n">
        <f aca="false">SUM(B145:M145)</f>
        <v>194.109316697829</v>
      </c>
    </row>
    <row r="146" customFormat="false" ht="15" hidden="false" customHeight="false" outlineLevel="0" collapsed="false">
      <c r="A146" s="11" t="s">
        <v>126</v>
      </c>
      <c r="B146" s="12" t="n">
        <f aca="false">SUMIFS(Data!$H$4:$H$2311,Data!$B$4:$B$2311,"UCO",Data!$C$4:$C$2311,"Indonesia",Data!$E$4:$E$2311,2024,Data!$F$4:$F$2311,1)</f>
        <v>8.5628049695857</v>
      </c>
      <c r="C146" s="12" t="n">
        <f aca="false">SUMIFS(Data!$H$4:$H$2311,Data!$B$4:$B$2311,"UCO",Data!$C$4:$C$2311,"Indonesia",Data!$E$4:$E$2311,2024,Data!$F$4:$F$2311,2)</f>
        <v>0</v>
      </c>
      <c r="D146" s="12" t="n">
        <f aca="false">SUMIFS(Data!$H$4:$H$2311,Data!$B$4:$B$2311,"UCO",Data!$C$4:$C$2311,"Indonesia",Data!$E$4:$E$2311,2024,Data!$F$4:$F$2311,3)</f>
        <v>24.3772045812987</v>
      </c>
      <c r="E146" s="12" t="n">
        <f aca="false">SUMIFS(Data!$H$4:$H$2311,Data!$B$4:$B$2311,"UCO",Data!$C$4:$C$2311,"Indonesia",Data!$E$4:$E$2311,2024,Data!$F$4:$F$2311,4)</f>
        <v>10.440845819348</v>
      </c>
      <c r="F146" s="12" t="n">
        <f aca="false">SUMIFS(Data!$H$4:$H$2311,Data!$B$4:$B$2311,"UCO",Data!$C$4:$C$2311,"Indonesia",Data!$E$4:$E$2311,2024,Data!$F$4:$F$2311,5)</f>
        <v>31.8437433151885</v>
      </c>
      <c r="G146" s="12" t="n">
        <f aca="false">SUMIFS(Data!$H$4:$H$2311,Data!$B$4:$B$2311,"UCO",Data!$C$4:$C$2311,"Indonesia",Data!$E$4:$E$2311,2024,Data!$F$4:$F$2311,6)</f>
        <v>0</v>
      </c>
      <c r="H146" s="12" t="n">
        <f aca="false">SUMIFS(Data!$H$4:$H$2311,Data!$B$4:$B$2311,"UCO",Data!$C$4:$C$2311,"Indonesia",Data!$E$4:$E$2311,2024,Data!$F$4:$F$2311,7)</f>
        <v>31.5187907592183</v>
      </c>
      <c r="I146" s="12" t="n">
        <f aca="false">SUMIFS(Data!$H$4:$H$2311,Data!$B$4:$B$2311,"UCO",Data!$C$4:$C$2311,"Indonesia",Data!$E$4:$E$2311,2024,Data!$F$4:$F$2311,8)</f>
        <v>1.40770004574891</v>
      </c>
      <c r="J146" s="12" t="n">
        <f aca="false">SUMIFS(Data!$H$4:$H$2311,Data!$B$4:$B$2311,"UCO",Data!$C$4:$C$2311,"Indonesia",Data!$E$4:$E$2311,2024,Data!$F$4:$F$2311,9)</f>
        <v>11.9669826015879</v>
      </c>
      <c r="K146" s="12" t="n">
        <f aca="false">SUMIFS(Data!$H$4:$H$2311,Data!$B$4:$B$2311,"UCO",Data!$C$4:$C$2311,"Indonesia",Data!$E$4:$E$2311,2024,Data!$F$4:$F$2311,10)</f>
        <v>43.1978893295998</v>
      </c>
      <c r="L146" s="12" t="n">
        <f aca="false">SUMIFS(Data!$H$4:$H$2311,Data!$B$4:$B$2311,"UCO",Data!$C$4:$C$2311,"Indonesia",Data!$E$4:$E$2311,2024,Data!$F$4:$F$2311,11)</f>
        <v>11.6057970728276</v>
      </c>
      <c r="M146" s="12" t="n">
        <f aca="false">SUMIFS(Data!$H$4:$H$2311,Data!$B$4:$B$2311,"UCO",Data!$C$4:$C$2311,"Indonesia",Data!$E$4:$E$2311,2024,Data!$F$4:$F$2311,12)</f>
        <v>1.95593678086008</v>
      </c>
      <c r="N146" s="13" t="n">
        <f aca="false">SUM(B146:M146)</f>
        <v>176.877695275263</v>
      </c>
    </row>
    <row r="147" customFormat="false" ht="15" hidden="false" customHeight="false" outlineLevel="0" collapsed="false">
      <c r="A147" s="11" t="s">
        <v>109</v>
      </c>
      <c r="B147" s="12" t="n">
        <f aca="false">SUMIFS(Data!$H$4:$H$2311,Data!$B$4:$B$2311,"UCO",Data!$C$4:$C$2311,"Australia",Data!$E$4:$E$2311,2024,Data!$F$4:$F$2311,1)</f>
        <v>0</v>
      </c>
      <c r="C147" s="12" t="n">
        <f aca="false">SUMIFS(Data!$H$4:$H$2311,Data!$B$4:$B$2311,"UCO",Data!$C$4:$C$2311,"Australia",Data!$E$4:$E$2311,2024,Data!$F$4:$F$2311,2)</f>
        <v>4.79635492987064</v>
      </c>
      <c r="D147" s="12" t="n">
        <f aca="false">SUMIFS(Data!$H$4:$H$2311,Data!$B$4:$B$2311,"UCO",Data!$C$4:$C$2311,"Australia",Data!$E$4:$E$2311,2024,Data!$F$4:$F$2311,3)</f>
        <v>21.6753646010524</v>
      </c>
      <c r="E147" s="12" t="n">
        <f aca="false">SUMIFS(Data!$H$4:$H$2311,Data!$B$4:$B$2311,"UCO",Data!$C$4:$C$2311,"Australia",Data!$E$4:$E$2311,2024,Data!$F$4:$F$2311,4)</f>
        <v>0.023148537529425</v>
      </c>
      <c r="F147" s="12" t="n">
        <f aca="false">SUMIFS(Data!$H$4:$H$2311,Data!$B$4:$B$2311,"UCO",Data!$C$4:$C$2311,"Australia",Data!$E$4:$E$2311,2024,Data!$F$4:$F$2311,5)</f>
        <v>0</v>
      </c>
      <c r="G147" s="12" t="n">
        <f aca="false">SUMIFS(Data!$H$4:$H$2311,Data!$B$4:$B$2311,"UCO",Data!$C$4:$C$2311,"Australia",Data!$E$4:$E$2311,2024,Data!$F$4:$F$2311,6)</f>
        <v>22.0958941615477</v>
      </c>
      <c r="H147" s="12" t="n">
        <f aca="false">SUMIFS(Data!$H$4:$H$2311,Data!$B$4:$B$2311,"UCO",Data!$C$4:$C$2311,"Australia",Data!$E$4:$E$2311,2024,Data!$F$4:$F$2311,7)</f>
        <v>6.64690413553842</v>
      </c>
      <c r="I147" s="12" t="n">
        <f aca="false">SUMIFS(Data!$H$4:$H$2311,Data!$B$4:$B$2311,"UCO",Data!$C$4:$C$2311,"Australia",Data!$E$4:$E$2311,2024,Data!$F$4:$F$2311,8)</f>
        <v>0</v>
      </c>
      <c r="J147" s="12" t="n">
        <f aca="false">SUMIFS(Data!$H$4:$H$2311,Data!$B$4:$B$2311,"UCO",Data!$C$4:$C$2311,"Australia",Data!$E$4:$E$2311,2024,Data!$F$4:$F$2311,9)</f>
        <v>25.2787739793912</v>
      </c>
      <c r="K147" s="12" t="n">
        <f aca="false">SUMIFS(Data!$H$4:$H$2311,Data!$B$4:$B$2311,"UCO",Data!$C$4:$C$2311,"Australia",Data!$E$4:$E$2311,2024,Data!$F$4:$F$2311,10)</f>
        <v>4.41346930064347</v>
      </c>
      <c r="L147" s="12" t="n">
        <f aca="false">SUMIFS(Data!$H$4:$H$2311,Data!$B$4:$B$2311,"UCO",Data!$C$4:$C$2311,"Australia",Data!$E$4:$E$2311,2024,Data!$F$4:$F$2311,11)</f>
        <v>51.2106365457887</v>
      </c>
      <c r="M147" s="12" t="n">
        <f aca="false">SUMIFS(Data!$H$4:$H$2311,Data!$B$4:$B$2311,"UCO",Data!$C$4:$C$2311,"Australia",Data!$E$4:$E$2311,2024,Data!$F$4:$F$2311,12)</f>
        <v>38.6175565519537</v>
      </c>
      <c r="N147" s="13" t="n">
        <f aca="false">SUM(B147:M147)</f>
        <v>174.758102743316</v>
      </c>
    </row>
    <row r="148" customFormat="false" ht="15" hidden="false" customHeight="false" outlineLevel="0" collapsed="false">
      <c r="A148" s="11" t="s">
        <v>92</v>
      </c>
      <c r="B148" s="12" t="n">
        <f aca="false">SUMIFS(Data!$H$4:$H$2311,Data!$B$4:$B$2311,"UCO",Data!$C$4:$C$2311,"Colombia",Data!$E$4:$E$2311,2024,Data!$F$4:$F$2311,1)</f>
        <v>21.7586816991773</v>
      </c>
      <c r="C148" s="12" t="n">
        <f aca="false">SUMIFS(Data!$H$4:$H$2311,Data!$B$4:$B$2311,"UCO",Data!$C$4:$C$2311,"Colombia",Data!$E$4:$E$2311,2024,Data!$F$4:$F$2311,2)</f>
        <v>23.5442937455185</v>
      </c>
      <c r="D148" s="12" t="n">
        <f aca="false">SUMIFS(Data!$H$4:$H$2311,Data!$B$4:$B$2311,"UCO",Data!$C$4:$C$2311,"Colombia",Data!$E$4:$E$2311,2024,Data!$F$4:$F$2311,3)</f>
        <v>0</v>
      </c>
      <c r="E148" s="12" t="n">
        <f aca="false">SUMIFS(Data!$H$4:$H$2311,Data!$B$4:$B$2311,"UCO",Data!$C$4:$C$2311,"Colombia",Data!$E$4:$E$2311,2024,Data!$F$4:$F$2311,4)</f>
        <v>16.7528611647595</v>
      </c>
      <c r="F148" s="12" t="n">
        <f aca="false">SUMIFS(Data!$H$4:$H$2311,Data!$B$4:$B$2311,"UCO",Data!$C$4:$C$2311,"Colombia",Data!$E$4:$E$2311,2024,Data!$F$4:$F$2311,5)</f>
        <v>0.388256089934003</v>
      </c>
      <c r="G148" s="12" t="n">
        <f aca="false">SUMIFS(Data!$H$4:$H$2311,Data!$B$4:$B$2311,"UCO",Data!$C$4:$C$2311,"Colombia",Data!$E$4:$E$2311,2024,Data!$F$4:$F$2311,6)</f>
        <v>9.48372213580751</v>
      </c>
      <c r="H148" s="12" t="n">
        <f aca="false">SUMIFS(Data!$H$4:$H$2311,Data!$B$4:$B$2311,"UCO",Data!$C$4:$C$2311,"Colombia",Data!$E$4:$E$2311,2024,Data!$F$4:$F$2311,7)</f>
        <v>0</v>
      </c>
      <c r="I148" s="12" t="n">
        <f aca="false">SUMIFS(Data!$H$4:$H$2311,Data!$B$4:$B$2311,"UCO",Data!$C$4:$C$2311,"Colombia",Data!$E$4:$E$2311,2024,Data!$F$4:$F$2311,8)</f>
        <v>14.0507786760248</v>
      </c>
      <c r="J148" s="12" t="n">
        <f aca="false">SUMIFS(Data!$H$4:$H$2311,Data!$B$4:$B$2311,"UCO",Data!$C$4:$C$2311,"Colombia",Data!$E$4:$E$2311,2024,Data!$F$4:$F$2311,9)</f>
        <v>16.0663571126738</v>
      </c>
      <c r="K148" s="12" t="n">
        <f aca="false">SUMIFS(Data!$H$4:$H$2311,Data!$B$4:$B$2311,"UCO",Data!$C$4:$C$2311,"Colombia",Data!$E$4:$E$2311,2024,Data!$F$4:$F$2311,10)</f>
        <v>0</v>
      </c>
      <c r="L148" s="12" t="n">
        <f aca="false">SUMIFS(Data!$H$4:$H$2311,Data!$B$4:$B$2311,"UCO",Data!$C$4:$C$2311,"Colombia",Data!$E$4:$E$2311,2024,Data!$F$4:$F$2311,11)</f>
        <v>11.5655053897906</v>
      </c>
      <c r="M148" s="12" t="n">
        <f aca="false">SUMIFS(Data!$H$4:$H$2311,Data!$B$4:$B$2311,"UCO",Data!$C$4:$C$2311,"Colombia",Data!$E$4:$E$2311,2024,Data!$F$4:$F$2311,12)</f>
        <v>4.08935450126957</v>
      </c>
      <c r="N148" s="13" t="n">
        <f aca="false">SUM(B148:M148)</f>
        <v>117.699810514956</v>
      </c>
    </row>
    <row r="149" customFormat="false" ht="15" hidden="false" customHeight="false" outlineLevel="0" collapsed="false">
      <c r="A149" s="11" t="s">
        <v>59</v>
      </c>
      <c r="B149" s="12" t="n">
        <f aca="false">SUMIFS(Data!$H$4:$H$2311,Data!$B$4:$B$2311,"UCO",Data!$C$4:$C$2311,"Germany",Data!$E$4:$E$2311,2024,Data!$F$4:$F$2311,1)</f>
        <v>25.7840624612061</v>
      </c>
      <c r="C149" s="12" t="n">
        <f aca="false">SUMIFS(Data!$H$4:$H$2311,Data!$B$4:$B$2311,"UCO",Data!$C$4:$C$2311,"Germany",Data!$E$4:$E$2311,2024,Data!$F$4:$F$2311,2)</f>
        <v>4.85016976807E-005</v>
      </c>
      <c r="D149" s="12" t="n">
        <f aca="false">SUMIFS(Data!$H$4:$H$2311,Data!$B$4:$B$2311,"UCO",Data!$C$4:$C$2311,"Germany",Data!$E$4:$E$2311,2024,Data!$F$4:$F$2311,3)</f>
        <v>15.5579402713584</v>
      </c>
      <c r="E149" s="12" t="n">
        <f aca="false">SUMIFS(Data!$H$4:$H$2311,Data!$B$4:$B$2311,"UCO",Data!$C$4:$C$2311,"Germany",Data!$E$4:$E$2311,2024,Data!$F$4:$F$2311,4)</f>
        <v>14.3173153463838</v>
      </c>
      <c r="F149" s="12" t="n">
        <f aca="false">SUMIFS(Data!$H$4:$H$2311,Data!$B$4:$B$2311,"UCO",Data!$C$4:$C$2311,"Germany",Data!$E$4:$E$2311,2024,Data!$F$4:$F$2311,5)</f>
        <v>0.0098061614219888</v>
      </c>
      <c r="G149" s="12" t="n">
        <f aca="false">SUMIFS(Data!$H$4:$H$2311,Data!$B$4:$B$2311,"UCO",Data!$C$4:$C$2311,"Germany",Data!$E$4:$E$2311,2024,Data!$F$4:$F$2311,6)</f>
        <v>0.00770956530860945</v>
      </c>
      <c r="H149" s="12" t="n">
        <f aca="false">SUMIFS(Data!$H$4:$H$2311,Data!$B$4:$B$2311,"UCO",Data!$C$4:$C$2311,"Germany",Data!$E$4:$E$2311,2024,Data!$F$4:$F$2311,7)</f>
        <v>3.23299750390602</v>
      </c>
      <c r="I149" s="12" t="n">
        <f aca="false">SUMIFS(Data!$H$4:$H$2311,Data!$B$4:$B$2311,"UCO",Data!$C$4:$C$2311,"Germany",Data!$E$4:$E$2311,2024,Data!$F$4:$F$2311,8)</f>
        <v>7.89629684468015</v>
      </c>
      <c r="J149" s="12" t="n">
        <f aca="false">SUMIFS(Data!$H$4:$H$2311,Data!$B$4:$B$2311,"UCO",Data!$C$4:$C$2311,"Germany",Data!$E$4:$E$2311,2024,Data!$F$4:$F$2311,9)</f>
        <v>14.0208266730843</v>
      </c>
      <c r="K149" s="12" t="n">
        <f aca="false">SUMIFS(Data!$H$4:$H$2311,Data!$B$4:$B$2311,"UCO",Data!$C$4:$C$2311,"Germany",Data!$E$4:$E$2311,2024,Data!$F$4:$F$2311,10)</f>
        <v>14.4153328681513</v>
      </c>
      <c r="L149" s="12" t="n">
        <f aca="false">SUMIFS(Data!$H$4:$H$2311,Data!$B$4:$B$2311,"UCO",Data!$C$4:$C$2311,"Germany",Data!$E$4:$E$2311,2024,Data!$F$4:$F$2311,11)</f>
        <v>0.024956328079342</v>
      </c>
      <c r="M149" s="12" t="n">
        <f aca="false">SUMIFS(Data!$H$4:$H$2311,Data!$B$4:$B$2311,"UCO",Data!$C$4:$C$2311,"Germany",Data!$E$4:$E$2311,2024,Data!$F$4:$F$2311,12)</f>
        <v>7.68465748222779</v>
      </c>
      <c r="N149" s="13" t="n">
        <f aca="false">SUM(B149:M149)</f>
        <v>102.951950007505</v>
      </c>
    </row>
    <row r="150" customFormat="false" ht="15" hidden="false" customHeight="false" outlineLevel="0" collapsed="false">
      <c r="A150" s="11" t="s">
        <v>130</v>
      </c>
      <c r="B150" s="12" t="n">
        <f aca="false">SUMIFS(Data!$H$4:$H$2311,Data!$B$4:$B$2311,"UCO",Data!$C$4:$C$2311,"Ireland",Data!$E$4:$E$2311,2024,Data!$F$4:$F$2311,1)</f>
        <v>3.39878732969176</v>
      </c>
      <c r="C150" s="12" t="n">
        <f aca="false">SUMIFS(Data!$H$4:$H$2311,Data!$B$4:$B$2311,"UCO",Data!$C$4:$C$2311,"Ireland",Data!$E$4:$E$2311,2024,Data!$F$4:$F$2311,2)</f>
        <v>0</v>
      </c>
      <c r="D150" s="12" t="n">
        <f aca="false">SUMIFS(Data!$H$4:$H$2311,Data!$B$4:$B$2311,"UCO",Data!$C$4:$C$2311,"Ireland",Data!$E$4:$E$2311,2024,Data!$F$4:$F$2311,3)</f>
        <v>15.9069915572081</v>
      </c>
      <c r="E150" s="12" t="n">
        <f aca="false">SUMIFS(Data!$H$4:$H$2311,Data!$B$4:$B$2311,"UCO",Data!$C$4:$C$2311,"Ireland",Data!$E$4:$E$2311,2024,Data!$F$4:$F$2311,4)</f>
        <v>3.3752419600904</v>
      </c>
      <c r="F150" s="12" t="n">
        <f aca="false">SUMIFS(Data!$H$4:$H$2311,Data!$B$4:$B$2311,"UCO",Data!$C$4:$C$2311,"Ireland",Data!$E$4:$E$2311,2024,Data!$F$4:$F$2311,5)</f>
        <v>17.7513567964216</v>
      </c>
      <c r="G150" s="12" t="n">
        <f aca="false">SUMIFS(Data!$H$4:$H$2311,Data!$B$4:$B$2311,"UCO",Data!$C$4:$C$2311,"Ireland",Data!$E$4:$E$2311,2024,Data!$F$4:$F$2311,6)</f>
        <v>0</v>
      </c>
      <c r="H150" s="12" t="n">
        <f aca="false">SUMIFS(Data!$H$4:$H$2311,Data!$B$4:$B$2311,"UCO",Data!$C$4:$C$2311,"Ireland",Data!$E$4:$E$2311,2024,Data!$F$4:$F$2311,7)</f>
        <v>13.2365277661159</v>
      </c>
      <c r="I150" s="12" t="n">
        <f aca="false">SUMIFS(Data!$H$4:$H$2311,Data!$B$4:$B$2311,"UCO",Data!$C$4:$C$2311,"Ireland",Data!$E$4:$E$2311,2024,Data!$F$4:$F$2311,8)</f>
        <v>0</v>
      </c>
      <c r="J150" s="12" t="n">
        <f aca="false">SUMIFS(Data!$H$4:$H$2311,Data!$B$4:$B$2311,"UCO",Data!$C$4:$C$2311,"Ireland",Data!$E$4:$E$2311,2024,Data!$F$4:$F$2311,9)</f>
        <v>17.3353511215464</v>
      </c>
      <c r="K150" s="12" t="n">
        <f aca="false">SUMIFS(Data!$H$4:$H$2311,Data!$B$4:$B$2311,"UCO",Data!$C$4:$C$2311,"Ireland",Data!$E$4:$E$2311,2024,Data!$F$4:$F$2311,10)</f>
        <v>0.533342304677952</v>
      </c>
      <c r="L150" s="12" t="n">
        <f aca="false">SUMIFS(Data!$H$4:$H$2311,Data!$B$4:$B$2311,"UCO",Data!$C$4:$C$2311,"Ireland",Data!$E$4:$E$2311,2024,Data!$F$4:$F$2311,11)</f>
        <v>15.428667814681</v>
      </c>
      <c r="M150" s="12" t="n">
        <f aca="false">SUMIFS(Data!$H$4:$H$2311,Data!$B$4:$B$2311,"UCO",Data!$C$4:$C$2311,"Ireland",Data!$E$4:$E$2311,2024,Data!$F$4:$F$2311,12)</f>
        <v>12.5867857962496</v>
      </c>
      <c r="N150" s="13" t="n">
        <f aca="false">SUM(B150:M150)</f>
        <v>99.5530524466826</v>
      </c>
    </row>
    <row r="151" customFormat="false" ht="15" hidden="false" customHeight="false" outlineLevel="0" collapsed="false">
      <c r="A151" s="11" t="s">
        <v>78</v>
      </c>
      <c r="B151" s="12" t="n">
        <f aca="false">SUMIFS(Data!$H$4:$H$2311,Data!$B$4:$B$2311,"UCO",Data!$C$4:$C$2311,"New Zealand",Data!$E$4:$E$2311,2024,Data!$F$4:$F$2311,1)</f>
        <v>0</v>
      </c>
      <c r="C151" s="12" t="n">
        <f aca="false">SUMIFS(Data!$H$4:$H$2311,Data!$B$4:$B$2311,"UCO",Data!$C$4:$C$2311,"New Zealand",Data!$E$4:$E$2311,2024,Data!$F$4:$F$2311,2)</f>
        <v>36.0980983873452</v>
      </c>
      <c r="D151" s="12" t="n">
        <f aca="false">SUMIFS(Data!$H$4:$H$2311,Data!$B$4:$B$2311,"UCO",Data!$C$4:$C$2311,"New Zealand",Data!$E$4:$E$2311,2024,Data!$F$4:$F$2311,3)</f>
        <v>19.1558623439914</v>
      </c>
      <c r="E151" s="12" t="n">
        <f aca="false">SUMIFS(Data!$H$4:$H$2311,Data!$B$4:$B$2311,"UCO",Data!$C$4:$C$2311,"New Zealand",Data!$E$4:$E$2311,2024,Data!$F$4:$F$2311,4)</f>
        <v>0</v>
      </c>
      <c r="F151" s="12" t="n">
        <f aca="false">SUMIFS(Data!$H$4:$H$2311,Data!$B$4:$B$2311,"UCO",Data!$C$4:$C$2311,"New Zealand",Data!$E$4:$E$2311,2024,Data!$F$4:$F$2311,5)</f>
        <v>0</v>
      </c>
      <c r="G151" s="12" t="n">
        <f aca="false">SUMIFS(Data!$H$4:$H$2311,Data!$B$4:$B$2311,"UCO",Data!$C$4:$C$2311,"New Zealand",Data!$E$4:$E$2311,2024,Data!$F$4:$F$2311,6)</f>
        <v>12.9244259554085</v>
      </c>
      <c r="H151" s="12" t="n">
        <f aca="false">SUMIFS(Data!$H$4:$H$2311,Data!$B$4:$B$2311,"UCO",Data!$C$4:$C$2311,"New Zealand",Data!$E$4:$E$2311,2024,Data!$F$4:$F$2311,7)</f>
        <v>2.20462262185E-005</v>
      </c>
      <c r="I151" s="12" t="n">
        <f aca="false">SUMIFS(Data!$H$4:$H$2311,Data!$B$4:$B$2311,"UCO",Data!$C$4:$C$2311,"New Zealand",Data!$E$4:$E$2311,2024,Data!$F$4:$F$2311,8)</f>
        <v>0</v>
      </c>
      <c r="J151" s="12" t="n">
        <f aca="false">SUMIFS(Data!$H$4:$H$2311,Data!$B$4:$B$2311,"UCO",Data!$C$4:$C$2311,"New Zealand",Data!$E$4:$E$2311,2024,Data!$F$4:$F$2311,9)</f>
        <v>26.4586902112279</v>
      </c>
      <c r="K151" s="12" t="n">
        <f aca="false">SUMIFS(Data!$H$4:$H$2311,Data!$B$4:$B$2311,"UCO",Data!$C$4:$C$2311,"New Zealand",Data!$E$4:$E$2311,2024,Data!$F$4:$F$2311,10)</f>
        <v>2.19868777775198</v>
      </c>
      <c r="L151" s="12" t="n">
        <f aca="false">SUMIFS(Data!$H$4:$H$2311,Data!$B$4:$B$2311,"UCO",Data!$C$4:$C$2311,"New Zealand",Data!$E$4:$E$2311,2024,Data!$F$4:$F$2311,11)</f>
        <v>0</v>
      </c>
      <c r="M151" s="12" t="n">
        <f aca="false">SUMIFS(Data!$H$4:$H$2311,Data!$B$4:$B$2311,"UCO",Data!$C$4:$C$2311,"New Zealand",Data!$E$4:$E$2311,2024,Data!$F$4:$F$2311,12)</f>
        <v>0</v>
      </c>
      <c r="N151" s="13" t="n">
        <f aca="false">SUM(B151:M151)</f>
        <v>96.8357867219512</v>
      </c>
    </row>
    <row r="152" customFormat="false" ht="15" hidden="false" customHeight="false" outlineLevel="0" collapsed="false">
      <c r="A152" s="11" t="s">
        <v>75</v>
      </c>
      <c r="B152" s="12" t="n">
        <f aca="false">SUMIFS(Data!$H$4:$H$2311,Data!$B$4:$B$2311,"UCO",Data!$C$4:$C$2311,"Vietnam",Data!$E$4:$E$2311,2024,Data!$F$4:$F$2311,1)</f>
        <v>8.81617563364706</v>
      </c>
      <c r="C152" s="12" t="n">
        <f aca="false">SUMIFS(Data!$H$4:$H$2311,Data!$B$4:$B$2311,"UCO",Data!$C$4:$C$2311,"Vietnam",Data!$E$4:$E$2311,2024,Data!$F$4:$F$2311,2)</f>
        <v>0</v>
      </c>
      <c r="D152" s="12" t="n">
        <f aca="false">SUMIFS(Data!$H$4:$H$2311,Data!$B$4:$B$2311,"UCO",Data!$C$4:$C$2311,"Vietnam",Data!$E$4:$E$2311,2024,Data!$F$4:$F$2311,3)</f>
        <v>9.59689643810018</v>
      </c>
      <c r="E152" s="12" t="n">
        <f aca="false">SUMIFS(Data!$H$4:$H$2311,Data!$B$4:$B$2311,"UCO",Data!$C$4:$C$2311,"Vietnam",Data!$E$4:$E$2311,2024,Data!$F$4:$F$2311,4)</f>
        <v>7.22543679471906</v>
      </c>
      <c r="F152" s="12" t="n">
        <f aca="false">SUMIFS(Data!$H$4:$H$2311,Data!$B$4:$B$2311,"UCO",Data!$C$4:$C$2311,"Vietnam",Data!$E$4:$E$2311,2024,Data!$F$4:$F$2311,5)</f>
        <v>10.4065440959746</v>
      </c>
      <c r="G152" s="12" t="n">
        <f aca="false">SUMIFS(Data!$H$4:$H$2311,Data!$B$4:$B$2311,"UCO",Data!$C$4:$C$2311,"Vietnam",Data!$E$4:$E$2311,2024,Data!$F$4:$F$2311,6)</f>
        <v>0</v>
      </c>
      <c r="H152" s="12" t="n">
        <f aca="false">SUMIFS(Data!$H$4:$H$2311,Data!$B$4:$B$2311,"UCO",Data!$C$4:$C$2311,"Vietnam",Data!$E$4:$E$2311,2024,Data!$F$4:$F$2311,7)</f>
        <v>11.2825001884464</v>
      </c>
      <c r="I152" s="12" t="n">
        <f aca="false">SUMIFS(Data!$H$4:$H$2311,Data!$B$4:$B$2311,"UCO",Data!$C$4:$C$2311,"Vietnam",Data!$E$4:$E$2311,2024,Data!$F$4:$F$2311,8)</f>
        <v>0.431878957752549</v>
      </c>
      <c r="J152" s="12" t="n">
        <f aca="false">SUMIFS(Data!$H$4:$H$2311,Data!$B$4:$B$2311,"UCO",Data!$C$4:$C$2311,"Vietnam",Data!$E$4:$E$2311,2024,Data!$F$4:$F$2311,9)</f>
        <v>16.311700745769</v>
      </c>
      <c r="K152" s="12" t="n">
        <f aca="false">SUMIFS(Data!$H$4:$H$2311,Data!$B$4:$B$2311,"UCO",Data!$C$4:$C$2311,"Vietnam",Data!$E$4:$E$2311,2024,Data!$F$4:$F$2311,10)</f>
        <v>0.312000398066834</v>
      </c>
      <c r="L152" s="12" t="n">
        <f aca="false">SUMIFS(Data!$H$4:$H$2311,Data!$B$4:$B$2311,"UCO",Data!$C$4:$C$2311,"Vietnam",Data!$E$4:$E$2311,2024,Data!$F$4:$F$2311,11)</f>
        <v>16.2053872290755</v>
      </c>
      <c r="M152" s="12" t="n">
        <f aca="false">SUMIFS(Data!$H$4:$H$2311,Data!$B$4:$B$2311,"UCO",Data!$C$4:$C$2311,"Vietnam",Data!$E$4:$E$2311,2024,Data!$F$4:$F$2311,12)</f>
        <v>5.32116975424728</v>
      </c>
      <c r="N152" s="13" t="n">
        <f aca="false">SUM(B152:M152)</f>
        <v>85.9096902357984</v>
      </c>
    </row>
    <row r="153" customFormat="false" ht="15" hidden="false" customHeight="false" outlineLevel="0" collapsed="false">
      <c r="A153" s="11" t="s">
        <v>73</v>
      </c>
      <c r="B153" s="12" t="n">
        <f aca="false">SUMIFS(Data!$H$4:$H$2311,Data!$B$4:$B$2311,"UCO",Data!$C$4:$C$2311,"Belgium",Data!$E$4:$E$2311,2024,Data!$F$4:$F$2311,1)</f>
        <v>13.2905388157286</v>
      </c>
      <c r="C153" s="12" t="n">
        <f aca="false">SUMIFS(Data!$H$4:$H$2311,Data!$B$4:$B$2311,"UCO",Data!$C$4:$C$2311,"Belgium",Data!$E$4:$E$2311,2024,Data!$F$4:$F$2311,2)</f>
        <v>0.0008245288605719</v>
      </c>
      <c r="D153" s="12" t="n">
        <f aca="false">SUMIFS(Data!$H$4:$H$2311,Data!$B$4:$B$2311,"UCO",Data!$C$4:$C$2311,"Belgium",Data!$E$4:$E$2311,2024,Data!$F$4:$F$2311,3)</f>
        <v>8.37817884811888</v>
      </c>
      <c r="E153" s="12" t="n">
        <f aca="false">SUMIFS(Data!$H$4:$H$2311,Data!$B$4:$B$2311,"UCO",Data!$C$4:$C$2311,"Belgium",Data!$E$4:$E$2311,2024,Data!$F$4:$F$2311,4)</f>
        <v>8.99332587980319</v>
      </c>
      <c r="F153" s="12" t="n">
        <f aca="false">SUMIFS(Data!$H$4:$H$2311,Data!$B$4:$B$2311,"UCO",Data!$C$4:$C$2311,"Belgium",Data!$E$4:$E$2311,2024,Data!$F$4:$F$2311,5)</f>
        <v>0</v>
      </c>
      <c r="G153" s="12" t="n">
        <f aca="false">SUMIFS(Data!$H$4:$H$2311,Data!$B$4:$B$2311,"UCO",Data!$C$4:$C$2311,"Belgium",Data!$E$4:$E$2311,2024,Data!$F$4:$F$2311,6)</f>
        <v>0</v>
      </c>
      <c r="H153" s="12" t="n">
        <f aca="false">SUMIFS(Data!$H$4:$H$2311,Data!$B$4:$B$2311,"UCO",Data!$C$4:$C$2311,"Belgium",Data!$E$4:$E$2311,2024,Data!$F$4:$F$2311,7)</f>
        <v>0.346718795115728</v>
      </c>
      <c r="I153" s="12" t="n">
        <f aca="false">SUMIFS(Data!$H$4:$H$2311,Data!$B$4:$B$2311,"UCO",Data!$C$4:$C$2311,"Belgium",Data!$E$4:$E$2311,2024,Data!$F$4:$F$2311,8)</f>
        <v>2.81472106773028</v>
      </c>
      <c r="J153" s="12" t="n">
        <f aca="false">SUMIFS(Data!$H$4:$H$2311,Data!$B$4:$B$2311,"UCO",Data!$C$4:$C$2311,"Belgium",Data!$E$4:$E$2311,2024,Data!$F$4:$F$2311,9)</f>
        <v>6.97451546639058</v>
      </c>
      <c r="K153" s="12" t="n">
        <f aca="false">SUMIFS(Data!$H$4:$H$2311,Data!$B$4:$B$2311,"UCO",Data!$C$4:$C$2311,"Belgium",Data!$E$4:$E$2311,2024,Data!$F$4:$F$2311,10)</f>
        <v>7.89691193439164</v>
      </c>
      <c r="L153" s="12" t="n">
        <f aca="false">SUMIFS(Data!$H$4:$H$2311,Data!$B$4:$B$2311,"UCO",Data!$C$4:$C$2311,"Belgium",Data!$E$4:$E$2311,2024,Data!$F$4:$F$2311,11)</f>
        <v>0.0005070632030255</v>
      </c>
      <c r="M153" s="12" t="n">
        <f aca="false">SUMIFS(Data!$H$4:$H$2311,Data!$B$4:$B$2311,"UCO",Data!$C$4:$C$2311,"Belgium",Data!$E$4:$E$2311,2024,Data!$F$4:$F$2311,12)</f>
        <v>23.1727442858129</v>
      </c>
      <c r="N153" s="13" t="n">
        <f aca="false">SUM(B153:M153)</f>
        <v>71.8689866851555</v>
      </c>
    </row>
    <row r="154" customFormat="false" ht="15" hidden="false" customHeight="false" outlineLevel="0" collapsed="false">
      <c r="A154" s="11" t="s">
        <v>61</v>
      </c>
      <c r="B154" s="12" t="n">
        <f aca="false">SUMIFS(Data!$H$4:$H$2311,Data!$B$4:$B$2311,"UCO",Data!$C$4:$C$2311,"Netherlands",Data!$E$4:$E$2311,2024,Data!$F$4:$F$2311,1)</f>
        <v>18.0208278194903</v>
      </c>
      <c r="C154" s="12" t="n">
        <f aca="false">SUMIFS(Data!$H$4:$H$2311,Data!$B$4:$B$2311,"UCO",Data!$C$4:$C$2311,"Netherlands",Data!$E$4:$E$2311,2024,Data!$F$4:$F$2311,2)</f>
        <v>0</v>
      </c>
      <c r="D154" s="12" t="n">
        <f aca="false">SUMIFS(Data!$H$4:$H$2311,Data!$B$4:$B$2311,"UCO",Data!$C$4:$C$2311,"Netherlands",Data!$E$4:$E$2311,2024,Data!$F$4:$F$2311,3)</f>
        <v>10.5363743221753</v>
      </c>
      <c r="E154" s="12" t="n">
        <f aca="false">SUMIFS(Data!$H$4:$H$2311,Data!$B$4:$B$2311,"UCO",Data!$C$4:$C$2311,"Netherlands",Data!$E$4:$E$2311,2024,Data!$F$4:$F$2311,4)</f>
        <v>9.84448658164704</v>
      </c>
      <c r="F154" s="12" t="n">
        <f aca="false">SUMIFS(Data!$H$4:$H$2311,Data!$B$4:$B$2311,"UCO",Data!$C$4:$C$2311,"Netherlands",Data!$E$4:$E$2311,2024,Data!$F$4:$F$2311,5)</f>
        <v>0</v>
      </c>
      <c r="G154" s="12" t="n">
        <f aca="false">SUMIFS(Data!$H$4:$H$2311,Data!$B$4:$B$2311,"UCO",Data!$C$4:$C$2311,"Netherlands",Data!$E$4:$E$2311,2024,Data!$F$4:$F$2311,6)</f>
        <v>0</v>
      </c>
      <c r="H154" s="12" t="n">
        <f aca="false">SUMIFS(Data!$H$4:$H$2311,Data!$B$4:$B$2311,"UCO",Data!$C$4:$C$2311,"Netherlands",Data!$E$4:$E$2311,2024,Data!$F$4:$F$2311,7)</f>
        <v>1.1544859098937</v>
      </c>
      <c r="I154" s="12" t="n">
        <f aca="false">SUMIFS(Data!$H$4:$H$2311,Data!$B$4:$B$2311,"UCO",Data!$C$4:$C$2311,"Netherlands",Data!$E$4:$E$2311,2024,Data!$F$4:$F$2311,8)</f>
        <v>6.81546737658245</v>
      </c>
      <c r="J154" s="12" t="n">
        <f aca="false">SUMIFS(Data!$H$4:$H$2311,Data!$B$4:$B$2311,"UCO",Data!$C$4:$C$2311,"Netherlands",Data!$E$4:$E$2311,2024,Data!$F$4:$F$2311,9)</f>
        <v>8.52959673903278</v>
      </c>
      <c r="K154" s="12" t="n">
        <f aca="false">SUMIFS(Data!$H$4:$H$2311,Data!$B$4:$B$2311,"UCO",Data!$C$4:$C$2311,"Netherlands",Data!$E$4:$E$2311,2024,Data!$F$4:$F$2311,10)</f>
        <v>8.12076711079167</v>
      </c>
      <c r="L154" s="12" t="n">
        <f aca="false">SUMIFS(Data!$H$4:$H$2311,Data!$B$4:$B$2311,"UCO",Data!$C$4:$C$2311,"Netherlands",Data!$E$4:$E$2311,2024,Data!$F$4:$F$2311,11)</f>
        <v>0</v>
      </c>
      <c r="M154" s="12" t="n">
        <f aca="false">SUMIFS(Data!$H$4:$H$2311,Data!$B$4:$B$2311,"UCO",Data!$C$4:$C$2311,"Netherlands",Data!$E$4:$E$2311,2024,Data!$F$4:$F$2311,12)</f>
        <v>0</v>
      </c>
      <c r="N154" s="13" t="n">
        <f aca="false">SUM(B154:M154)</f>
        <v>63.0220058596133</v>
      </c>
    </row>
    <row r="155" customFormat="false" ht="15" hidden="false" customHeight="false" outlineLevel="0" collapsed="false">
      <c r="A155" s="11" t="s">
        <v>128</v>
      </c>
      <c r="B155" s="12" t="n">
        <f aca="false">SUMIFS(Data!$H$4:$H$2311,Data!$B$4:$B$2311,"UCO",Data!$C$4:$C$2311,"Poland",Data!$E$4:$E$2311,2024,Data!$F$4:$F$2311,1)</f>
        <v>9.65251906684945</v>
      </c>
      <c r="C155" s="12" t="n">
        <f aca="false">SUMIFS(Data!$H$4:$H$2311,Data!$B$4:$B$2311,"UCO",Data!$C$4:$C$2311,"Poland",Data!$E$4:$E$2311,2024,Data!$F$4:$F$2311,2)</f>
        <v>0</v>
      </c>
      <c r="D155" s="12" t="n">
        <f aca="false">SUMIFS(Data!$H$4:$H$2311,Data!$B$4:$B$2311,"UCO",Data!$C$4:$C$2311,"Poland",Data!$E$4:$E$2311,2024,Data!$F$4:$F$2311,3)</f>
        <v>9.50446102081125</v>
      </c>
      <c r="E155" s="12" t="n">
        <f aca="false">SUMIFS(Data!$H$4:$H$2311,Data!$B$4:$B$2311,"UCO",Data!$C$4:$C$2311,"Poland",Data!$E$4:$E$2311,2024,Data!$F$4:$F$2311,4)</f>
        <v>7.09130094053784</v>
      </c>
      <c r="F155" s="12" t="n">
        <f aca="false">SUMIFS(Data!$H$4:$H$2311,Data!$B$4:$B$2311,"UCO",Data!$C$4:$C$2311,"Poland",Data!$E$4:$E$2311,2024,Data!$F$4:$F$2311,5)</f>
        <v>0</v>
      </c>
      <c r="G155" s="12" t="n">
        <f aca="false">SUMIFS(Data!$H$4:$H$2311,Data!$B$4:$B$2311,"UCO",Data!$C$4:$C$2311,"Poland",Data!$E$4:$E$2311,2024,Data!$F$4:$F$2311,6)</f>
        <v>0</v>
      </c>
      <c r="H155" s="12" t="n">
        <f aca="false">SUMIFS(Data!$H$4:$H$2311,Data!$B$4:$B$2311,"UCO",Data!$C$4:$C$2311,"Poland",Data!$E$4:$E$2311,2024,Data!$F$4:$F$2311,7)</f>
        <v>8.9125881901458</v>
      </c>
      <c r="I155" s="12" t="n">
        <f aca="false">SUMIFS(Data!$H$4:$H$2311,Data!$B$4:$B$2311,"UCO",Data!$C$4:$C$2311,"Poland",Data!$E$4:$E$2311,2024,Data!$F$4:$F$2311,8)</f>
        <v>6.89878667933003</v>
      </c>
      <c r="J155" s="12" t="n">
        <f aca="false">SUMIFS(Data!$H$4:$H$2311,Data!$B$4:$B$2311,"UCO",Data!$C$4:$C$2311,"Poland",Data!$E$4:$E$2311,2024,Data!$F$4:$F$2311,9)</f>
        <v>5.99302629363344</v>
      </c>
      <c r="K155" s="12" t="n">
        <f aca="false">SUMIFS(Data!$H$4:$H$2311,Data!$B$4:$B$2311,"UCO",Data!$C$4:$C$2311,"Poland",Data!$E$4:$E$2311,2024,Data!$F$4:$F$2311,10)</f>
        <v>5.93522108848854</v>
      </c>
      <c r="L155" s="12" t="n">
        <f aca="false">SUMIFS(Data!$H$4:$H$2311,Data!$B$4:$B$2311,"UCO",Data!$C$4:$C$2311,"Poland",Data!$E$4:$E$2311,2024,Data!$F$4:$F$2311,11)</f>
        <v>0</v>
      </c>
      <c r="M155" s="12" t="n">
        <f aca="false">SUMIFS(Data!$H$4:$H$2311,Data!$B$4:$B$2311,"UCO",Data!$C$4:$C$2311,"Poland",Data!$E$4:$E$2311,2024,Data!$F$4:$F$2311,12)</f>
        <v>6.71688106217856</v>
      </c>
      <c r="N155" s="13" t="n">
        <f aca="false">SUM(B155:M155)</f>
        <v>60.7047843419749</v>
      </c>
    </row>
    <row r="156" customFormat="false" ht="15" hidden="false" customHeight="false" outlineLevel="0" collapsed="false">
      <c r="A156" s="11" t="s">
        <v>45</v>
      </c>
      <c r="B156" s="12" t="n">
        <f aca="false">SUMIFS(Data!$H$4:$H$2311,Data!$B$4:$B$2311,"UCO",Data!$C$4:$C$2311,"Chile",Data!$E$4:$E$2311,2024,Data!$F$4:$F$2311,1)</f>
        <v>0</v>
      </c>
      <c r="C156" s="12" t="n">
        <f aca="false">SUMIFS(Data!$H$4:$H$2311,Data!$B$4:$B$2311,"UCO",Data!$C$4:$C$2311,"Chile",Data!$E$4:$E$2311,2024,Data!$F$4:$F$2311,2)</f>
        <v>1.76195644560874</v>
      </c>
      <c r="D156" s="12" t="n">
        <f aca="false">SUMIFS(Data!$H$4:$H$2311,Data!$B$4:$B$2311,"UCO",Data!$C$4:$C$2311,"Chile",Data!$E$4:$E$2311,2024,Data!$F$4:$F$2311,3)</f>
        <v>14.1988675867797</v>
      </c>
      <c r="E156" s="12" t="n">
        <f aca="false">SUMIFS(Data!$H$4:$H$2311,Data!$B$4:$B$2311,"UCO",Data!$C$4:$C$2311,"Chile",Data!$E$4:$E$2311,2024,Data!$F$4:$F$2311,4)</f>
        <v>8.4825302506789</v>
      </c>
      <c r="F156" s="12" t="n">
        <f aca="false">SUMIFS(Data!$H$4:$H$2311,Data!$B$4:$B$2311,"UCO",Data!$C$4:$C$2311,"Chile",Data!$E$4:$E$2311,2024,Data!$F$4:$F$2311,5)</f>
        <v>0</v>
      </c>
      <c r="G156" s="12" t="n">
        <f aca="false">SUMIFS(Data!$H$4:$H$2311,Data!$B$4:$B$2311,"UCO",Data!$C$4:$C$2311,"Chile",Data!$E$4:$E$2311,2024,Data!$F$4:$F$2311,6)</f>
        <v>0</v>
      </c>
      <c r="H156" s="12" t="n">
        <f aca="false">SUMIFS(Data!$H$4:$H$2311,Data!$B$4:$B$2311,"UCO",Data!$C$4:$C$2311,"Chile",Data!$E$4:$E$2311,2024,Data!$F$4:$F$2311,7)</f>
        <v>0</v>
      </c>
      <c r="I156" s="12" t="n">
        <f aca="false">SUMIFS(Data!$H$4:$H$2311,Data!$B$4:$B$2311,"UCO",Data!$C$4:$C$2311,"Chile",Data!$E$4:$E$2311,2024,Data!$F$4:$F$2311,8)</f>
        <v>0</v>
      </c>
      <c r="J156" s="12" t="n">
        <f aca="false">SUMIFS(Data!$H$4:$H$2311,Data!$B$4:$B$2311,"UCO",Data!$C$4:$C$2311,"Chile",Data!$E$4:$E$2311,2024,Data!$F$4:$F$2311,9)</f>
        <v>0</v>
      </c>
      <c r="K156" s="12" t="n">
        <f aca="false">SUMIFS(Data!$H$4:$H$2311,Data!$B$4:$B$2311,"UCO",Data!$C$4:$C$2311,"Chile",Data!$E$4:$E$2311,2024,Data!$F$4:$F$2311,10)</f>
        <v>0</v>
      </c>
      <c r="L156" s="12" t="n">
        <f aca="false">SUMIFS(Data!$H$4:$H$2311,Data!$B$4:$B$2311,"UCO",Data!$C$4:$C$2311,"Chile",Data!$E$4:$E$2311,2024,Data!$F$4:$F$2311,11)</f>
        <v>24.6030836012656</v>
      </c>
      <c r="M156" s="12" t="n">
        <f aca="false">SUMIFS(Data!$H$4:$H$2311,Data!$B$4:$B$2311,"UCO",Data!$C$4:$C$2311,"Chile",Data!$E$4:$E$2311,2024,Data!$F$4:$F$2311,12)</f>
        <v>9.83551817682135</v>
      </c>
      <c r="N156" s="13" t="n">
        <f aca="false">SUM(B156:M156)</f>
        <v>58.8819560611543</v>
      </c>
    </row>
    <row r="157" customFormat="false" ht="15" hidden="false" customHeight="false" outlineLevel="0" collapsed="false">
      <c r="A157" s="11" t="s">
        <v>47</v>
      </c>
      <c r="B157" s="12" t="n">
        <f aca="false">SUMIFS(Data!$H$4:$H$2311,Data!$B$4:$B$2311,"UCO",Data!$C$4:$C$2311,"Mexico",Data!$E$4:$E$2311,2024,Data!$F$4:$F$2311,1)</f>
        <v>0.887514928878155</v>
      </c>
      <c r="C157" s="12" t="n">
        <f aca="false">SUMIFS(Data!$H$4:$H$2311,Data!$B$4:$B$2311,"UCO",Data!$C$4:$C$2311,"Mexico",Data!$E$4:$E$2311,2024,Data!$F$4:$F$2311,2)</f>
        <v>0.042990141126075</v>
      </c>
      <c r="D157" s="12" t="n">
        <f aca="false">SUMIFS(Data!$H$4:$H$2311,Data!$B$4:$B$2311,"UCO",Data!$C$4:$C$2311,"Mexico",Data!$E$4:$E$2311,2024,Data!$F$4:$F$2311,3)</f>
        <v>0.176656410688841</v>
      </c>
      <c r="E157" s="12" t="n">
        <f aca="false">SUMIFS(Data!$H$4:$H$2311,Data!$B$4:$B$2311,"UCO",Data!$C$4:$C$2311,"Mexico",Data!$E$4:$E$2311,2024,Data!$F$4:$F$2311,4)</f>
        <v>0.529616492447026</v>
      </c>
      <c r="F157" s="12" t="n">
        <f aca="false">SUMIFS(Data!$H$4:$H$2311,Data!$B$4:$B$2311,"UCO",Data!$C$4:$C$2311,"Mexico",Data!$E$4:$E$2311,2024,Data!$F$4:$F$2311,5)</f>
        <v>0.232298881041713</v>
      </c>
      <c r="G157" s="12" t="n">
        <f aca="false">SUMIFS(Data!$H$4:$H$2311,Data!$B$4:$B$2311,"UCO",Data!$C$4:$C$2311,"Mexico",Data!$E$4:$E$2311,2024,Data!$F$4:$F$2311,6)</f>
        <v>1.78303263787362</v>
      </c>
      <c r="H157" s="12" t="n">
        <f aca="false">SUMIFS(Data!$H$4:$H$2311,Data!$B$4:$B$2311,"UCO",Data!$C$4:$C$2311,"Mexico",Data!$E$4:$E$2311,2024,Data!$F$4:$F$2311,7)</f>
        <v>5.71219485019433</v>
      </c>
      <c r="I157" s="12" t="n">
        <f aca="false">SUMIFS(Data!$H$4:$H$2311,Data!$B$4:$B$2311,"UCO",Data!$C$4:$C$2311,"Mexico",Data!$E$4:$E$2311,2024,Data!$F$4:$F$2311,8)</f>
        <v>7.84669944955639</v>
      </c>
      <c r="J157" s="12" t="n">
        <f aca="false">SUMIFS(Data!$H$4:$H$2311,Data!$B$4:$B$2311,"UCO",Data!$C$4:$C$2311,"Mexico",Data!$E$4:$E$2311,2024,Data!$F$4:$F$2311,9)</f>
        <v>9.3055357170191</v>
      </c>
      <c r="K157" s="12" t="n">
        <f aca="false">SUMIFS(Data!$H$4:$H$2311,Data!$B$4:$B$2311,"UCO",Data!$C$4:$C$2311,"Mexico",Data!$E$4:$E$2311,2024,Data!$F$4:$F$2311,10)</f>
        <v>2.96634178392539</v>
      </c>
      <c r="L157" s="12" t="n">
        <f aca="false">SUMIFS(Data!$H$4:$H$2311,Data!$B$4:$B$2311,"UCO",Data!$C$4:$C$2311,"Mexico",Data!$E$4:$E$2311,2024,Data!$F$4:$F$2311,11)</f>
        <v>3.33403094942016</v>
      </c>
      <c r="M157" s="12" t="n">
        <f aca="false">SUMIFS(Data!$H$4:$H$2311,Data!$B$4:$B$2311,"UCO",Data!$C$4:$C$2311,"Mexico",Data!$E$4:$E$2311,2024,Data!$F$4:$F$2311,12)</f>
        <v>5.03653974603071</v>
      </c>
      <c r="N157" s="13" t="n">
        <f aca="false">SUM(B157:M157)</f>
        <v>37.8534519882015</v>
      </c>
    </row>
    <row r="158" customFormat="false" ht="15" hidden="false" customHeight="false" outlineLevel="0" collapsed="false">
      <c r="A158" s="11" t="s">
        <v>155</v>
      </c>
      <c r="B158" s="12" t="n">
        <f aca="false">SUMIFS(Data!$H$4:$H$2311,Data!$B$4:$B$2311,"UCO",Data!$C$4:$C$2311,"South Africa",Data!$E$4:$E$2311,2024,Data!$F$4:$F$2311,1)</f>
        <v>0</v>
      </c>
      <c r="C158" s="12" t="n">
        <f aca="false">SUMIFS(Data!$H$4:$H$2311,Data!$B$4:$B$2311,"UCO",Data!$C$4:$C$2311,"South Africa",Data!$E$4:$E$2311,2024,Data!$F$4:$F$2311,2)</f>
        <v>6.56803596586436</v>
      </c>
      <c r="D158" s="12" t="n">
        <f aca="false">SUMIFS(Data!$H$4:$H$2311,Data!$B$4:$B$2311,"UCO",Data!$C$4:$C$2311,"South Africa",Data!$E$4:$E$2311,2024,Data!$F$4:$F$2311,3)</f>
        <v>0</v>
      </c>
      <c r="E158" s="12" t="n">
        <f aca="false">SUMIFS(Data!$H$4:$H$2311,Data!$B$4:$B$2311,"UCO",Data!$C$4:$C$2311,"South Africa",Data!$E$4:$E$2311,2024,Data!$F$4:$F$2311,4)</f>
        <v>0</v>
      </c>
      <c r="F158" s="12" t="n">
        <f aca="false">SUMIFS(Data!$H$4:$H$2311,Data!$B$4:$B$2311,"UCO",Data!$C$4:$C$2311,"South Africa",Data!$E$4:$E$2311,2024,Data!$F$4:$F$2311,5)</f>
        <v>5.47140155819063</v>
      </c>
      <c r="G158" s="12" t="n">
        <f aca="false">SUMIFS(Data!$H$4:$H$2311,Data!$B$4:$B$2311,"UCO",Data!$C$4:$C$2311,"South Africa",Data!$E$4:$E$2311,2024,Data!$F$4:$F$2311,6)</f>
        <v>0</v>
      </c>
      <c r="H158" s="12" t="n">
        <f aca="false">SUMIFS(Data!$H$4:$H$2311,Data!$B$4:$B$2311,"UCO",Data!$C$4:$C$2311,"South Africa",Data!$E$4:$E$2311,2024,Data!$F$4:$F$2311,7)</f>
        <v>0</v>
      </c>
      <c r="I158" s="12" t="n">
        <f aca="false">SUMIFS(Data!$H$4:$H$2311,Data!$B$4:$B$2311,"UCO",Data!$C$4:$C$2311,"South Africa",Data!$E$4:$E$2311,2024,Data!$F$4:$F$2311,8)</f>
        <v>5.2948179000483</v>
      </c>
      <c r="J158" s="12" t="n">
        <f aca="false">SUMIFS(Data!$H$4:$H$2311,Data!$B$4:$B$2311,"UCO",Data!$C$4:$C$2311,"South Africa",Data!$E$4:$E$2311,2024,Data!$F$4:$F$2311,9)</f>
        <v>0</v>
      </c>
      <c r="K158" s="12" t="n">
        <f aca="false">SUMIFS(Data!$H$4:$H$2311,Data!$B$4:$B$2311,"UCO",Data!$C$4:$C$2311,"South Africa",Data!$E$4:$E$2311,2024,Data!$F$4:$F$2311,10)</f>
        <v>0</v>
      </c>
      <c r="L158" s="12" t="n">
        <f aca="false">SUMIFS(Data!$H$4:$H$2311,Data!$B$4:$B$2311,"UCO",Data!$C$4:$C$2311,"South Africa",Data!$E$4:$E$2311,2024,Data!$F$4:$F$2311,11)</f>
        <v>0</v>
      </c>
      <c r="M158" s="12" t="n">
        <f aca="false">SUMIFS(Data!$H$4:$H$2311,Data!$B$4:$B$2311,"UCO",Data!$C$4:$C$2311,"South Africa",Data!$E$4:$E$2311,2024,Data!$F$4:$F$2311,12)</f>
        <v>6.60086279670371</v>
      </c>
      <c r="N158" s="13" t="n">
        <f aca="false">SUM(B158:M158)</f>
        <v>23.935118220807</v>
      </c>
    </row>
    <row r="159" customFormat="false" ht="15" hidden="false" customHeight="false" outlineLevel="0" collapsed="false">
      <c r="A159" s="11" t="s">
        <v>53</v>
      </c>
      <c r="B159" s="12" t="n">
        <f aca="false">SUMIFS(Data!$H$4:$H$2311,Data!$B$4:$B$2311,"UCO",Data!$C$4:$C$2311,"France",Data!$E$4:$E$2311,2024,Data!$F$4:$F$2311,1)</f>
        <v>0.222408943960094</v>
      </c>
      <c r="C159" s="12" t="n">
        <f aca="false">SUMIFS(Data!$H$4:$H$2311,Data!$B$4:$B$2311,"UCO",Data!$C$4:$C$2311,"France",Data!$E$4:$E$2311,2024,Data!$F$4:$F$2311,2)</f>
        <v>0.0417180738732676</v>
      </c>
      <c r="D159" s="12" t="n">
        <f aca="false">SUMIFS(Data!$H$4:$H$2311,Data!$B$4:$B$2311,"UCO",Data!$C$4:$C$2311,"France",Data!$E$4:$E$2311,2024,Data!$F$4:$F$2311,3)</f>
        <v>0.543518842700412</v>
      </c>
      <c r="E159" s="12" t="n">
        <f aca="false">SUMIFS(Data!$H$4:$H$2311,Data!$B$4:$B$2311,"UCO",Data!$C$4:$C$2311,"France",Data!$E$4:$E$2311,2024,Data!$F$4:$F$2311,4)</f>
        <v>1.21841114743686</v>
      </c>
      <c r="F159" s="12" t="n">
        <f aca="false">SUMIFS(Data!$H$4:$H$2311,Data!$B$4:$B$2311,"UCO",Data!$C$4:$C$2311,"France",Data!$E$4:$E$2311,2024,Data!$F$4:$F$2311,5)</f>
        <v>0.0347580802560871</v>
      </c>
      <c r="G159" s="12" t="n">
        <f aca="false">SUMIFS(Data!$H$4:$H$2311,Data!$B$4:$B$2311,"UCO",Data!$C$4:$C$2311,"France",Data!$E$4:$E$2311,2024,Data!$F$4:$F$2311,6)</f>
        <v>0.0491763122029861</v>
      </c>
      <c r="H159" s="12" t="n">
        <f aca="false">SUMIFS(Data!$H$4:$H$2311,Data!$B$4:$B$2311,"UCO",Data!$C$4:$C$2311,"France",Data!$E$4:$E$2311,2024,Data!$F$4:$F$2311,7)</f>
        <v>0.778423587681151</v>
      </c>
      <c r="I159" s="12" t="n">
        <f aca="false">SUMIFS(Data!$H$4:$H$2311,Data!$B$4:$B$2311,"UCO",Data!$C$4:$C$2311,"France",Data!$E$4:$E$2311,2024,Data!$F$4:$F$2311,8)</f>
        <v>2.72953665424462</v>
      </c>
      <c r="J159" s="12" t="n">
        <f aca="false">SUMIFS(Data!$H$4:$H$2311,Data!$B$4:$B$2311,"UCO",Data!$C$4:$C$2311,"France",Data!$E$4:$E$2311,2024,Data!$F$4:$F$2311,9)</f>
        <v>3.2670082170933</v>
      </c>
      <c r="K159" s="12" t="n">
        <f aca="false">SUMIFS(Data!$H$4:$H$2311,Data!$B$4:$B$2311,"UCO",Data!$C$4:$C$2311,"France",Data!$E$4:$E$2311,2024,Data!$F$4:$F$2311,10)</f>
        <v>2.68369373144587</v>
      </c>
      <c r="L159" s="12" t="n">
        <f aca="false">SUMIFS(Data!$H$4:$H$2311,Data!$B$4:$B$2311,"UCO",Data!$C$4:$C$2311,"France",Data!$E$4:$E$2311,2024,Data!$F$4:$F$2311,11)</f>
        <v>0.0210872153779953</v>
      </c>
      <c r="M159" s="12" t="n">
        <f aca="false">SUMIFS(Data!$H$4:$H$2311,Data!$B$4:$B$2311,"UCO",Data!$C$4:$C$2311,"France",Data!$E$4:$E$2311,2024,Data!$F$4:$F$2311,12)</f>
        <v>1.60587577784962</v>
      </c>
      <c r="N159" s="13" t="n">
        <f aca="false">SUM(B159:M159)</f>
        <v>13.1956165841223</v>
      </c>
    </row>
    <row r="160" customFormat="false" ht="15" hidden="false" customHeight="false" outlineLevel="0" collapsed="false">
      <c r="A160" s="11" t="s">
        <v>49</v>
      </c>
      <c r="B160" s="12" t="n">
        <f aca="false">SUMIFS(Data!$H$4:$H$2311,Data!$B$4:$B$2311,"UCO",Data!$C$4:$C$2311,"Brazil",Data!$E$4:$E$2311,2024,Data!$F$4:$F$2311,1)</f>
        <v>0.34171650638675</v>
      </c>
      <c r="C160" s="12" t="n">
        <f aca="false">SUMIFS(Data!$H$4:$H$2311,Data!$B$4:$B$2311,"UCO",Data!$C$4:$C$2311,"Brazil",Data!$E$4:$E$2311,2024,Data!$F$4:$F$2311,2)</f>
        <v>0.0921311793671115</v>
      </c>
      <c r="D160" s="12" t="n">
        <f aca="false">SUMIFS(Data!$H$4:$H$2311,Data!$B$4:$B$2311,"UCO",Data!$C$4:$C$2311,"Brazil",Data!$E$4:$E$2311,2024,Data!$F$4:$F$2311,3)</f>
        <v>0</v>
      </c>
      <c r="E160" s="12" t="n">
        <f aca="false">SUMIFS(Data!$H$4:$H$2311,Data!$B$4:$B$2311,"UCO",Data!$C$4:$C$2311,"Brazil",Data!$E$4:$E$2311,2024,Data!$F$4:$F$2311,4)</f>
        <v>0.044092452437</v>
      </c>
      <c r="F160" s="12" t="n">
        <f aca="false">SUMIFS(Data!$H$4:$H$2311,Data!$B$4:$B$2311,"UCO",Data!$C$4:$C$2311,"Brazil",Data!$E$4:$E$2311,2024,Data!$F$4:$F$2311,5)</f>
        <v>0.0417335062316205</v>
      </c>
      <c r="G160" s="12" t="n">
        <f aca="false">SUMIFS(Data!$H$4:$H$2311,Data!$B$4:$B$2311,"UCO",Data!$C$4:$C$2311,"Brazil",Data!$E$4:$E$2311,2024,Data!$F$4:$F$2311,6)</f>
        <v>8.51801365177758</v>
      </c>
      <c r="H160" s="12" t="n">
        <f aca="false">SUMIFS(Data!$H$4:$H$2311,Data!$B$4:$B$2311,"UCO",Data!$C$4:$C$2311,"Brazil",Data!$E$4:$E$2311,2024,Data!$F$4:$F$2311,7)</f>
        <v>0</v>
      </c>
      <c r="I160" s="12" t="n">
        <f aca="false">SUMIFS(Data!$H$4:$H$2311,Data!$B$4:$B$2311,"UCO",Data!$C$4:$C$2311,"Brazil",Data!$E$4:$E$2311,2024,Data!$F$4:$F$2311,8)</f>
        <v>0</v>
      </c>
      <c r="J160" s="12" t="n">
        <f aca="false">SUMIFS(Data!$H$4:$H$2311,Data!$B$4:$B$2311,"UCO",Data!$C$4:$C$2311,"Brazil",Data!$E$4:$E$2311,2024,Data!$F$4:$F$2311,9)</f>
        <v>0.0352739619496</v>
      </c>
      <c r="K160" s="12" t="n">
        <f aca="false">SUMIFS(Data!$H$4:$H$2311,Data!$B$4:$B$2311,"UCO",Data!$C$4:$C$2311,"Brazil",Data!$E$4:$E$2311,2024,Data!$F$4:$F$2311,10)</f>
        <v>0</v>
      </c>
      <c r="L160" s="12" t="n">
        <f aca="false">SUMIFS(Data!$H$4:$H$2311,Data!$B$4:$B$2311,"UCO",Data!$C$4:$C$2311,"Brazil",Data!$E$4:$E$2311,2024,Data!$F$4:$F$2311,11)</f>
        <v>0</v>
      </c>
      <c r="M160" s="12" t="n">
        <f aca="false">SUMIFS(Data!$H$4:$H$2311,Data!$B$4:$B$2311,"UCO",Data!$C$4:$C$2311,"Brazil",Data!$E$4:$E$2311,2024,Data!$F$4:$F$2311,12)</f>
        <v>0</v>
      </c>
      <c r="N160" s="13" t="n">
        <f aca="false">SUM(B160:M160)</f>
        <v>9.07296125814966</v>
      </c>
    </row>
    <row r="161" customFormat="false" ht="15" hidden="false" customHeight="false" outlineLevel="0" collapsed="false">
      <c r="A161" s="11" t="s">
        <v>156</v>
      </c>
      <c r="B161" s="12" t="n">
        <f aca="false">SUMIFS(Data!$H$4:$H$2311,Data!$B$4:$B$2311,"UCO",Data!$C$4:$C$2311,"Turkey",Data!$E$4:$E$2311,2024,Data!$F$4:$F$2311,1)</f>
        <v>0</v>
      </c>
      <c r="C161" s="12" t="n">
        <f aca="false">SUMIFS(Data!$H$4:$H$2311,Data!$B$4:$B$2311,"UCO",Data!$C$4:$C$2311,"Turkey",Data!$E$4:$E$2311,2024,Data!$F$4:$F$2311,2)</f>
        <v>0</v>
      </c>
      <c r="D161" s="12" t="n">
        <f aca="false">SUMIFS(Data!$H$4:$H$2311,Data!$B$4:$B$2311,"UCO",Data!$C$4:$C$2311,"Turkey",Data!$E$4:$E$2311,2024,Data!$F$4:$F$2311,3)</f>
        <v>0</v>
      </c>
      <c r="E161" s="12" t="n">
        <f aca="false">SUMIFS(Data!$H$4:$H$2311,Data!$B$4:$B$2311,"UCO",Data!$C$4:$C$2311,"Turkey",Data!$E$4:$E$2311,2024,Data!$F$4:$F$2311,4)</f>
        <v>0</v>
      </c>
      <c r="F161" s="12" t="n">
        <f aca="false">SUMIFS(Data!$H$4:$H$2311,Data!$B$4:$B$2311,"UCO",Data!$C$4:$C$2311,"Turkey",Data!$E$4:$E$2311,2024,Data!$F$4:$F$2311,5)</f>
        <v>0</v>
      </c>
      <c r="G161" s="12" t="n">
        <f aca="false">SUMIFS(Data!$H$4:$H$2311,Data!$B$4:$B$2311,"UCO",Data!$C$4:$C$2311,"Turkey",Data!$E$4:$E$2311,2024,Data!$F$4:$F$2311,6)</f>
        <v>0</v>
      </c>
      <c r="H161" s="12" t="n">
        <f aca="false">SUMIFS(Data!$H$4:$H$2311,Data!$B$4:$B$2311,"UCO",Data!$C$4:$C$2311,"Turkey",Data!$E$4:$E$2311,2024,Data!$F$4:$F$2311,7)</f>
        <v>1.92168135456177</v>
      </c>
      <c r="I161" s="12" t="n">
        <f aca="false">SUMIFS(Data!$H$4:$H$2311,Data!$B$4:$B$2311,"UCO",Data!$C$4:$C$2311,"Turkey",Data!$E$4:$E$2311,2024,Data!$F$4:$F$2311,8)</f>
        <v>1.96719358396724</v>
      </c>
      <c r="J161" s="12" t="n">
        <f aca="false">SUMIFS(Data!$H$4:$H$2311,Data!$B$4:$B$2311,"UCO",Data!$C$4:$C$2311,"Turkey",Data!$E$4:$E$2311,2024,Data!$F$4:$F$2311,9)</f>
        <v>2.14806523310906</v>
      </c>
      <c r="K161" s="12" t="n">
        <f aca="false">SUMIFS(Data!$H$4:$H$2311,Data!$B$4:$B$2311,"UCO",Data!$C$4:$C$2311,"Turkey",Data!$E$4:$E$2311,2024,Data!$F$4:$F$2311,10)</f>
        <v>1.6405919702759</v>
      </c>
      <c r="L161" s="12" t="n">
        <f aca="false">SUMIFS(Data!$H$4:$H$2311,Data!$B$4:$B$2311,"UCO",Data!$C$4:$C$2311,"Turkey",Data!$E$4:$E$2311,2024,Data!$F$4:$F$2311,11)</f>
        <v>0</v>
      </c>
      <c r="M161" s="12" t="n">
        <f aca="false">SUMIFS(Data!$H$4:$H$2311,Data!$B$4:$B$2311,"UCO",Data!$C$4:$C$2311,"Turkey",Data!$E$4:$E$2311,2024,Data!$F$4:$F$2311,12)</f>
        <v>0</v>
      </c>
      <c r="N161" s="13" t="n">
        <f aca="false">SUM(B161:M161)</f>
        <v>7.67753214191397</v>
      </c>
    </row>
    <row r="162" customFormat="false" ht="15" hidden="false" customHeight="false" outlineLevel="0" collapsed="false">
      <c r="A162" s="11" t="s">
        <v>135</v>
      </c>
      <c r="B162" s="12" t="n">
        <f aca="false">SUMIFS(Data!$H$4:$H$2311,Data!$B$4:$B$2311,"UCO",Data!$C$4:$C$2311,"Austria",Data!$E$4:$E$2311,2024,Data!$F$4:$F$2311,1)</f>
        <v>0.644049634256772</v>
      </c>
      <c r="C162" s="12" t="n">
        <f aca="false">SUMIFS(Data!$H$4:$H$2311,Data!$B$4:$B$2311,"UCO",Data!$C$4:$C$2311,"Austria",Data!$E$4:$E$2311,2024,Data!$F$4:$F$2311,2)</f>
        <v>0</v>
      </c>
      <c r="D162" s="12" t="n">
        <f aca="false">SUMIFS(Data!$H$4:$H$2311,Data!$B$4:$B$2311,"UCO",Data!$C$4:$C$2311,"Austria",Data!$E$4:$E$2311,2024,Data!$F$4:$F$2311,3)</f>
        <v>0.315505748035575</v>
      </c>
      <c r="E162" s="12" t="n">
        <f aca="false">SUMIFS(Data!$H$4:$H$2311,Data!$B$4:$B$2311,"UCO",Data!$C$4:$C$2311,"Austria",Data!$E$4:$E$2311,2024,Data!$F$4:$F$2311,4)</f>
        <v>1.00958708807261</v>
      </c>
      <c r="F162" s="12" t="n">
        <f aca="false">SUMIFS(Data!$H$4:$H$2311,Data!$B$4:$B$2311,"UCO",Data!$C$4:$C$2311,"Austria",Data!$E$4:$E$2311,2024,Data!$F$4:$F$2311,5)</f>
        <v>0</v>
      </c>
      <c r="G162" s="12" t="n">
        <f aca="false">SUMIFS(Data!$H$4:$H$2311,Data!$B$4:$B$2311,"UCO",Data!$C$4:$C$2311,"Austria",Data!$E$4:$E$2311,2024,Data!$F$4:$F$2311,6)</f>
        <v>0</v>
      </c>
      <c r="H162" s="12" t="n">
        <f aca="false">SUMIFS(Data!$H$4:$H$2311,Data!$B$4:$B$2311,"UCO",Data!$C$4:$C$2311,"Austria",Data!$E$4:$E$2311,2024,Data!$F$4:$F$2311,7)</f>
        <v>0.338477915755252</v>
      </c>
      <c r="I162" s="12" t="n">
        <f aca="false">SUMIFS(Data!$H$4:$H$2311,Data!$B$4:$B$2311,"UCO",Data!$C$4:$C$2311,"Austria",Data!$E$4:$E$2311,2024,Data!$F$4:$F$2311,8)</f>
        <v>1.53097813351751</v>
      </c>
      <c r="J162" s="12" t="n">
        <f aca="false">SUMIFS(Data!$H$4:$H$2311,Data!$B$4:$B$2311,"UCO",Data!$C$4:$C$2311,"Austria",Data!$E$4:$E$2311,2024,Data!$F$4:$F$2311,9)</f>
        <v>1.73553624810849</v>
      </c>
      <c r="K162" s="12" t="n">
        <f aca="false">SUMIFS(Data!$H$4:$H$2311,Data!$B$4:$B$2311,"UCO",Data!$C$4:$C$2311,"Austria",Data!$E$4:$E$2311,2024,Data!$F$4:$F$2311,10)</f>
        <v>1.25691488152747</v>
      </c>
      <c r="L162" s="12" t="n">
        <f aca="false">SUMIFS(Data!$H$4:$H$2311,Data!$B$4:$B$2311,"UCO",Data!$C$4:$C$2311,"Austria",Data!$E$4:$E$2311,2024,Data!$F$4:$F$2311,11)</f>
        <v>2.20462262185E-006</v>
      </c>
      <c r="M162" s="12" t="n">
        <f aca="false">SUMIFS(Data!$H$4:$H$2311,Data!$B$4:$B$2311,"UCO",Data!$C$4:$C$2311,"Austria",Data!$E$4:$E$2311,2024,Data!$F$4:$F$2311,12)</f>
        <v>0.486778470281858</v>
      </c>
      <c r="N162" s="13" t="n">
        <f aca="false">SUM(B162:M162)</f>
        <v>7.31783032417817</v>
      </c>
    </row>
    <row r="163" customFormat="false" ht="15" hidden="false" customHeight="false" outlineLevel="0" collapsed="false">
      <c r="A163" s="11" t="s">
        <v>94</v>
      </c>
      <c r="B163" s="12" t="n">
        <f aca="false">SUMIFS(Data!$H$4:$H$2311,Data!$B$4:$B$2311,"UCO",Data!$C$4:$C$2311,"Czech Republic",Data!$E$4:$E$2311,2024,Data!$F$4:$F$2311,1)</f>
        <v>0.640288548063896</v>
      </c>
      <c r="C163" s="12" t="n">
        <f aca="false">SUMIFS(Data!$H$4:$H$2311,Data!$B$4:$B$2311,"UCO",Data!$C$4:$C$2311,"Czech Republic",Data!$E$4:$E$2311,2024,Data!$F$4:$F$2311,2)</f>
        <v>0</v>
      </c>
      <c r="D163" s="12" t="n">
        <f aca="false">SUMIFS(Data!$H$4:$H$2311,Data!$B$4:$B$2311,"UCO",Data!$C$4:$C$2311,"Czech Republic",Data!$E$4:$E$2311,2024,Data!$F$4:$F$2311,3)</f>
        <v>1.24250767269369</v>
      </c>
      <c r="E163" s="12" t="n">
        <f aca="false">SUMIFS(Data!$H$4:$H$2311,Data!$B$4:$B$2311,"UCO",Data!$C$4:$C$2311,"Czech Republic",Data!$E$4:$E$2311,2024,Data!$F$4:$F$2311,4)</f>
        <v>1.14146761331168</v>
      </c>
      <c r="F163" s="12" t="n">
        <f aca="false">SUMIFS(Data!$H$4:$H$2311,Data!$B$4:$B$2311,"UCO",Data!$C$4:$C$2311,"Czech Republic",Data!$E$4:$E$2311,2024,Data!$F$4:$F$2311,5)</f>
        <v>0</v>
      </c>
      <c r="G163" s="12" t="n">
        <f aca="false">SUMIFS(Data!$H$4:$H$2311,Data!$B$4:$B$2311,"UCO",Data!$C$4:$C$2311,"Czech Republic",Data!$E$4:$E$2311,2024,Data!$F$4:$F$2311,6)</f>
        <v>0</v>
      </c>
      <c r="H163" s="12" t="n">
        <f aca="false">SUMIFS(Data!$H$4:$H$2311,Data!$B$4:$B$2311,"UCO",Data!$C$4:$C$2311,"Czech Republic",Data!$E$4:$E$2311,2024,Data!$F$4:$F$2311,7)</f>
        <v>1.64804139011513</v>
      </c>
      <c r="I163" s="12" t="n">
        <f aca="false">SUMIFS(Data!$H$4:$H$2311,Data!$B$4:$B$2311,"UCO",Data!$C$4:$C$2311,"Czech Republic",Data!$E$4:$E$2311,2024,Data!$F$4:$F$2311,8)</f>
        <v>0.605340870262329</v>
      </c>
      <c r="J163" s="12" t="n">
        <f aca="false">SUMIFS(Data!$H$4:$H$2311,Data!$B$4:$B$2311,"UCO",Data!$C$4:$C$2311,"Czech Republic",Data!$E$4:$E$2311,2024,Data!$F$4:$F$2311,9)</f>
        <v>0.437267055440351</v>
      </c>
      <c r="K163" s="12" t="n">
        <f aca="false">SUMIFS(Data!$H$4:$H$2311,Data!$B$4:$B$2311,"UCO",Data!$C$4:$C$2311,"Czech Republic",Data!$E$4:$E$2311,2024,Data!$F$4:$F$2311,10)</f>
        <v>0.279193408831084</v>
      </c>
      <c r="L163" s="12" t="n">
        <f aca="false">SUMIFS(Data!$H$4:$H$2311,Data!$B$4:$B$2311,"UCO",Data!$C$4:$C$2311,"Czech Republic",Data!$E$4:$E$2311,2024,Data!$F$4:$F$2311,11)</f>
        <v>0</v>
      </c>
      <c r="M163" s="12" t="n">
        <f aca="false">SUMIFS(Data!$H$4:$H$2311,Data!$B$4:$B$2311,"UCO",Data!$C$4:$C$2311,"Czech Republic",Data!$E$4:$E$2311,2024,Data!$F$4:$F$2311,12)</f>
        <v>0.606436567705389</v>
      </c>
      <c r="N163" s="13" t="n">
        <f aca="false">SUM(B163:M163)</f>
        <v>6.60054312642354</v>
      </c>
    </row>
    <row r="164" customFormat="false" ht="15" hidden="false" customHeight="false" outlineLevel="0" collapsed="false">
      <c r="A164" s="11" t="s">
        <v>110</v>
      </c>
      <c r="B164" s="12" t="n">
        <f aca="false">SUMIFS(Data!$H$4:$H$2311,Data!$B$4:$B$2311,"UCO",Data!$C$4:$C$2311,"Honduras",Data!$E$4:$E$2311,2024,Data!$F$4:$F$2311,1)</f>
        <v>0.217671209945738</v>
      </c>
      <c r="C164" s="12" t="n">
        <f aca="false">SUMIFS(Data!$H$4:$H$2311,Data!$B$4:$B$2311,"UCO",Data!$C$4:$C$2311,"Honduras",Data!$E$4:$E$2311,2024,Data!$F$4:$F$2311,2)</f>
        <v>0</v>
      </c>
      <c r="D164" s="12" t="n">
        <f aca="false">SUMIFS(Data!$H$4:$H$2311,Data!$B$4:$B$2311,"UCO",Data!$C$4:$C$2311,"Honduras",Data!$E$4:$E$2311,2024,Data!$F$4:$F$2311,3)</f>
        <v>0</v>
      </c>
      <c r="E164" s="12" t="n">
        <f aca="false">SUMIFS(Data!$H$4:$H$2311,Data!$B$4:$B$2311,"UCO",Data!$C$4:$C$2311,"Honduras",Data!$E$4:$E$2311,2024,Data!$F$4:$F$2311,4)</f>
        <v>0</v>
      </c>
      <c r="F164" s="12" t="n">
        <f aca="false">SUMIFS(Data!$H$4:$H$2311,Data!$B$4:$B$2311,"UCO",Data!$C$4:$C$2311,"Honduras",Data!$E$4:$E$2311,2024,Data!$F$4:$F$2311,5)</f>
        <v>0.0952485157544074</v>
      </c>
      <c r="G164" s="12" t="n">
        <f aca="false">SUMIFS(Data!$H$4:$H$2311,Data!$B$4:$B$2311,"UCO",Data!$C$4:$C$2311,"Honduras",Data!$E$4:$E$2311,2024,Data!$F$4:$F$2311,6)</f>
        <v>3.08670536058792</v>
      </c>
      <c r="H164" s="12" t="n">
        <f aca="false">SUMIFS(Data!$H$4:$H$2311,Data!$B$4:$B$2311,"UCO",Data!$C$4:$C$2311,"Honduras",Data!$E$4:$E$2311,2024,Data!$F$4:$F$2311,7)</f>
        <v>0.124779435774088</v>
      </c>
      <c r="I164" s="12" t="n">
        <f aca="false">SUMIFS(Data!$H$4:$H$2311,Data!$B$4:$B$2311,"UCO",Data!$C$4:$C$2311,"Honduras",Data!$E$4:$E$2311,2024,Data!$F$4:$F$2311,8)</f>
        <v>0</v>
      </c>
      <c r="J164" s="12" t="n">
        <f aca="false">SUMIFS(Data!$H$4:$H$2311,Data!$B$4:$B$2311,"UCO",Data!$C$4:$C$2311,"Honduras",Data!$E$4:$E$2311,2024,Data!$F$4:$F$2311,9)</f>
        <v>0</v>
      </c>
      <c r="K164" s="12" t="n">
        <f aca="false">SUMIFS(Data!$H$4:$H$2311,Data!$B$4:$B$2311,"UCO",Data!$C$4:$C$2311,"Honduras",Data!$E$4:$E$2311,2024,Data!$F$4:$F$2311,10)</f>
        <v>0</v>
      </c>
      <c r="L164" s="12" t="n">
        <f aca="false">SUMIFS(Data!$H$4:$H$2311,Data!$B$4:$B$2311,"UCO",Data!$C$4:$C$2311,"Honduras",Data!$E$4:$E$2311,2024,Data!$F$4:$F$2311,11)</f>
        <v>2.20751508672987</v>
      </c>
      <c r="M164" s="12" t="n">
        <f aca="false">SUMIFS(Data!$H$4:$H$2311,Data!$B$4:$B$2311,"UCO",Data!$C$4:$C$2311,"Honduras",Data!$E$4:$E$2311,2024,Data!$F$4:$F$2311,12)</f>
        <v>0</v>
      </c>
      <c r="N164" s="13" t="n">
        <f aca="false">SUM(B164:M164)</f>
        <v>5.73191960879202</v>
      </c>
    </row>
    <row r="165" customFormat="false" ht="15" hidden="false" customHeight="false" outlineLevel="0" collapsed="false">
      <c r="A165" s="11" t="s">
        <v>142</v>
      </c>
      <c r="B165" s="12" t="n">
        <f aca="false">SUMIFS(Data!$H$4:$H$2311,Data!$B$4:$B$2311,"UCO",Data!$C$4:$C$2311,"Slovakia",Data!$E$4:$E$2311,2024,Data!$F$4:$F$2311,1)</f>
        <v>0</v>
      </c>
      <c r="C165" s="12" t="n">
        <f aca="false">SUMIFS(Data!$H$4:$H$2311,Data!$B$4:$B$2311,"UCO",Data!$C$4:$C$2311,"Slovakia",Data!$E$4:$E$2311,2024,Data!$F$4:$F$2311,2)</f>
        <v>0</v>
      </c>
      <c r="D165" s="12" t="n">
        <f aca="false">SUMIFS(Data!$H$4:$H$2311,Data!$B$4:$B$2311,"UCO",Data!$C$4:$C$2311,"Slovakia",Data!$E$4:$E$2311,2024,Data!$F$4:$F$2311,3)</f>
        <v>0.321145172702268</v>
      </c>
      <c r="E165" s="12" t="n">
        <f aca="false">SUMIFS(Data!$H$4:$H$2311,Data!$B$4:$B$2311,"UCO",Data!$C$4:$C$2311,"Slovakia",Data!$E$4:$E$2311,2024,Data!$F$4:$F$2311,4)</f>
        <v>1.6221480974215</v>
      </c>
      <c r="F165" s="12" t="n">
        <f aca="false">SUMIFS(Data!$H$4:$H$2311,Data!$B$4:$B$2311,"UCO",Data!$C$4:$C$2311,"Slovakia",Data!$E$4:$E$2311,2024,Data!$F$4:$F$2311,5)</f>
        <v>0</v>
      </c>
      <c r="G165" s="12" t="n">
        <f aca="false">SUMIFS(Data!$H$4:$H$2311,Data!$B$4:$B$2311,"UCO",Data!$C$4:$C$2311,"Slovakia",Data!$E$4:$E$2311,2024,Data!$F$4:$F$2311,6)</f>
        <v>0</v>
      </c>
      <c r="H165" s="12" t="n">
        <f aca="false">SUMIFS(Data!$H$4:$H$2311,Data!$B$4:$B$2311,"UCO",Data!$C$4:$C$2311,"Slovakia",Data!$E$4:$E$2311,2024,Data!$F$4:$F$2311,7)</f>
        <v>1.7426307237056</v>
      </c>
      <c r="I165" s="12" t="n">
        <f aca="false">SUMIFS(Data!$H$4:$H$2311,Data!$B$4:$B$2311,"UCO",Data!$C$4:$C$2311,"Slovakia",Data!$E$4:$E$2311,2024,Data!$F$4:$F$2311,8)</f>
        <v>0.546045340225052</v>
      </c>
      <c r="J165" s="12" t="n">
        <f aca="false">SUMIFS(Data!$H$4:$H$2311,Data!$B$4:$B$2311,"UCO",Data!$C$4:$C$2311,"Slovakia",Data!$E$4:$E$2311,2024,Data!$F$4:$F$2311,9)</f>
        <v>0.269219696089835</v>
      </c>
      <c r="K165" s="12" t="n">
        <f aca="false">SUMIFS(Data!$H$4:$H$2311,Data!$B$4:$B$2311,"UCO",Data!$C$4:$C$2311,"Slovakia",Data!$E$4:$E$2311,2024,Data!$F$4:$F$2311,10)</f>
        <v>0.755524172507995</v>
      </c>
      <c r="L165" s="12" t="n">
        <f aca="false">SUMIFS(Data!$H$4:$H$2311,Data!$B$4:$B$2311,"UCO",Data!$C$4:$C$2311,"Slovakia",Data!$E$4:$E$2311,2024,Data!$F$4:$F$2311,11)</f>
        <v>0</v>
      </c>
      <c r="M165" s="12" t="n">
        <f aca="false">SUMIFS(Data!$H$4:$H$2311,Data!$B$4:$B$2311,"UCO",Data!$C$4:$C$2311,"Slovakia",Data!$E$4:$E$2311,2024,Data!$F$4:$F$2311,12)</f>
        <v>0.328391767260289</v>
      </c>
      <c r="N165" s="13" t="n">
        <f aca="false">SUM(B165:M165)</f>
        <v>5.58510496991254</v>
      </c>
    </row>
    <row r="166" customFormat="false" ht="15" hidden="false" customHeight="false" outlineLevel="0" collapsed="false">
      <c r="A166" s="11" t="s">
        <v>157</v>
      </c>
      <c r="B166" s="12" t="n">
        <f aca="false">SUMIFS(Data!$H$4:$H$2311,Data!$B$4:$B$2311,"UCO",Data!$C$4:$C$2311,"Egypt",Data!$E$4:$E$2311,2024,Data!$F$4:$F$2311,1)</f>
        <v>0</v>
      </c>
      <c r="C166" s="12" t="n">
        <f aca="false">SUMIFS(Data!$H$4:$H$2311,Data!$B$4:$B$2311,"UCO",Data!$C$4:$C$2311,"Egypt",Data!$E$4:$E$2311,2024,Data!$F$4:$F$2311,2)</f>
        <v>0</v>
      </c>
      <c r="D166" s="12" t="n">
        <f aca="false">SUMIFS(Data!$H$4:$H$2311,Data!$B$4:$B$2311,"UCO",Data!$C$4:$C$2311,"Egypt",Data!$E$4:$E$2311,2024,Data!$F$4:$F$2311,3)</f>
        <v>0</v>
      </c>
      <c r="E166" s="12" t="n">
        <f aca="false">SUMIFS(Data!$H$4:$H$2311,Data!$B$4:$B$2311,"UCO",Data!$C$4:$C$2311,"Egypt",Data!$E$4:$E$2311,2024,Data!$F$4:$F$2311,4)</f>
        <v>0</v>
      </c>
      <c r="F166" s="12" t="n">
        <f aca="false">SUMIFS(Data!$H$4:$H$2311,Data!$B$4:$B$2311,"UCO",Data!$C$4:$C$2311,"Egypt",Data!$E$4:$E$2311,2024,Data!$F$4:$F$2311,5)</f>
        <v>0</v>
      </c>
      <c r="G166" s="12" t="n">
        <f aca="false">SUMIFS(Data!$H$4:$H$2311,Data!$B$4:$B$2311,"UCO",Data!$C$4:$C$2311,"Egypt",Data!$E$4:$E$2311,2024,Data!$F$4:$F$2311,6)</f>
        <v>0</v>
      </c>
      <c r="H166" s="12" t="n">
        <f aca="false">SUMIFS(Data!$H$4:$H$2311,Data!$B$4:$B$2311,"UCO",Data!$C$4:$C$2311,"Egypt",Data!$E$4:$E$2311,2024,Data!$F$4:$F$2311,7)</f>
        <v>0</v>
      </c>
      <c r="I166" s="12" t="n">
        <f aca="false">SUMIFS(Data!$H$4:$H$2311,Data!$B$4:$B$2311,"UCO",Data!$C$4:$C$2311,"Egypt",Data!$E$4:$E$2311,2024,Data!$F$4:$F$2311,8)</f>
        <v>0</v>
      </c>
      <c r="J166" s="12" t="n">
        <f aca="false">SUMIFS(Data!$H$4:$H$2311,Data!$B$4:$B$2311,"UCO",Data!$C$4:$C$2311,"Egypt",Data!$E$4:$E$2311,2024,Data!$F$4:$F$2311,9)</f>
        <v>0</v>
      </c>
      <c r="K166" s="12" t="n">
        <f aca="false">SUMIFS(Data!$H$4:$H$2311,Data!$B$4:$B$2311,"UCO",Data!$C$4:$C$2311,"Egypt",Data!$E$4:$E$2311,2024,Data!$F$4:$F$2311,10)</f>
        <v>0</v>
      </c>
      <c r="L166" s="12" t="n">
        <f aca="false">SUMIFS(Data!$H$4:$H$2311,Data!$B$4:$B$2311,"UCO",Data!$C$4:$C$2311,"Egypt",Data!$E$4:$E$2311,2024,Data!$F$4:$F$2311,11)</f>
        <v>4.91342700495874</v>
      </c>
      <c r="M166" s="12" t="n">
        <f aca="false">SUMIFS(Data!$H$4:$H$2311,Data!$B$4:$B$2311,"UCO",Data!$C$4:$C$2311,"Egypt",Data!$E$4:$E$2311,2024,Data!$F$4:$F$2311,12)</f>
        <v>0</v>
      </c>
      <c r="N166" s="13" t="n">
        <f aca="false">SUM(B166:M166)</f>
        <v>4.91342700495874</v>
      </c>
    </row>
    <row r="167" customFormat="false" ht="15" hidden="false" customHeight="false" outlineLevel="0" collapsed="false">
      <c r="A167" s="11" t="s">
        <v>69</v>
      </c>
      <c r="B167" s="12" t="n">
        <f aca="false">SUMIFS(Data!$H$4:$H$2311,Data!$B$4:$B$2311,"UCO",Data!$C$4:$C$2311,"Spain",Data!$E$4:$E$2311,2024,Data!$F$4:$F$2311,1)</f>
        <v>0.00396832071933</v>
      </c>
      <c r="C167" s="12" t="n">
        <f aca="false">SUMIFS(Data!$H$4:$H$2311,Data!$B$4:$B$2311,"UCO",Data!$C$4:$C$2311,"Spain",Data!$E$4:$E$2311,2024,Data!$F$4:$F$2311,2)</f>
        <v>0.00035494424211785</v>
      </c>
      <c r="D167" s="12" t="n">
        <f aca="false">SUMIFS(Data!$H$4:$H$2311,Data!$B$4:$B$2311,"UCO",Data!$C$4:$C$2311,"Spain",Data!$E$4:$E$2311,2024,Data!$F$4:$F$2311,3)</f>
        <v>0.69243007769327</v>
      </c>
      <c r="E167" s="12" t="n">
        <f aca="false">SUMIFS(Data!$H$4:$H$2311,Data!$B$4:$B$2311,"UCO",Data!$C$4:$C$2311,"Spain",Data!$E$4:$E$2311,2024,Data!$F$4:$F$2311,4)</f>
        <v>0.505863888319214</v>
      </c>
      <c r="F167" s="12" t="n">
        <f aca="false">SUMIFS(Data!$H$4:$H$2311,Data!$B$4:$B$2311,"UCO",Data!$C$4:$C$2311,"Spain",Data!$E$4:$E$2311,2024,Data!$F$4:$F$2311,5)</f>
        <v>0</v>
      </c>
      <c r="G167" s="12" t="n">
        <f aca="false">SUMIFS(Data!$H$4:$H$2311,Data!$B$4:$B$2311,"UCO",Data!$C$4:$C$2311,"Spain",Data!$E$4:$E$2311,2024,Data!$F$4:$F$2311,6)</f>
        <v>0.0016534669663875</v>
      </c>
      <c r="H167" s="12" t="n">
        <f aca="false">SUMIFS(Data!$H$4:$H$2311,Data!$B$4:$B$2311,"UCO",Data!$C$4:$C$2311,"Spain",Data!$E$4:$E$2311,2024,Data!$F$4:$F$2311,7)</f>
        <v>0.285741138017979</v>
      </c>
      <c r="I167" s="12" t="n">
        <f aca="false">SUMIFS(Data!$H$4:$H$2311,Data!$B$4:$B$2311,"UCO",Data!$C$4:$C$2311,"Spain",Data!$E$4:$E$2311,2024,Data!$F$4:$F$2311,8)</f>
        <v>0.0071077033328444</v>
      </c>
      <c r="J167" s="12" t="n">
        <f aca="false">SUMIFS(Data!$H$4:$H$2311,Data!$B$4:$B$2311,"UCO",Data!$C$4:$C$2311,"Spain",Data!$E$4:$E$2311,2024,Data!$F$4:$F$2311,9)</f>
        <v>0.218259844185772</v>
      </c>
      <c r="K167" s="12" t="n">
        <f aca="false">SUMIFS(Data!$H$4:$H$2311,Data!$B$4:$B$2311,"UCO",Data!$C$4:$C$2311,"Spain",Data!$E$4:$E$2311,2024,Data!$F$4:$F$2311,10)</f>
        <v>1.43289006382616</v>
      </c>
      <c r="L167" s="12" t="n">
        <f aca="false">SUMIFS(Data!$H$4:$H$2311,Data!$B$4:$B$2311,"UCO",Data!$C$4:$C$2311,"Spain",Data!$E$4:$E$2311,2024,Data!$F$4:$F$2311,11)</f>
        <v>0</v>
      </c>
      <c r="M167" s="12" t="n">
        <f aca="false">SUMIFS(Data!$H$4:$H$2311,Data!$B$4:$B$2311,"UCO",Data!$C$4:$C$2311,"Spain",Data!$E$4:$E$2311,2024,Data!$F$4:$F$2311,12)</f>
        <v>0.394149046202209</v>
      </c>
      <c r="N167" s="13" t="n">
        <f aca="false">SUM(B167:M167)</f>
        <v>3.54241849350529</v>
      </c>
    </row>
    <row r="168" customFormat="false" ht="15" hidden="false" customHeight="false" outlineLevel="0" collapsed="false">
      <c r="A168" s="11" t="s">
        <v>67</v>
      </c>
      <c r="B168" s="12" t="n">
        <f aca="false">SUMIFS(Data!$H$4:$H$2311,Data!$B$4:$B$2311,"UCO",Data!$C$4:$C$2311,"Japan",Data!$E$4:$E$2311,2024,Data!$F$4:$F$2311,1)</f>
        <v>0.0013889122517655</v>
      </c>
      <c r="C168" s="12" t="n">
        <f aca="false">SUMIFS(Data!$H$4:$H$2311,Data!$B$4:$B$2311,"UCO",Data!$C$4:$C$2311,"Japan",Data!$E$4:$E$2311,2024,Data!$F$4:$F$2311,2)</f>
        <v>0.004761984863196</v>
      </c>
      <c r="D168" s="12" t="n">
        <f aca="false">SUMIFS(Data!$H$4:$H$2311,Data!$B$4:$B$2311,"UCO",Data!$C$4:$C$2311,"Japan",Data!$E$4:$E$2311,2024,Data!$F$4:$F$2311,3)</f>
        <v>0.006349313150928</v>
      </c>
      <c r="E168" s="12" t="n">
        <f aca="false">SUMIFS(Data!$H$4:$H$2311,Data!$B$4:$B$2311,"UCO",Data!$C$4:$C$2311,"Japan",Data!$E$4:$E$2311,2024,Data!$F$4:$F$2311,4)</f>
        <v>0.004365152791263</v>
      </c>
      <c r="F168" s="12" t="n">
        <f aca="false">SUMIFS(Data!$H$4:$H$2311,Data!$B$4:$B$2311,"UCO",Data!$C$4:$C$2311,"Japan",Data!$E$4:$E$2311,2024,Data!$F$4:$F$2311,5)</f>
        <v>0.00793664143866</v>
      </c>
      <c r="G168" s="12" t="n">
        <f aca="false">SUMIFS(Data!$H$4:$H$2311,Data!$B$4:$B$2311,"UCO",Data!$C$4:$C$2311,"Japan",Data!$E$4:$E$2311,2024,Data!$F$4:$F$2311,6)</f>
        <v>0.0025794084675645</v>
      </c>
      <c r="H168" s="12" t="n">
        <f aca="false">SUMIFS(Data!$H$4:$H$2311,Data!$B$4:$B$2311,"UCO",Data!$C$4:$C$2311,"Japan",Data!$E$4:$E$2311,2024,Data!$F$4:$F$2311,7)</f>
        <v>0.0013095458373789</v>
      </c>
      <c r="I168" s="12" t="n">
        <f aca="false">SUMIFS(Data!$H$4:$H$2311,Data!$B$4:$B$2311,"UCO",Data!$C$4:$C$2311,"Japan",Data!$E$4:$E$2311,2024,Data!$F$4:$F$2311,8)</f>
        <v>0</v>
      </c>
      <c r="J168" s="12" t="n">
        <f aca="false">SUMIFS(Data!$H$4:$H$2311,Data!$B$4:$B$2311,"UCO",Data!$C$4:$C$2311,"Japan",Data!$E$4:$E$2311,2024,Data!$F$4:$F$2311,9)</f>
        <v>0.001587328287732</v>
      </c>
      <c r="K168" s="12" t="n">
        <f aca="false">SUMIFS(Data!$H$4:$H$2311,Data!$B$4:$B$2311,"UCO",Data!$C$4:$C$2311,"Japan",Data!$E$4:$E$2311,2024,Data!$F$4:$F$2311,10)</f>
        <v>0.0425271703754865</v>
      </c>
      <c r="L168" s="12" t="n">
        <f aca="false">SUMIFS(Data!$H$4:$H$2311,Data!$B$4:$B$2311,"UCO",Data!$C$4:$C$2311,"Japan",Data!$E$4:$E$2311,2024,Data!$F$4:$F$2311,11)</f>
        <v>1.12106162632383</v>
      </c>
      <c r="M168" s="12" t="n">
        <f aca="false">SUMIFS(Data!$H$4:$H$2311,Data!$B$4:$B$2311,"UCO",Data!$C$4:$C$2311,"Japan",Data!$E$4:$E$2311,2024,Data!$F$4:$F$2311,12)</f>
        <v>1.31508605402761</v>
      </c>
      <c r="N168" s="13" t="n">
        <f aca="false">SUM(B168:M168)</f>
        <v>2.50895313781542</v>
      </c>
    </row>
    <row r="169" customFormat="false" ht="15" hidden="false" customHeight="false" outlineLevel="0" collapsed="false">
      <c r="A169" s="11" t="s">
        <v>51</v>
      </c>
      <c r="B169" s="12" t="n">
        <f aca="false">SUMIFS(Data!$H$4:$H$2311,Data!$B$4:$B$2311,"UCO",Data!$C$4:$C$2311,"India",Data!$E$4:$E$2311,2024,Data!$F$4:$F$2311,1)</f>
        <v>0.23898109220854</v>
      </c>
      <c r="C169" s="12" t="n">
        <f aca="false">SUMIFS(Data!$H$4:$H$2311,Data!$B$4:$B$2311,"UCO",Data!$C$4:$C$2311,"India",Data!$E$4:$E$2311,2024,Data!$F$4:$F$2311,2)</f>
        <v>0.164993957019254</v>
      </c>
      <c r="D169" s="12" t="n">
        <f aca="false">SUMIFS(Data!$H$4:$H$2311,Data!$B$4:$B$2311,"UCO",Data!$C$4:$C$2311,"India",Data!$E$4:$E$2311,2024,Data!$F$4:$F$2311,3)</f>
        <v>0.0762138040373545</v>
      </c>
      <c r="E169" s="12" t="n">
        <f aca="false">SUMIFS(Data!$H$4:$H$2311,Data!$B$4:$B$2311,"UCO",Data!$C$4:$C$2311,"India",Data!$E$4:$E$2311,2024,Data!$F$4:$F$2311,4)</f>
        <v>0.170240958859257</v>
      </c>
      <c r="F169" s="12" t="n">
        <f aca="false">SUMIFS(Data!$H$4:$H$2311,Data!$B$4:$B$2311,"UCO",Data!$C$4:$C$2311,"India",Data!$E$4:$E$2311,2024,Data!$F$4:$F$2311,5)</f>
        <v>0.529618697069647</v>
      </c>
      <c r="G169" s="12" t="n">
        <f aca="false">SUMIFS(Data!$H$4:$H$2311,Data!$B$4:$B$2311,"UCO",Data!$C$4:$C$2311,"India",Data!$E$4:$E$2311,2024,Data!$F$4:$F$2311,6)</f>
        <v>0.208325814651716</v>
      </c>
      <c r="H169" s="12" t="n">
        <f aca="false">SUMIFS(Data!$H$4:$H$2311,Data!$B$4:$B$2311,"UCO",Data!$C$4:$C$2311,"India",Data!$E$4:$E$2311,2024,Data!$F$4:$F$2311,7)</f>
        <v>0.467133078098553</v>
      </c>
      <c r="I169" s="12" t="n">
        <f aca="false">SUMIFS(Data!$H$4:$H$2311,Data!$B$4:$B$2311,"UCO",Data!$C$4:$C$2311,"India",Data!$E$4:$E$2311,2024,Data!$F$4:$F$2311,8)</f>
        <v>0.11699932254158</v>
      </c>
      <c r="J169" s="12" t="n">
        <f aca="false">SUMIFS(Data!$H$4:$H$2311,Data!$B$4:$B$2311,"UCO",Data!$C$4:$C$2311,"India",Data!$E$4:$E$2311,2024,Data!$F$4:$F$2311,9)</f>
        <v>0.14430136909057</v>
      </c>
      <c r="K169" s="12" t="n">
        <f aca="false">SUMIFS(Data!$H$4:$H$2311,Data!$B$4:$B$2311,"UCO",Data!$C$4:$C$2311,"India",Data!$E$4:$E$2311,2024,Data!$F$4:$F$2311,10)</f>
        <v>0</v>
      </c>
      <c r="L169" s="12" t="n">
        <f aca="false">SUMIFS(Data!$H$4:$H$2311,Data!$B$4:$B$2311,"UCO",Data!$C$4:$C$2311,"India",Data!$E$4:$E$2311,2024,Data!$F$4:$F$2311,11)</f>
        <v>0.118974664410757</v>
      </c>
      <c r="M169" s="12" t="n">
        <f aca="false">SUMIFS(Data!$H$4:$H$2311,Data!$B$4:$B$2311,"UCO",Data!$C$4:$C$2311,"India",Data!$E$4:$E$2311,2024,Data!$F$4:$F$2311,12)</f>
        <v>0.0556071963909226</v>
      </c>
      <c r="N169" s="13" t="n">
        <f aca="false">SUM(B169:M169)</f>
        <v>2.29138995437815</v>
      </c>
    </row>
    <row r="170" customFormat="false" ht="15" hidden="false" customHeight="false" outlineLevel="0" collapsed="false">
      <c r="A170" s="11" t="s">
        <v>96</v>
      </c>
      <c r="B170" s="12" t="n">
        <f aca="false">SUMIFS(Data!$H$4:$H$2311,Data!$B$4:$B$2311,"UCO",Data!$C$4:$C$2311,"Greece",Data!$E$4:$E$2311,2024,Data!$F$4:$F$2311,1)</f>
        <v>0.762235043768906</v>
      </c>
      <c r="C170" s="12" t="n">
        <f aca="false">SUMIFS(Data!$H$4:$H$2311,Data!$B$4:$B$2311,"UCO",Data!$C$4:$C$2311,"Greece",Data!$E$4:$E$2311,2024,Data!$F$4:$F$2311,2)</f>
        <v>0</v>
      </c>
      <c r="D170" s="12" t="n">
        <f aca="false">SUMIFS(Data!$H$4:$H$2311,Data!$B$4:$B$2311,"UCO",Data!$C$4:$C$2311,"Greece",Data!$E$4:$E$2311,2024,Data!$F$4:$F$2311,3)</f>
        <v>0.235599201106622</v>
      </c>
      <c r="E170" s="12" t="n">
        <f aca="false">SUMIFS(Data!$H$4:$H$2311,Data!$B$4:$B$2311,"UCO",Data!$C$4:$C$2311,"Greece",Data!$E$4:$E$2311,2024,Data!$F$4:$F$2311,4)</f>
        <v>0</v>
      </c>
      <c r="F170" s="12" t="n">
        <f aca="false">SUMIFS(Data!$H$4:$H$2311,Data!$B$4:$B$2311,"UCO",Data!$C$4:$C$2311,"Greece",Data!$E$4:$E$2311,2024,Data!$F$4:$F$2311,5)</f>
        <v>0</v>
      </c>
      <c r="G170" s="12" t="n">
        <f aca="false">SUMIFS(Data!$H$4:$H$2311,Data!$B$4:$B$2311,"UCO",Data!$C$4:$C$2311,"Greece",Data!$E$4:$E$2311,2024,Data!$F$4:$F$2311,6)</f>
        <v>0</v>
      </c>
      <c r="H170" s="12" t="n">
        <f aca="false">SUMIFS(Data!$H$4:$H$2311,Data!$B$4:$B$2311,"UCO",Data!$C$4:$C$2311,"Greece",Data!$E$4:$E$2311,2024,Data!$F$4:$F$2311,7)</f>
        <v>0</v>
      </c>
      <c r="I170" s="12" t="n">
        <f aca="false">SUMIFS(Data!$H$4:$H$2311,Data!$B$4:$B$2311,"UCO",Data!$C$4:$C$2311,"Greece",Data!$E$4:$E$2311,2024,Data!$F$4:$F$2311,8)</f>
        <v>0.096209731217534</v>
      </c>
      <c r="J170" s="12" t="n">
        <f aca="false">SUMIFS(Data!$H$4:$H$2311,Data!$B$4:$B$2311,"UCO",Data!$C$4:$C$2311,"Greece",Data!$E$4:$E$2311,2024,Data!$F$4:$F$2311,9)</f>
        <v>0</v>
      </c>
      <c r="K170" s="12" t="n">
        <f aca="false">SUMIFS(Data!$H$4:$H$2311,Data!$B$4:$B$2311,"UCO",Data!$C$4:$C$2311,"Greece",Data!$E$4:$E$2311,2024,Data!$F$4:$F$2311,10)</f>
        <v>0.727666561058298</v>
      </c>
      <c r="L170" s="12" t="n">
        <f aca="false">SUMIFS(Data!$H$4:$H$2311,Data!$B$4:$B$2311,"UCO",Data!$C$4:$C$2311,"Greece",Data!$E$4:$E$2311,2024,Data!$F$4:$F$2311,11)</f>
        <v>0</v>
      </c>
      <c r="M170" s="12" t="n">
        <f aca="false">SUMIFS(Data!$H$4:$H$2311,Data!$B$4:$B$2311,"UCO",Data!$C$4:$C$2311,"Greece",Data!$E$4:$E$2311,2024,Data!$F$4:$F$2311,12)</f>
        <v>0.442414849262371</v>
      </c>
      <c r="N170" s="13" t="n">
        <f aca="false">SUM(B170:M170)</f>
        <v>2.26412538641373</v>
      </c>
    </row>
    <row r="171" customFormat="false" ht="15" hidden="false" customHeight="false" outlineLevel="0" collapsed="false">
      <c r="A171" s="11" t="s">
        <v>158</v>
      </c>
      <c r="B171" s="12" t="n">
        <f aca="false">SUMIFS(Data!$H$4:$H$2311,Data!$B$4:$B$2311,"UCO",Data!$C$4:$C$2311,"Serbia",Data!$E$4:$E$2311,2024,Data!$F$4:$F$2311,1)</f>
        <v>0.108652621295255</v>
      </c>
      <c r="C171" s="12" t="n">
        <f aca="false">SUMIFS(Data!$H$4:$H$2311,Data!$B$4:$B$2311,"UCO",Data!$C$4:$C$2311,"Serbia",Data!$E$4:$E$2311,2024,Data!$F$4:$F$2311,2)</f>
        <v>0</v>
      </c>
      <c r="D171" s="12" t="n">
        <f aca="false">SUMIFS(Data!$H$4:$H$2311,Data!$B$4:$B$2311,"UCO",Data!$C$4:$C$2311,"Serbia",Data!$E$4:$E$2311,2024,Data!$F$4:$F$2311,3)</f>
        <v>0.152282102981667</v>
      </c>
      <c r="E171" s="12" t="n">
        <f aca="false">SUMIFS(Data!$H$4:$H$2311,Data!$B$4:$B$2311,"UCO",Data!$C$4:$C$2311,"Serbia",Data!$E$4:$E$2311,2024,Data!$F$4:$F$2311,4)</f>
        <v>0.216782747029132</v>
      </c>
      <c r="F171" s="12" t="n">
        <f aca="false">SUMIFS(Data!$H$4:$H$2311,Data!$B$4:$B$2311,"UCO",Data!$C$4:$C$2311,"Serbia",Data!$E$4:$E$2311,2024,Data!$F$4:$F$2311,5)</f>
        <v>0</v>
      </c>
      <c r="G171" s="12" t="n">
        <f aca="false">SUMIFS(Data!$H$4:$H$2311,Data!$B$4:$B$2311,"UCO",Data!$C$4:$C$2311,"Serbia",Data!$E$4:$E$2311,2024,Data!$F$4:$F$2311,6)</f>
        <v>0</v>
      </c>
      <c r="H171" s="12" t="n">
        <f aca="false">SUMIFS(Data!$H$4:$H$2311,Data!$B$4:$B$2311,"UCO",Data!$C$4:$C$2311,"Serbia",Data!$E$4:$E$2311,2024,Data!$F$4:$F$2311,7)</f>
        <v>0.471171946741782</v>
      </c>
      <c r="I171" s="12" t="n">
        <f aca="false">SUMIFS(Data!$H$4:$H$2311,Data!$B$4:$B$2311,"UCO",Data!$C$4:$C$2311,"Serbia",Data!$E$4:$E$2311,2024,Data!$F$4:$F$2311,8)</f>
        <v>0.261792322476822</v>
      </c>
      <c r="J171" s="12" t="n">
        <f aca="false">SUMIFS(Data!$H$4:$H$2311,Data!$B$4:$B$2311,"UCO",Data!$C$4:$C$2311,"Serbia",Data!$E$4:$E$2311,2024,Data!$F$4:$F$2311,9)</f>
        <v>0.0498906099324655</v>
      </c>
      <c r="K171" s="12" t="n">
        <f aca="false">SUMIFS(Data!$H$4:$H$2311,Data!$B$4:$B$2311,"UCO",Data!$C$4:$C$2311,"Serbia",Data!$E$4:$E$2311,2024,Data!$F$4:$F$2311,10)</f>
        <v>0.149385228856556</v>
      </c>
      <c r="L171" s="12" t="n">
        <f aca="false">SUMIFS(Data!$H$4:$H$2311,Data!$B$4:$B$2311,"UCO",Data!$C$4:$C$2311,"Serbia",Data!$E$4:$E$2311,2024,Data!$F$4:$F$2311,11)</f>
        <v>0</v>
      </c>
      <c r="M171" s="12" t="n">
        <f aca="false">SUMIFS(Data!$H$4:$H$2311,Data!$B$4:$B$2311,"UCO",Data!$C$4:$C$2311,"Serbia",Data!$E$4:$E$2311,2024,Data!$F$4:$F$2311,12)</f>
        <v>0.262742514826839</v>
      </c>
      <c r="N171" s="13" t="n">
        <f aca="false">SUM(B171:M171)</f>
        <v>1.67270009414052</v>
      </c>
    </row>
    <row r="172" customFormat="false" ht="15" hidden="false" customHeight="false" outlineLevel="0" collapsed="false">
      <c r="A172" s="11" t="s">
        <v>159</v>
      </c>
      <c r="B172" s="12" t="n">
        <f aca="false">SUMIFS(Data!$H$4:$H$2311,Data!$B$4:$B$2311,"UCO",Data!$C$4:$C$2311,"Hungary",Data!$E$4:$E$2311,2024,Data!$F$4:$F$2311,1)</f>
        <v>0</v>
      </c>
      <c r="C172" s="12" t="n">
        <f aca="false">SUMIFS(Data!$H$4:$H$2311,Data!$B$4:$B$2311,"UCO",Data!$C$4:$C$2311,"Hungary",Data!$E$4:$E$2311,2024,Data!$F$4:$F$2311,2)</f>
        <v>0</v>
      </c>
      <c r="D172" s="12" t="n">
        <f aca="false">SUMIFS(Data!$H$4:$H$2311,Data!$B$4:$B$2311,"UCO",Data!$C$4:$C$2311,"Hungary",Data!$E$4:$E$2311,2024,Data!$F$4:$F$2311,3)</f>
        <v>0</v>
      </c>
      <c r="E172" s="12" t="n">
        <f aca="false">SUMIFS(Data!$H$4:$H$2311,Data!$B$4:$B$2311,"UCO",Data!$C$4:$C$2311,"Hungary",Data!$E$4:$E$2311,2024,Data!$F$4:$F$2311,4)</f>
        <v>0</v>
      </c>
      <c r="F172" s="12" t="n">
        <f aca="false">SUMIFS(Data!$H$4:$H$2311,Data!$B$4:$B$2311,"UCO",Data!$C$4:$C$2311,"Hungary",Data!$E$4:$E$2311,2024,Data!$F$4:$F$2311,5)</f>
        <v>0</v>
      </c>
      <c r="G172" s="12" t="n">
        <f aca="false">SUMIFS(Data!$H$4:$H$2311,Data!$B$4:$B$2311,"UCO",Data!$C$4:$C$2311,"Hungary",Data!$E$4:$E$2311,2024,Data!$F$4:$F$2311,6)</f>
        <v>0</v>
      </c>
      <c r="H172" s="12" t="n">
        <f aca="false">SUMIFS(Data!$H$4:$H$2311,Data!$B$4:$B$2311,"UCO",Data!$C$4:$C$2311,"Hungary",Data!$E$4:$E$2311,2024,Data!$F$4:$F$2311,7)</f>
        <v>0</v>
      </c>
      <c r="I172" s="12" t="n">
        <f aca="false">SUMIFS(Data!$H$4:$H$2311,Data!$B$4:$B$2311,"UCO",Data!$C$4:$C$2311,"Hungary",Data!$E$4:$E$2311,2024,Data!$F$4:$F$2311,8)</f>
        <v>0.736383638905093</v>
      </c>
      <c r="J172" s="12" t="n">
        <f aca="false">SUMIFS(Data!$H$4:$H$2311,Data!$B$4:$B$2311,"UCO",Data!$C$4:$C$2311,"Hungary",Data!$E$4:$E$2311,2024,Data!$F$4:$F$2311,9)</f>
        <v>0.886227429266994</v>
      </c>
      <c r="K172" s="12" t="n">
        <f aca="false">SUMIFS(Data!$H$4:$H$2311,Data!$B$4:$B$2311,"UCO",Data!$C$4:$C$2311,"Hungary",Data!$E$4:$E$2311,2024,Data!$F$4:$F$2311,10)</f>
        <v>0</v>
      </c>
      <c r="L172" s="12" t="n">
        <f aca="false">SUMIFS(Data!$H$4:$H$2311,Data!$B$4:$B$2311,"UCO",Data!$C$4:$C$2311,"Hungary",Data!$E$4:$E$2311,2024,Data!$F$4:$F$2311,11)</f>
        <v>0</v>
      </c>
      <c r="M172" s="12" t="n">
        <f aca="false">SUMIFS(Data!$H$4:$H$2311,Data!$B$4:$B$2311,"UCO",Data!$C$4:$C$2311,"Hungary",Data!$E$4:$E$2311,2024,Data!$F$4:$F$2311,12)</f>
        <v>0</v>
      </c>
      <c r="N172" s="13" t="n">
        <f aca="false">SUM(B172:M172)</f>
        <v>1.62261106817209</v>
      </c>
    </row>
    <row r="173" customFormat="false" ht="15" hidden="false" customHeight="false" outlineLevel="0" collapsed="false">
      <c r="A173" s="11" t="s">
        <v>79</v>
      </c>
      <c r="B173" s="12" t="n">
        <f aca="false">SUMIFS(Data!$H$4:$H$2311,Data!$B$4:$B$2311,"UCO",Data!$C$4:$C$2311,"Italy",Data!$E$4:$E$2311,2024,Data!$F$4:$F$2311,1)</f>
        <v>0</v>
      </c>
      <c r="C173" s="12" t="n">
        <f aca="false">SUMIFS(Data!$H$4:$H$2311,Data!$B$4:$B$2311,"UCO",Data!$C$4:$C$2311,"Italy",Data!$E$4:$E$2311,2024,Data!$F$4:$F$2311,2)</f>
        <v>0.0070195184279704</v>
      </c>
      <c r="D173" s="12" t="n">
        <f aca="false">SUMIFS(Data!$H$4:$H$2311,Data!$B$4:$B$2311,"UCO",Data!$C$4:$C$2311,"Italy",Data!$E$4:$E$2311,2024,Data!$F$4:$F$2311,3)</f>
        <v>0.0087964442611815</v>
      </c>
      <c r="E173" s="12" t="n">
        <f aca="false">SUMIFS(Data!$H$4:$H$2311,Data!$B$4:$B$2311,"UCO",Data!$C$4:$C$2311,"Italy",Data!$E$4:$E$2311,2024,Data!$F$4:$F$2311,4)</f>
        <v>0</v>
      </c>
      <c r="F173" s="12" t="n">
        <f aca="false">SUMIFS(Data!$H$4:$H$2311,Data!$B$4:$B$2311,"UCO",Data!$C$4:$C$2311,"Italy",Data!$E$4:$E$2311,2024,Data!$F$4:$F$2311,5)</f>
        <v>0</v>
      </c>
      <c r="G173" s="12" t="n">
        <f aca="false">SUMIFS(Data!$H$4:$H$2311,Data!$B$4:$B$2311,"UCO",Data!$C$4:$C$2311,"Italy",Data!$E$4:$E$2311,2024,Data!$F$4:$F$2311,6)</f>
        <v>0.01058218858488</v>
      </c>
      <c r="H173" s="12" t="n">
        <f aca="false">SUMIFS(Data!$H$4:$H$2311,Data!$B$4:$B$2311,"UCO",Data!$C$4:$C$2311,"Italy",Data!$E$4:$E$2311,2024,Data!$F$4:$F$2311,7)</f>
        <v>0.0554947606372082</v>
      </c>
      <c r="I173" s="12" t="n">
        <f aca="false">SUMIFS(Data!$H$4:$H$2311,Data!$B$4:$B$2311,"UCO",Data!$C$4:$C$2311,"Italy",Data!$E$4:$E$2311,2024,Data!$F$4:$F$2311,8)</f>
        <v>0.340113745740665</v>
      </c>
      <c r="J173" s="12" t="n">
        <f aca="false">SUMIFS(Data!$H$4:$H$2311,Data!$B$4:$B$2311,"UCO",Data!$C$4:$C$2311,"Italy",Data!$E$4:$E$2311,2024,Data!$F$4:$F$2311,9)</f>
        <v>0.406816807787359</v>
      </c>
      <c r="K173" s="12" t="n">
        <f aca="false">SUMIFS(Data!$H$4:$H$2311,Data!$B$4:$B$2311,"UCO",Data!$C$4:$C$2311,"Italy",Data!$E$4:$E$2311,2024,Data!$F$4:$F$2311,10)</f>
        <v>0.556667212017125</v>
      </c>
      <c r="L173" s="12" t="n">
        <f aca="false">SUMIFS(Data!$H$4:$H$2311,Data!$B$4:$B$2311,"UCO",Data!$C$4:$C$2311,"Italy",Data!$E$4:$E$2311,2024,Data!$F$4:$F$2311,11)</f>
        <v>0.000308647167059</v>
      </c>
      <c r="M173" s="12" t="n">
        <f aca="false">SUMIFS(Data!$H$4:$H$2311,Data!$B$4:$B$2311,"UCO",Data!$C$4:$C$2311,"Italy",Data!$E$4:$E$2311,2024,Data!$F$4:$F$2311,12)</f>
        <v>0.00132277357311</v>
      </c>
      <c r="N173" s="13" t="n">
        <f aca="false">SUM(B173:M173)</f>
        <v>1.38712209819656</v>
      </c>
    </row>
    <row r="174" customFormat="false" ht="15" hidden="false" customHeight="false" outlineLevel="0" collapsed="false">
      <c r="A174" s="11" t="s">
        <v>140</v>
      </c>
      <c r="B174" s="12" t="n">
        <f aca="false">SUMIFS(Data!$H$4:$H$2311,Data!$B$4:$B$2311,"UCO",Data!$C$4:$C$2311,"Lithuania",Data!$E$4:$E$2311,2024,Data!$F$4:$F$2311,1)</f>
        <v>0.541309810833318</v>
      </c>
      <c r="C174" s="12" t="n">
        <f aca="false">SUMIFS(Data!$H$4:$H$2311,Data!$B$4:$B$2311,"UCO",Data!$C$4:$C$2311,"Lithuania",Data!$E$4:$E$2311,2024,Data!$F$4:$F$2311,2)</f>
        <v>0</v>
      </c>
      <c r="D174" s="12" t="n">
        <f aca="false">SUMIFS(Data!$H$4:$H$2311,Data!$B$4:$B$2311,"UCO",Data!$C$4:$C$2311,"Lithuania",Data!$E$4:$E$2311,2024,Data!$F$4:$F$2311,3)</f>
        <v>0.166303502856633</v>
      </c>
      <c r="E174" s="12" t="n">
        <f aca="false">SUMIFS(Data!$H$4:$H$2311,Data!$B$4:$B$2311,"UCO",Data!$C$4:$C$2311,"Lithuania",Data!$E$4:$E$2311,2024,Data!$F$4:$F$2311,4)</f>
        <v>0.267471430350708</v>
      </c>
      <c r="F174" s="12" t="n">
        <f aca="false">SUMIFS(Data!$H$4:$H$2311,Data!$B$4:$B$2311,"UCO",Data!$C$4:$C$2311,"Lithuania",Data!$E$4:$E$2311,2024,Data!$F$4:$F$2311,5)</f>
        <v>0</v>
      </c>
      <c r="G174" s="12" t="n">
        <f aca="false">SUMIFS(Data!$H$4:$H$2311,Data!$B$4:$B$2311,"UCO",Data!$C$4:$C$2311,"Lithuania",Data!$E$4:$E$2311,2024,Data!$F$4:$F$2311,6)</f>
        <v>0</v>
      </c>
      <c r="H174" s="12" t="n">
        <f aca="false">SUMIFS(Data!$H$4:$H$2311,Data!$B$4:$B$2311,"UCO",Data!$C$4:$C$2311,"Lithuania",Data!$E$4:$E$2311,2024,Data!$F$4:$F$2311,7)</f>
        <v>0.264270318303781</v>
      </c>
      <c r="I174" s="12" t="n">
        <f aca="false">SUMIFS(Data!$H$4:$H$2311,Data!$B$4:$B$2311,"UCO",Data!$C$4:$C$2311,"Lithuania",Data!$E$4:$E$2311,2024,Data!$F$4:$F$2311,8)</f>
        <v>0</v>
      </c>
      <c r="J174" s="12" t="n">
        <f aca="false">SUMIFS(Data!$H$4:$H$2311,Data!$B$4:$B$2311,"UCO",Data!$C$4:$C$2311,"Lithuania",Data!$E$4:$E$2311,2024,Data!$F$4:$F$2311,9)</f>
        <v>0.10264061540547</v>
      </c>
      <c r="K174" s="12" t="n">
        <f aca="false">SUMIFS(Data!$H$4:$H$2311,Data!$B$4:$B$2311,"UCO",Data!$C$4:$C$2311,"Lithuania",Data!$E$4:$E$2311,2024,Data!$F$4:$F$2311,10)</f>
        <v>0</v>
      </c>
      <c r="L174" s="12" t="n">
        <f aca="false">SUMIFS(Data!$H$4:$H$2311,Data!$B$4:$B$2311,"UCO",Data!$C$4:$C$2311,"Lithuania",Data!$E$4:$E$2311,2024,Data!$F$4:$F$2311,11)</f>
        <v>0</v>
      </c>
      <c r="M174" s="12" t="n">
        <f aca="false">SUMIFS(Data!$H$4:$H$2311,Data!$B$4:$B$2311,"UCO",Data!$C$4:$C$2311,"Lithuania",Data!$E$4:$E$2311,2024,Data!$F$4:$F$2311,12)</f>
        <v>0</v>
      </c>
      <c r="N174" s="13" t="n">
        <f aca="false">SUM(B174:M174)</f>
        <v>1.34199567774991</v>
      </c>
    </row>
    <row r="175" customFormat="false" ht="15" hidden="false" customHeight="false" outlineLevel="0" collapsed="false">
      <c r="A175" s="11" t="s">
        <v>133</v>
      </c>
      <c r="B175" s="12" t="n">
        <f aca="false">SUMIFS(Data!$H$4:$H$2311,Data!$B$4:$B$2311,"UCO",Data!$C$4:$C$2311,"Belarus",Data!$E$4:$E$2311,2024,Data!$F$4:$F$2311,1)</f>
        <v>0.405050905067257</v>
      </c>
      <c r="C175" s="12" t="n">
        <f aca="false">SUMIFS(Data!$H$4:$H$2311,Data!$B$4:$B$2311,"UCO",Data!$C$4:$C$2311,"Belarus",Data!$E$4:$E$2311,2024,Data!$F$4:$F$2311,2)</f>
        <v>0</v>
      </c>
      <c r="D175" s="12" t="n">
        <f aca="false">SUMIFS(Data!$H$4:$H$2311,Data!$B$4:$B$2311,"UCO",Data!$C$4:$C$2311,"Belarus",Data!$E$4:$E$2311,2024,Data!$F$4:$F$2311,3)</f>
        <v>0.883447400140841</v>
      </c>
      <c r="E175" s="12" t="n">
        <f aca="false">SUMIFS(Data!$H$4:$H$2311,Data!$B$4:$B$2311,"UCO",Data!$C$4:$C$2311,"Belarus",Data!$E$4:$E$2311,2024,Data!$F$4:$F$2311,4)</f>
        <v>0</v>
      </c>
      <c r="F175" s="12" t="n">
        <f aca="false">SUMIFS(Data!$H$4:$H$2311,Data!$B$4:$B$2311,"UCO",Data!$C$4:$C$2311,"Belarus",Data!$E$4:$E$2311,2024,Data!$F$4:$F$2311,5)</f>
        <v>0</v>
      </c>
      <c r="G175" s="12" t="n">
        <f aca="false">SUMIFS(Data!$H$4:$H$2311,Data!$B$4:$B$2311,"UCO",Data!$C$4:$C$2311,"Belarus",Data!$E$4:$E$2311,2024,Data!$F$4:$F$2311,6)</f>
        <v>0</v>
      </c>
      <c r="H175" s="12" t="n">
        <f aca="false">SUMIFS(Data!$H$4:$H$2311,Data!$B$4:$B$2311,"UCO",Data!$C$4:$C$2311,"Belarus",Data!$E$4:$E$2311,2024,Data!$F$4:$F$2311,7)</f>
        <v>0</v>
      </c>
      <c r="I175" s="12" t="n">
        <f aca="false">SUMIFS(Data!$H$4:$H$2311,Data!$B$4:$B$2311,"UCO",Data!$C$4:$C$2311,"Belarus",Data!$E$4:$E$2311,2024,Data!$F$4:$F$2311,8)</f>
        <v>0</v>
      </c>
      <c r="J175" s="12" t="n">
        <f aca="false">SUMIFS(Data!$H$4:$H$2311,Data!$B$4:$B$2311,"UCO",Data!$C$4:$C$2311,"Belarus",Data!$E$4:$E$2311,2024,Data!$F$4:$F$2311,9)</f>
        <v>0</v>
      </c>
      <c r="K175" s="12" t="n">
        <f aca="false">SUMIFS(Data!$H$4:$H$2311,Data!$B$4:$B$2311,"UCO",Data!$C$4:$C$2311,"Belarus",Data!$E$4:$E$2311,2024,Data!$F$4:$F$2311,10)</f>
        <v>0</v>
      </c>
      <c r="L175" s="12" t="n">
        <f aca="false">SUMIFS(Data!$H$4:$H$2311,Data!$B$4:$B$2311,"UCO",Data!$C$4:$C$2311,"Belarus",Data!$E$4:$E$2311,2024,Data!$F$4:$F$2311,11)</f>
        <v>0</v>
      </c>
      <c r="M175" s="12" t="n">
        <f aca="false">SUMIFS(Data!$H$4:$H$2311,Data!$B$4:$B$2311,"UCO",Data!$C$4:$C$2311,"Belarus",Data!$E$4:$E$2311,2024,Data!$F$4:$F$2311,12)</f>
        <v>0</v>
      </c>
      <c r="N175" s="13" t="n">
        <f aca="false">SUM(B175:M175)</f>
        <v>1.2884983052081</v>
      </c>
    </row>
    <row r="176" customFormat="false" ht="15" hidden="false" customHeight="false" outlineLevel="0" collapsed="false">
      <c r="A176" s="11" t="s">
        <v>160</v>
      </c>
      <c r="B176" s="12" t="n">
        <f aca="false">SUMIFS(Data!$H$4:$H$2311,Data!$B$4:$B$2311,"UCO",Data!$C$4:$C$2311,"Romania",Data!$E$4:$E$2311,2024,Data!$F$4:$F$2311,1)</f>
        <v>0</v>
      </c>
      <c r="C176" s="12" t="n">
        <f aca="false">SUMIFS(Data!$H$4:$H$2311,Data!$B$4:$B$2311,"UCO",Data!$C$4:$C$2311,"Romania",Data!$E$4:$E$2311,2024,Data!$F$4:$F$2311,2)</f>
        <v>0</v>
      </c>
      <c r="D176" s="12" t="n">
        <f aca="false">SUMIFS(Data!$H$4:$H$2311,Data!$B$4:$B$2311,"UCO",Data!$C$4:$C$2311,"Romania",Data!$E$4:$E$2311,2024,Data!$F$4:$F$2311,3)</f>
        <v>0</v>
      </c>
      <c r="E176" s="12" t="n">
        <f aca="false">SUMIFS(Data!$H$4:$H$2311,Data!$B$4:$B$2311,"UCO",Data!$C$4:$C$2311,"Romania",Data!$E$4:$E$2311,2024,Data!$F$4:$F$2311,4)</f>
        <v>0</v>
      </c>
      <c r="F176" s="12" t="n">
        <f aca="false">SUMIFS(Data!$H$4:$H$2311,Data!$B$4:$B$2311,"UCO",Data!$C$4:$C$2311,"Romania",Data!$E$4:$E$2311,2024,Data!$F$4:$F$2311,5)</f>
        <v>0</v>
      </c>
      <c r="G176" s="12" t="n">
        <f aca="false">SUMIFS(Data!$H$4:$H$2311,Data!$B$4:$B$2311,"UCO",Data!$C$4:$C$2311,"Romania",Data!$E$4:$E$2311,2024,Data!$F$4:$F$2311,6)</f>
        <v>0</v>
      </c>
      <c r="H176" s="12" t="n">
        <f aca="false">SUMIFS(Data!$H$4:$H$2311,Data!$B$4:$B$2311,"UCO",Data!$C$4:$C$2311,"Romania",Data!$E$4:$E$2311,2024,Data!$F$4:$F$2311,7)</f>
        <v>0.160915405168832</v>
      </c>
      <c r="I176" s="12" t="n">
        <f aca="false">SUMIFS(Data!$H$4:$H$2311,Data!$B$4:$B$2311,"UCO",Data!$C$4:$C$2311,"Romania",Data!$E$4:$E$2311,2024,Data!$F$4:$F$2311,8)</f>
        <v>0.162363842231387</v>
      </c>
      <c r="J176" s="12" t="n">
        <f aca="false">SUMIFS(Data!$H$4:$H$2311,Data!$B$4:$B$2311,"UCO",Data!$C$4:$C$2311,"Romania",Data!$E$4:$E$2311,2024,Data!$F$4:$F$2311,9)</f>
        <v>0.28310881860749</v>
      </c>
      <c r="K176" s="12" t="n">
        <f aca="false">SUMIFS(Data!$H$4:$H$2311,Data!$B$4:$B$2311,"UCO",Data!$C$4:$C$2311,"Romania",Data!$E$4:$E$2311,2024,Data!$F$4:$F$2311,10)</f>
        <v>0.101721287772159</v>
      </c>
      <c r="L176" s="12" t="n">
        <f aca="false">SUMIFS(Data!$H$4:$H$2311,Data!$B$4:$B$2311,"UCO",Data!$C$4:$C$2311,"Romania",Data!$E$4:$E$2311,2024,Data!$F$4:$F$2311,11)</f>
        <v>0</v>
      </c>
      <c r="M176" s="12" t="n">
        <f aca="false">SUMIFS(Data!$H$4:$H$2311,Data!$B$4:$B$2311,"UCO",Data!$C$4:$C$2311,"Romania",Data!$E$4:$E$2311,2024,Data!$F$4:$F$2311,12)</f>
        <v>0.224177051302817</v>
      </c>
      <c r="N176" s="13" t="n">
        <f aca="false">SUM(B176:M176)</f>
        <v>0.932286405082684</v>
      </c>
    </row>
    <row r="177" customFormat="false" ht="15" hidden="false" customHeight="false" outlineLevel="0" collapsed="false">
      <c r="A177" s="11" t="s">
        <v>161</v>
      </c>
      <c r="B177" s="12" t="n">
        <f aca="false">SUMIFS(Data!$H$4:$H$2311,Data!$B$4:$B$2311,"UCO",Data!$C$4:$C$2311,"Trinidad and Tobago",Data!$E$4:$E$2311,2024,Data!$F$4:$F$2311,1)</f>
        <v>0.511298283082074</v>
      </c>
      <c r="C177" s="12" t="n">
        <f aca="false">SUMIFS(Data!$H$4:$H$2311,Data!$B$4:$B$2311,"UCO",Data!$C$4:$C$2311,"Trinidad and Tobago",Data!$E$4:$E$2311,2024,Data!$F$4:$F$2311,2)</f>
        <v>0</v>
      </c>
      <c r="D177" s="12" t="n">
        <f aca="false">SUMIFS(Data!$H$4:$H$2311,Data!$B$4:$B$2311,"UCO",Data!$C$4:$C$2311,"Trinidad and Tobago",Data!$E$4:$E$2311,2024,Data!$F$4:$F$2311,3)</f>
        <v>0</v>
      </c>
      <c r="E177" s="12" t="n">
        <f aca="false">SUMIFS(Data!$H$4:$H$2311,Data!$B$4:$B$2311,"UCO",Data!$C$4:$C$2311,"Trinidad and Tobago",Data!$E$4:$E$2311,2024,Data!$F$4:$F$2311,4)</f>
        <v>0</v>
      </c>
      <c r="F177" s="12" t="n">
        <f aca="false">SUMIFS(Data!$H$4:$H$2311,Data!$B$4:$B$2311,"UCO",Data!$C$4:$C$2311,"Trinidad and Tobago",Data!$E$4:$E$2311,2024,Data!$F$4:$F$2311,5)</f>
        <v>0</v>
      </c>
      <c r="G177" s="12" t="n">
        <f aca="false">SUMIFS(Data!$H$4:$H$2311,Data!$B$4:$B$2311,"UCO",Data!$C$4:$C$2311,"Trinidad and Tobago",Data!$E$4:$E$2311,2024,Data!$F$4:$F$2311,6)</f>
        <v>0</v>
      </c>
      <c r="H177" s="12" t="n">
        <f aca="false">SUMIFS(Data!$H$4:$H$2311,Data!$B$4:$B$2311,"UCO",Data!$C$4:$C$2311,"Trinidad and Tobago",Data!$E$4:$E$2311,2024,Data!$F$4:$F$2311,7)</f>
        <v>7.716179176475E-005</v>
      </c>
      <c r="I177" s="12" t="n">
        <f aca="false">SUMIFS(Data!$H$4:$H$2311,Data!$B$4:$B$2311,"UCO",Data!$C$4:$C$2311,"Trinidad and Tobago",Data!$E$4:$E$2311,2024,Data!$F$4:$F$2311,8)</f>
        <v>0</v>
      </c>
      <c r="J177" s="12" t="n">
        <f aca="false">SUMIFS(Data!$H$4:$H$2311,Data!$B$4:$B$2311,"UCO",Data!$C$4:$C$2311,"Trinidad and Tobago",Data!$E$4:$E$2311,2024,Data!$F$4:$F$2311,9)</f>
        <v>0</v>
      </c>
      <c r="K177" s="12" t="n">
        <f aca="false">SUMIFS(Data!$H$4:$H$2311,Data!$B$4:$B$2311,"UCO",Data!$C$4:$C$2311,"Trinidad and Tobago",Data!$E$4:$E$2311,2024,Data!$F$4:$F$2311,10)</f>
        <v>0</v>
      </c>
      <c r="L177" s="12" t="n">
        <f aca="false">SUMIFS(Data!$H$4:$H$2311,Data!$B$4:$B$2311,"UCO",Data!$C$4:$C$2311,"Trinidad and Tobago",Data!$E$4:$E$2311,2024,Data!$F$4:$F$2311,11)</f>
        <v>0</v>
      </c>
      <c r="M177" s="12" t="n">
        <f aca="false">SUMIFS(Data!$H$4:$H$2311,Data!$B$4:$B$2311,"UCO",Data!$C$4:$C$2311,"Trinidad and Tobago",Data!$E$4:$E$2311,2024,Data!$F$4:$F$2311,12)</f>
        <v>0</v>
      </c>
      <c r="N177" s="13" t="n">
        <f aca="false">SUM(B177:M177)</f>
        <v>0.511375444873839</v>
      </c>
    </row>
    <row r="178" customFormat="false" ht="15" hidden="false" customHeight="false" outlineLevel="0" collapsed="false">
      <c r="A178" s="11" t="s">
        <v>138</v>
      </c>
      <c r="B178" s="12" t="n">
        <f aca="false">SUMIFS(Data!$H$4:$H$2311,Data!$B$4:$B$2311,"UCO",Data!$C$4:$C$2311,"Slovenia",Data!$E$4:$E$2311,2024,Data!$F$4:$F$2311,1)</f>
        <v>0.164522167778178</v>
      </c>
      <c r="C178" s="12" t="n">
        <f aca="false">SUMIFS(Data!$H$4:$H$2311,Data!$B$4:$B$2311,"UCO",Data!$C$4:$C$2311,"Slovenia",Data!$E$4:$E$2311,2024,Data!$F$4:$F$2311,2)</f>
        <v>0</v>
      </c>
      <c r="D178" s="12" t="n">
        <f aca="false">SUMIFS(Data!$H$4:$H$2311,Data!$B$4:$B$2311,"UCO",Data!$C$4:$C$2311,"Slovenia",Data!$E$4:$E$2311,2024,Data!$F$4:$F$2311,3)</f>
        <v>0</v>
      </c>
      <c r="E178" s="12" t="n">
        <f aca="false">SUMIFS(Data!$H$4:$H$2311,Data!$B$4:$B$2311,"UCO",Data!$C$4:$C$2311,"Slovenia",Data!$E$4:$E$2311,2024,Data!$F$4:$F$2311,4)</f>
        <v>0</v>
      </c>
      <c r="F178" s="12" t="n">
        <f aca="false">SUMIFS(Data!$H$4:$H$2311,Data!$B$4:$B$2311,"UCO",Data!$C$4:$C$2311,"Slovenia",Data!$E$4:$E$2311,2024,Data!$F$4:$F$2311,5)</f>
        <v>0</v>
      </c>
      <c r="G178" s="12" t="n">
        <f aca="false">SUMIFS(Data!$H$4:$H$2311,Data!$B$4:$B$2311,"UCO",Data!$C$4:$C$2311,"Slovenia",Data!$E$4:$E$2311,2024,Data!$F$4:$F$2311,6)</f>
        <v>0</v>
      </c>
      <c r="H178" s="12" t="n">
        <f aca="false">SUMIFS(Data!$H$4:$H$2311,Data!$B$4:$B$2311,"UCO",Data!$C$4:$C$2311,"Slovenia",Data!$E$4:$E$2311,2024,Data!$F$4:$F$2311,7)</f>
        <v>0.166929615681238</v>
      </c>
      <c r="I178" s="12" t="n">
        <f aca="false">SUMIFS(Data!$H$4:$H$2311,Data!$B$4:$B$2311,"UCO",Data!$C$4:$C$2311,"Slovenia",Data!$E$4:$E$2311,2024,Data!$F$4:$F$2311,8)</f>
        <v>0.0552676845071577</v>
      </c>
      <c r="J178" s="12" t="n">
        <f aca="false">SUMIFS(Data!$H$4:$H$2311,Data!$B$4:$B$2311,"UCO",Data!$C$4:$C$2311,"Slovenia",Data!$E$4:$E$2311,2024,Data!$F$4:$F$2311,9)</f>
        <v>0.052838190377879</v>
      </c>
      <c r="K178" s="12" t="n">
        <f aca="false">SUMIFS(Data!$H$4:$H$2311,Data!$B$4:$B$2311,"UCO",Data!$C$4:$C$2311,"Slovenia",Data!$E$4:$E$2311,2024,Data!$F$4:$F$2311,10)</f>
        <v>0</v>
      </c>
      <c r="L178" s="12" t="n">
        <f aca="false">SUMIFS(Data!$H$4:$H$2311,Data!$B$4:$B$2311,"UCO",Data!$C$4:$C$2311,"Slovenia",Data!$E$4:$E$2311,2024,Data!$F$4:$F$2311,11)</f>
        <v>0</v>
      </c>
      <c r="M178" s="12" t="n">
        <f aca="false">SUMIFS(Data!$H$4:$H$2311,Data!$B$4:$B$2311,"UCO",Data!$C$4:$C$2311,"Slovenia",Data!$E$4:$E$2311,2024,Data!$F$4:$F$2311,12)</f>
        <v>0.0549899020568046</v>
      </c>
      <c r="N178" s="13" t="n">
        <f aca="false">SUM(B178:M178)</f>
        <v>0.494547560401258</v>
      </c>
    </row>
    <row r="179" customFormat="false" ht="15" hidden="false" customHeight="false" outlineLevel="0" collapsed="false">
      <c r="A179" s="11" t="s">
        <v>162</v>
      </c>
      <c r="B179" s="12" t="n">
        <f aca="false">SUMIFS(Data!$H$4:$H$2311,Data!$B$4:$B$2311,"UCO",Data!$C$4:$C$2311,"Ukraine",Data!$E$4:$E$2311,2024,Data!$F$4:$F$2311,1)</f>
        <v>0</v>
      </c>
      <c r="C179" s="12" t="n">
        <f aca="false">SUMIFS(Data!$H$4:$H$2311,Data!$B$4:$B$2311,"UCO",Data!$C$4:$C$2311,"Ukraine",Data!$E$4:$E$2311,2024,Data!$F$4:$F$2311,2)</f>
        <v>0</v>
      </c>
      <c r="D179" s="12" t="n">
        <f aca="false">SUMIFS(Data!$H$4:$H$2311,Data!$B$4:$B$2311,"UCO",Data!$C$4:$C$2311,"Ukraine",Data!$E$4:$E$2311,2024,Data!$F$4:$F$2311,3)</f>
        <v>0</v>
      </c>
      <c r="E179" s="12" t="n">
        <f aca="false">SUMIFS(Data!$H$4:$H$2311,Data!$B$4:$B$2311,"UCO",Data!$C$4:$C$2311,"Ukraine",Data!$E$4:$E$2311,2024,Data!$F$4:$F$2311,4)</f>
        <v>0.303660310688375</v>
      </c>
      <c r="F179" s="12" t="n">
        <f aca="false">SUMIFS(Data!$H$4:$H$2311,Data!$B$4:$B$2311,"UCO",Data!$C$4:$C$2311,"Ukraine",Data!$E$4:$E$2311,2024,Data!$F$4:$F$2311,5)</f>
        <v>0</v>
      </c>
      <c r="G179" s="12" t="n">
        <f aca="false">SUMIFS(Data!$H$4:$H$2311,Data!$B$4:$B$2311,"UCO",Data!$C$4:$C$2311,"Ukraine",Data!$E$4:$E$2311,2024,Data!$F$4:$F$2311,6)</f>
        <v>0</v>
      </c>
      <c r="H179" s="12" t="n">
        <f aca="false">SUMIFS(Data!$H$4:$H$2311,Data!$B$4:$B$2311,"UCO",Data!$C$4:$C$2311,"Ukraine",Data!$E$4:$E$2311,2024,Data!$F$4:$F$2311,7)</f>
        <v>0</v>
      </c>
      <c r="I179" s="12" t="n">
        <f aca="false">SUMIFS(Data!$H$4:$H$2311,Data!$B$4:$B$2311,"UCO",Data!$C$4:$C$2311,"Ukraine",Data!$E$4:$E$2311,2024,Data!$F$4:$F$2311,8)</f>
        <v>0</v>
      </c>
      <c r="J179" s="12" t="n">
        <f aca="false">SUMIFS(Data!$H$4:$H$2311,Data!$B$4:$B$2311,"UCO",Data!$C$4:$C$2311,"Ukraine",Data!$E$4:$E$2311,2024,Data!$F$4:$F$2311,9)</f>
        <v>0</v>
      </c>
      <c r="K179" s="12" t="n">
        <f aca="false">SUMIFS(Data!$H$4:$H$2311,Data!$B$4:$B$2311,"UCO",Data!$C$4:$C$2311,"Ukraine",Data!$E$4:$E$2311,2024,Data!$F$4:$F$2311,10)</f>
        <v>0</v>
      </c>
      <c r="L179" s="12" t="n">
        <f aca="false">SUMIFS(Data!$H$4:$H$2311,Data!$B$4:$B$2311,"UCO",Data!$C$4:$C$2311,"Ukraine",Data!$E$4:$E$2311,2024,Data!$F$4:$F$2311,11)</f>
        <v>0</v>
      </c>
      <c r="M179" s="12" t="n">
        <f aca="false">SUMIFS(Data!$H$4:$H$2311,Data!$B$4:$B$2311,"UCO",Data!$C$4:$C$2311,"Ukraine",Data!$E$4:$E$2311,2024,Data!$F$4:$F$2311,12)</f>
        <v>0</v>
      </c>
      <c r="N179" s="13" t="n">
        <f aca="false">SUM(B179:M179)</f>
        <v>0.303660310688375</v>
      </c>
    </row>
    <row r="180" customFormat="false" ht="15" hidden="false" customHeight="false" outlineLevel="0" collapsed="false">
      <c r="A180" s="11" t="s">
        <v>136</v>
      </c>
      <c r="B180" s="12" t="n">
        <f aca="false">SUMIFS(Data!$H$4:$H$2311,Data!$B$4:$B$2311,"UCO",Data!$C$4:$C$2311,"El Salvador",Data!$E$4:$E$2311,2024,Data!$F$4:$F$2311,1)</f>
        <v>0</v>
      </c>
      <c r="C180" s="12" t="n">
        <f aca="false">SUMIFS(Data!$H$4:$H$2311,Data!$B$4:$B$2311,"UCO",Data!$C$4:$C$2311,"El Salvador",Data!$E$4:$E$2311,2024,Data!$F$4:$F$2311,2)</f>
        <v>0</v>
      </c>
      <c r="D180" s="12" t="n">
        <f aca="false">SUMIFS(Data!$H$4:$H$2311,Data!$B$4:$B$2311,"UCO",Data!$C$4:$C$2311,"El Salvador",Data!$E$4:$E$2311,2024,Data!$F$4:$F$2311,3)</f>
        <v>0</v>
      </c>
      <c r="E180" s="12" t="n">
        <f aca="false">SUMIFS(Data!$H$4:$H$2311,Data!$B$4:$B$2311,"UCO",Data!$C$4:$C$2311,"El Salvador",Data!$E$4:$E$2311,2024,Data!$F$4:$F$2311,4)</f>
        <v>0</v>
      </c>
      <c r="F180" s="12" t="n">
        <f aca="false">SUMIFS(Data!$H$4:$H$2311,Data!$B$4:$B$2311,"UCO",Data!$C$4:$C$2311,"El Salvador",Data!$E$4:$E$2311,2024,Data!$F$4:$F$2311,5)</f>
        <v>0</v>
      </c>
      <c r="G180" s="12" t="n">
        <f aca="false">SUMIFS(Data!$H$4:$H$2311,Data!$B$4:$B$2311,"UCO",Data!$C$4:$C$2311,"El Salvador",Data!$E$4:$E$2311,2024,Data!$F$4:$F$2311,6)</f>
        <v>0</v>
      </c>
      <c r="H180" s="12" t="n">
        <f aca="false">SUMIFS(Data!$H$4:$H$2311,Data!$B$4:$B$2311,"UCO",Data!$C$4:$C$2311,"El Salvador",Data!$E$4:$E$2311,2024,Data!$F$4:$F$2311,7)</f>
        <v>0</v>
      </c>
      <c r="I180" s="12" t="n">
        <f aca="false">SUMIFS(Data!$H$4:$H$2311,Data!$B$4:$B$2311,"UCO",Data!$C$4:$C$2311,"El Salvador",Data!$E$4:$E$2311,2024,Data!$F$4:$F$2311,8)</f>
        <v>0</v>
      </c>
      <c r="J180" s="12" t="n">
        <f aca="false">SUMIFS(Data!$H$4:$H$2311,Data!$B$4:$B$2311,"UCO",Data!$C$4:$C$2311,"El Salvador",Data!$E$4:$E$2311,2024,Data!$F$4:$F$2311,9)</f>
        <v>0</v>
      </c>
      <c r="K180" s="12" t="n">
        <f aca="false">SUMIFS(Data!$H$4:$H$2311,Data!$B$4:$B$2311,"UCO",Data!$C$4:$C$2311,"El Salvador",Data!$E$4:$E$2311,2024,Data!$F$4:$F$2311,10)</f>
        <v>0</v>
      </c>
      <c r="L180" s="12" t="n">
        <f aca="false">SUMIFS(Data!$H$4:$H$2311,Data!$B$4:$B$2311,"UCO",Data!$C$4:$C$2311,"El Salvador",Data!$E$4:$E$2311,2024,Data!$F$4:$F$2311,11)</f>
        <v>0</v>
      </c>
      <c r="M180" s="12" t="n">
        <f aca="false">SUMIFS(Data!$H$4:$H$2311,Data!$B$4:$B$2311,"UCO",Data!$C$4:$C$2311,"El Salvador",Data!$E$4:$E$2311,2024,Data!$F$4:$F$2311,12)</f>
        <v>0.142198159109325</v>
      </c>
      <c r="N180" s="13" t="n">
        <f aca="false">SUM(B180:M180)</f>
        <v>0.142198159109325</v>
      </c>
    </row>
    <row r="181" customFormat="false" ht="15" hidden="false" customHeight="false" outlineLevel="0" collapsed="false">
      <c r="A181" s="11" t="s">
        <v>137</v>
      </c>
      <c r="B181" s="12" t="n">
        <f aca="false">SUMIFS(Data!$H$4:$H$2311,Data!$B$4:$B$2311,"UCO",Data!$C$4:$C$2311,"Guatemala",Data!$E$4:$E$2311,2024,Data!$F$4:$F$2311,1)</f>
        <v>0</v>
      </c>
      <c r="C181" s="12" t="n">
        <f aca="false">SUMIFS(Data!$H$4:$H$2311,Data!$B$4:$B$2311,"UCO",Data!$C$4:$C$2311,"Guatemala",Data!$E$4:$E$2311,2024,Data!$F$4:$F$2311,2)</f>
        <v>0</v>
      </c>
      <c r="D181" s="12" t="n">
        <f aca="false">SUMIFS(Data!$H$4:$H$2311,Data!$B$4:$B$2311,"UCO",Data!$C$4:$C$2311,"Guatemala",Data!$E$4:$E$2311,2024,Data!$F$4:$F$2311,3)</f>
        <v>0</v>
      </c>
      <c r="E181" s="12" t="n">
        <f aca="false">SUMIFS(Data!$H$4:$H$2311,Data!$B$4:$B$2311,"UCO",Data!$C$4:$C$2311,"Guatemala",Data!$E$4:$E$2311,2024,Data!$F$4:$F$2311,4)</f>
        <v>0</v>
      </c>
      <c r="F181" s="12" t="n">
        <f aca="false">SUMIFS(Data!$H$4:$H$2311,Data!$B$4:$B$2311,"UCO",Data!$C$4:$C$2311,"Guatemala",Data!$E$4:$E$2311,2024,Data!$F$4:$F$2311,5)</f>
        <v>0.11126730372477</v>
      </c>
      <c r="G181" s="12" t="n">
        <f aca="false">SUMIFS(Data!$H$4:$H$2311,Data!$B$4:$B$2311,"UCO",Data!$C$4:$C$2311,"Guatemala",Data!$E$4:$E$2311,2024,Data!$F$4:$F$2311,6)</f>
        <v>0</v>
      </c>
      <c r="H181" s="12" t="n">
        <f aca="false">SUMIFS(Data!$H$4:$H$2311,Data!$B$4:$B$2311,"UCO",Data!$C$4:$C$2311,"Guatemala",Data!$E$4:$E$2311,2024,Data!$F$4:$F$2311,7)</f>
        <v>0</v>
      </c>
      <c r="I181" s="12" t="n">
        <f aca="false">SUMIFS(Data!$H$4:$H$2311,Data!$B$4:$B$2311,"UCO",Data!$C$4:$C$2311,"Guatemala",Data!$E$4:$E$2311,2024,Data!$F$4:$F$2311,8)</f>
        <v>0</v>
      </c>
      <c r="J181" s="12" t="n">
        <f aca="false">SUMIFS(Data!$H$4:$H$2311,Data!$B$4:$B$2311,"UCO",Data!$C$4:$C$2311,"Guatemala",Data!$E$4:$E$2311,2024,Data!$F$4:$F$2311,9)</f>
        <v>0</v>
      </c>
      <c r="K181" s="12" t="n">
        <f aca="false">SUMIFS(Data!$H$4:$H$2311,Data!$B$4:$B$2311,"UCO",Data!$C$4:$C$2311,"Guatemala",Data!$E$4:$E$2311,2024,Data!$F$4:$F$2311,10)</f>
        <v>0</v>
      </c>
      <c r="L181" s="12" t="n">
        <f aca="false">SUMIFS(Data!$H$4:$H$2311,Data!$B$4:$B$2311,"UCO",Data!$C$4:$C$2311,"Guatemala",Data!$E$4:$E$2311,2024,Data!$F$4:$F$2311,11)</f>
        <v>0</v>
      </c>
      <c r="M181" s="12" t="n">
        <f aca="false">SUMIFS(Data!$H$4:$H$2311,Data!$B$4:$B$2311,"UCO",Data!$C$4:$C$2311,"Guatemala",Data!$E$4:$E$2311,2024,Data!$F$4:$F$2311,12)</f>
        <v>0</v>
      </c>
      <c r="N181" s="13" t="n">
        <f aca="false">SUM(B181:M181)</f>
        <v>0.11126730372477</v>
      </c>
    </row>
    <row r="182" customFormat="false" ht="15" hidden="false" customHeight="false" outlineLevel="0" collapsed="false">
      <c r="A182" s="11" t="s">
        <v>70</v>
      </c>
      <c r="B182" s="12" t="n">
        <f aca="false">SUMIFS(Data!$H$4:$H$2311,Data!$B$4:$B$2311,"UCO",Data!$C$4:$C$2311,"Sweden",Data!$E$4:$E$2311,2024,Data!$F$4:$F$2311,1)</f>
        <v>0</v>
      </c>
      <c r="C182" s="12" t="n">
        <f aca="false">SUMIFS(Data!$H$4:$H$2311,Data!$B$4:$B$2311,"UCO",Data!$C$4:$C$2311,"Sweden",Data!$E$4:$E$2311,2024,Data!$F$4:$F$2311,2)</f>
        <v>0.0028571909179176</v>
      </c>
      <c r="D182" s="12" t="n">
        <f aca="false">SUMIFS(Data!$H$4:$H$2311,Data!$B$4:$B$2311,"UCO",Data!$C$4:$C$2311,"Sweden",Data!$E$4:$E$2311,2024,Data!$F$4:$F$2311,3)</f>
        <v>0.0019047939452784</v>
      </c>
      <c r="E182" s="12" t="n">
        <f aca="false">SUMIFS(Data!$H$4:$H$2311,Data!$B$4:$B$2311,"UCO",Data!$C$4:$C$2311,"Sweden",Data!$E$4:$E$2311,2024,Data!$F$4:$F$2311,4)</f>
        <v>0.0019047939452784</v>
      </c>
      <c r="F182" s="12" t="n">
        <f aca="false">SUMIFS(Data!$H$4:$H$2311,Data!$B$4:$B$2311,"UCO",Data!$C$4:$C$2311,"Sweden",Data!$E$4:$E$2311,2024,Data!$F$4:$F$2311,5)</f>
        <v>0.0038095878905568</v>
      </c>
      <c r="G182" s="12" t="n">
        <f aca="false">SUMIFS(Data!$H$4:$H$2311,Data!$B$4:$B$2311,"UCO",Data!$C$4:$C$2311,"Sweden",Data!$E$4:$E$2311,2024,Data!$F$4:$F$2311,6)</f>
        <v>0</v>
      </c>
      <c r="H182" s="12" t="n">
        <f aca="false">SUMIFS(Data!$H$4:$H$2311,Data!$B$4:$B$2311,"UCO",Data!$C$4:$C$2311,"Sweden",Data!$E$4:$E$2311,2024,Data!$F$4:$F$2311,7)</f>
        <v>0.0036376273260525</v>
      </c>
      <c r="I182" s="12" t="n">
        <f aca="false">SUMIFS(Data!$H$4:$H$2311,Data!$B$4:$B$2311,"UCO",Data!$C$4:$C$2311,"Sweden",Data!$E$4:$E$2311,2024,Data!$F$4:$F$2311,8)</f>
        <v>0.0561848075178473</v>
      </c>
      <c r="J182" s="12" t="n">
        <f aca="false">SUMIFS(Data!$H$4:$H$2311,Data!$B$4:$B$2311,"UCO",Data!$C$4:$C$2311,"Sweden",Data!$E$4:$E$2311,2024,Data!$F$4:$F$2311,9)</f>
        <v>0</v>
      </c>
      <c r="K182" s="12" t="n">
        <f aca="false">SUMIFS(Data!$H$4:$H$2311,Data!$B$4:$B$2311,"UCO",Data!$C$4:$C$2311,"Sweden",Data!$E$4:$E$2311,2024,Data!$F$4:$F$2311,10)</f>
        <v>0.0019047939452784</v>
      </c>
      <c r="L182" s="12" t="n">
        <f aca="false">SUMIFS(Data!$H$4:$H$2311,Data!$B$4:$B$2311,"UCO",Data!$C$4:$C$2311,"Sweden",Data!$E$4:$E$2311,2024,Data!$F$4:$F$2311,11)</f>
        <v>0</v>
      </c>
      <c r="M182" s="12" t="n">
        <f aca="false">SUMIFS(Data!$H$4:$H$2311,Data!$B$4:$B$2311,"UCO",Data!$C$4:$C$2311,"Sweden",Data!$E$4:$E$2311,2024,Data!$F$4:$F$2311,12)</f>
        <v>0.0009523969726392</v>
      </c>
      <c r="N182" s="13" t="n">
        <f aca="false">SUM(B182:M182)</f>
        <v>0.0731559924608485</v>
      </c>
    </row>
    <row r="183" customFormat="false" ht="15" hidden="false" customHeight="false" outlineLevel="0" collapsed="false">
      <c r="A183" s="11" t="s">
        <v>113</v>
      </c>
      <c r="B183" s="12" t="n">
        <f aca="false">SUMIFS(Data!$H$4:$H$2311,Data!$B$4:$B$2311,"UCO",Data!$C$4:$C$2311,"Sri Lanka",Data!$E$4:$E$2311,2024,Data!$F$4:$F$2311,1)</f>
        <v>0.0337682046988764</v>
      </c>
      <c r="C183" s="12" t="n">
        <f aca="false">SUMIFS(Data!$H$4:$H$2311,Data!$B$4:$B$2311,"UCO",Data!$C$4:$C$2311,"Sri Lanka",Data!$E$4:$E$2311,2024,Data!$F$4:$F$2311,2)</f>
        <v>0.02960146794358</v>
      </c>
      <c r="D183" s="12" t="n">
        <f aca="false">SUMIFS(Data!$H$4:$H$2311,Data!$B$4:$B$2311,"UCO",Data!$C$4:$C$2311,"Sri Lanka",Data!$E$4:$E$2311,2024,Data!$F$4:$F$2311,3)</f>
        <v>0</v>
      </c>
      <c r="E183" s="12" t="n">
        <f aca="false">SUMIFS(Data!$H$4:$H$2311,Data!$B$4:$B$2311,"UCO",Data!$C$4:$C$2311,"Sri Lanka",Data!$E$4:$E$2311,2024,Data!$F$4:$F$2311,4)</f>
        <v>0</v>
      </c>
      <c r="F183" s="12" t="n">
        <f aca="false">SUMIFS(Data!$H$4:$H$2311,Data!$B$4:$B$2311,"UCO",Data!$C$4:$C$2311,"Sri Lanka",Data!$E$4:$E$2311,2024,Data!$F$4:$F$2311,5)</f>
        <v>0</v>
      </c>
      <c r="G183" s="12" t="n">
        <f aca="false">SUMIFS(Data!$H$4:$H$2311,Data!$B$4:$B$2311,"UCO",Data!$C$4:$C$2311,"Sri Lanka",Data!$E$4:$E$2311,2024,Data!$F$4:$F$2311,6)</f>
        <v>0</v>
      </c>
      <c r="H183" s="12" t="n">
        <f aca="false">SUMIFS(Data!$H$4:$H$2311,Data!$B$4:$B$2311,"UCO",Data!$C$4:$C$2311,"Sri Lanka",Data!$E$4:$E$2311,2024,Data!$F$4:$F$2311,7)</f>
        <v>0</v>
      </c>
      <c r="I183" s="12" t="n">
        <f aca="false">SUMIFS(Data!$H$4:$H$2311,Data!$B$4:$B$2311,"UCO",Data!$C$4:$C$2311,"Sri Lanka",Data!$E$4:$E$2311,2024,Data!$F$4:$F$2311,8)</f>
        <v>0</v>
      </c>
      <c r="J183" s="12" t="n">
        <f aca="false">SUMIFS(Data!$H$4:$H$2311,Data!$B$4:$B$2311,"UCO",Data!$C$4:$C$2311,"Sri Lanka",Data!$E$4:$E$2311,2024,Data!$F$4:$F$2311,9)</f>
        <v>0</v>
      </c>
      <c r="K183" s="12" t="n">
        <f aca="false">SUMIFS(Data!$H$4:$H$2311,Data!$B$4:$B$2311,"UCO",Data!$C$4:$C$2311,"Sri Lanka",Data!$E$4:$E$2311,2024,Data!$F$4:$F$2311,10)</f>
        <v>0</v>
      </c>
      <c r="L183" s="12" t="n">
        <f aca="false">SUMIFS(Data!$H$4:$H$2311,Data!$B$4:$B$2311,"UCO",Data!$C$4:$C$2311,"Sri Lanka",Data!$E$4:$E$2311,2024,Data!$F$4:$F$2311,11)</f>
        <v>0</v>
      </c>
      <c r="M183" s="12" t="n">
        <f aca="false">SUMIFS(Data!$H$4:$H$2311,Data!$B$4:$B$2311,"UCO",Data!$C$4:$C$2311,"Sri Lanka",Data!$E$4:$E$2311,2024,Data!$F$4:$F$2311,12)</f>
        <v>0</v>
      </c>
      <c r="N183" s="13" t="n">
        <f aca="false">SUM(B183:M183)</f>
        <v>0.0633696726424564</v>
      </c>
    </row>
    <row r="184" customFormat="false" ht="15" hidden="false" customHeight="false" outlineLevel="0" collapsed="false">
      <c r="A184" s="11" t="s">
        <v>77</v>
      </c>
      <c r="B184" s="12" t="n">
        <f aca="false">SUMIFS(Data!$H$4:$H$2311,Data!$B$4:$B$2311,"UCO",Data!$C$4:$C$2311,"Portugal",Data!$E$4:$E$2311,2024,Data!$F$4:$F$2311,1)</f>
        <v>0</v>
      </c>
      <c r="C184" s="12" t="n">
        <f aca="false">SUMIFS(Data!$H$4:$H$2311,Data!$B$4:$B$2311,"UCO",Data!$C$4:$C$2311,"Portugal",Data!$E$4:$E$2311,2024,Data!$F$4:$F$2311,2)</f>
        <v>0.00308647167059</v>
      </c>
      <c r="D184" s="12" t="n">
        <f aca="false">SUMIFS(Data!$H$4:$H$2311,Data!$B$4:$B$2311,"UCO",Data!$C$4:$C$2311,"Portugal",Data!$E$4:$E$2311,2024,Data!$F$4:$F$2311,3)</f>
        <v>0</v>
      </c>
      <c r="E184" s="12" t="n">
        <f aca="false">SUMIFS(Data!$H$4:$H$2311,Data!$B$4:$B$2311,"UCO",Data!$C$4:$C$2311,"Portugal",Data!$E$4:$E$2311,2024,Data!$F$4:$F$2311,4)</f>
        <v>0</v>
      </c>
      <c r="F184" s="12" t="n">
        <f aca="false">SUMIFS(Data!$H$4:$H$2311,Data!$B$4:$B$2311,"UCO",Data!$C$4:$C$2311,"Portugal",Data!$E$4:$E$2311,2024,Data!$F$4:$F$2311,5)</f>
        <v>0</v>
      </c>
      <c r="G184" s="12" t="n">
        <f aca="false">SUMIFS(Data!$H$4:$H$2311,Data!$B$4:$B$2311,"UCO",Data!$C$4:$C$2311,"Portugal",Data!$E$4:$E$2311,2024,Data!$F$4:$F$2311,6)</f>
        <v>0.00358251176050625</v>
      </c>
      <c r="H184" s="12" t="n">
        <f aca="false">SUMIFS(Data!$H$4:$H$2311,Data!$B$4:$B$2311,"UCO",Data!$C$4:$C$2311,"Portugal",Data!$E$4:$E$2311,2024,Data!$F$4:$F$2311,7)</f>
        <v>0</v>
      </c>
      <c r="I184" s="12" t="n">
        <f aca="false">SUMIFS(Data!$H$4:$H$2311,Data!$B$4:$B$2311,"UCO",Data!$C$4:$C$2311,"Portugal",Data!$E$4:$E$2311,2024,Data!$F$4:$F$2311,8)</f>
        <v>0.009920801798325</v>
      </c>
      <c r="J184" s="12" t="n">
        <f aca="false">SUMIFS(Data!$H$4:$H$2311,Data!$B$4:$B$2311,"UCO",Data!$C$4:$C$2311,"Portugal",Data!$E$4:$E$2311,2024,Data!$F$4:$F$2311,9)</f>
        <v>0.0089287216184925</v>
      </c>
      <c r="K184" s="12" t="n">
        <f aca="false">SUMIFS(Data!$H$4:$H$2311,Data!$B$4:$B$2311,"UCO",Data!$C$4:$C$2311,"Portugal",Data!$E$4:$E$2311,2024,Data!$F$4:$F$2311,10)</f>
        <v>0</v>
      </c>
      <c r="L184" s="12" t="n">
        <f aca="false">SUMIFS(Data!$H$4:$H$2311,Data!$B$4:$B$2311,"UCO",Data!$C$4:$C$2311,"Portugal",Data!$E$4:$E$2311,2024,Data!$F$4:$F$2311,11)</f>
        <v>0</v>
      </c>
      <c r="M184" s="12" t="n">
        <f aca="false">SUMIFS(Data!$H$4:$H$2311,Data!$B$4:$B$2311,"UCO",Data!$C$4:$C$2311,"Portugal",Data!$E$4:$E$2311,2024,Data!$F$4:$F$2311,12)</f>
        <v>0</v>
      </c>
      <c r="N184" s="13" t="n">
        <f aca="false">SUM(B184:M184)</f>
        <v>0.0255185068479138</v>
      </c>
    </row>
    <row r="185" customFormat="false" ht="15" hidden="false" customHeight="false" outlineLevel="0" collapsed="false">
      <c r="A185" s="11" t="s">
        <v>71</v>
      </c>
      <c r="B185" s="12" t="n">
        <f aca="false">SUMIFS(Data!$H$4:$H$2311,Data!$B$4:$B$2311,"UCO",Data!$C$4:$C$2311,"Ecuador",Data!$E$4:$E$2311,2024,Data!$F$4:$F$2311,1)</f>
        <v>0</v>
      </c>
      <c r="C185" s="12" t="n">
        <f aca="false">SUMIFS(Data!$H$4:$H$2311,Data!$B$4:$B$2311,"UCO",Data!$C$4:$C$2311,"Ecuador",Data!$E$4:$E$2311,2024,Data!$F$4:$F$2311,2)</f>
        <v>0.003571488647397</v>
      </c>
      <c r="D185" s="12" t="n">
        <f aca="false">SUMIFS(Data!$H$4:$H$2311,Data!$B$4:$B$2311,"UCO",Data!$C$4:$C$2311,"Ecuador",Data!$E$4:$E$2311,2024,Data!$F$4:$F$2311,3)</f>
        <v>0</v>
      </c>
      <c r="E185" s="12" t="n">
        <f aca="false">SUMIFS(Data!$H$4:$H$2311,Data!$B$4:$B$2311,"UCO",Data!$C$4:$C$2311,"Ecuador",Data!$E$4:$E$2311,2024,Data!$F$4:$F$2311,4)</f>
        <v>0</v>
      </c>
      <c r="F185" s="12" t="n">
        <f aca="false">SUMIFS(Data!$H$4:$H$2311,Data!$B$4:$B$2311,"UCO",Data!$C$4:$C$2311,"Ecuador",Data!$E$4:$E$2311,2024,Data!$F$4:$F$2311,5)</f>
        <v>0</v>
      </c>
      <c r="G185" s="12" t="n">
        <f aca="false">SUMIFS(Data!$H$4:$H$2311,Data!$B$4:$B$2311,"UCO",Data!$C$4:$C$2311,"Ecuador",Data!$E$4:$E$2311,2024,Data!$F$4:$F$2311,6)</f>
        <v>0.00485678363593555</v>
      </c>
      <c r="H185" s="12" t="n">
        <f aca="false">SUMIFS(Data!$H$4:$H$2311,Data!$B$4:$B$2311,"UCO",Data!$C$4:$C$2311,"Ecuador",Data!$E$4:$E$2311,2024,Data!$F$4:$F$2311,7)</f>
        <v>0</v>
      </c>
      <c r="I185" s="12" t="n">
        <f aca="false">SUMIFS(Data!$H$4:$H$2311,Data!$B$4:$B$2311,"UCO",Data!$C$4:$C$2311,"Ecuador",Data!$E$4:$E$2311,2024,Data!$F$4:$F$2311,8)</f>
        <v>0.0085715727537528</v>
      </c>
      <c r="J185" s="12" t="n">
        <f aca="false">SUMIFS(Data!$H$4:$H$2311,Data!$B$4:$B$2311,"UCO",Data!$C$4:$C$2311,"Ecuador",Data!$E$4:$E$2311,2024,Data!$F$4:$F$2311,9)</f>
        <v>0</v>
      </c>
      <c r="K185" s="12" t="n">
        <f aca="false">SUMIFS(Data!$H$4:$H$2311,Data!$B$4:$B$2311,"UCO",Data!$C$4:$C$2311,"Ecuador",Data!$E$4:$E$2311,2024,Data!$F$4:$F$2311,10)</f>
        <v>0.00198636498228685</v>
      </c>
      <c r="L185" s="12" t="n">
        <f aca="false">SUMIFS(Data!$H$4:$H$2311,Data!$B$4:$B$2311,"UCO",Data!$C$4:$C$2311,"Ecuador",Data!$E$4:$E$2311,2024,Data!$F$4:$F$2311,11)</f>
        <v>0</v>
      </c>
      <c r="M185" s="12" t="n">
        <f aca="false">SUMIFS(Data!$H$4:$H$2311,Data!$B$4:$B$2311,"UCO",Data!$C$4:$C$2311,"Ecuador",Data!$E$4:$E$2311,2024,Data!$F$4:$F$2311,12)</f>
        <v>0</v>
      </c>
      <c r="N185" s="13" t="n">
        <f aca="false">SUM(B185:M185)</f>
        <v>0.0189862100193722</v>
      </c>
    </row>
    <row r="186" customFormat="false" ht="15" hidden="false" customHeight="false" outlineLevel="0" collapsed="false">
      <c r="A186" s="11" t="s">
        <v>163</v>
      </c>
      <c r="B186" s="12" t="n">
        <f aca="false">SUMIFS(Data!$H$4:$H$2311,Data!$B$4:$B$2311,"UCO",Data!$C$4:$C$2311,"Israel",Data!$E$4:$E$2311,2024,Data!$F$4:$F$2311,1)</f>
        <v>0</v>
      </c>
      <c r="C186" s="12" t="n">
        <f aca="false">SUMIFS(Data!$H$4:$H$2311,Data!$B$4:$B$2311,"UCO",Data!$C$4:$C$2311,"Israel",Data!$E$4:$E$2311,2024,Data!$F$4:$F$2311,2)</f>
        <v>0</v>
      </c>
      <c r="D186" s="12" t="n">
        <f aca="false">SUMIFS(Data!$H$4:$H$2311,Data!$B$4:$B$2311,"UCO",Data!$C$4:$C$2311,"Israel",Data!$E$4:$E$2311,2024,Data!$F$4:$F$2311,3)</f>
        <v>0</v>
      </c>
      <c r="E186" s="12" t="n">
        <f aca="false">SUMIFS(Data!$H$4:$H$2311,Data!$B$4:$B$2311,"UCO",Data!$C$4:$C$2311,"Israel",Data!$E$4:$E$2311,2024,Data!$F$4:$F$2311,4)</f>
        <v>0</v>
      </c>
      <c r="F186" s="12" t="n">
        <f aca="false">SUMIFS(Data!$H$4:$H$2311,Data!$B$4:$B$2311,"UCO",Data!$C$4:$C$2311,"Israel",Data!$E$4:$E$2311,2024,Data!$F$4:$F$2311,5)</f>
        <v>0</v>
      </c>
      <c r="G186" s="12" t="n">
        <f aca="false">SUMIFS(Data!$H$4:$H$2311,Data!$B$4:$B$2311,"UCO",Data!$C$4:$C$2311,"Israel",Data!$E$4:$E$2311,2024,Data!$F$4:$F$2311,6)</f>
        <v>0</v>
      </c>
      <c r="H186" s="12" t="n">
        <f aca="false">SUMIFS(Data!$H$4:$H$2311,Data!$B$4:$B$2311,"UCO",Data!$C$4:$C$2311,"Israel",Data!$E$4:$E$2311,2024,Data!$F$4:$F$2311,7)</f>
        <v>0</v>
      </c>
      <c r="I186" s="12" t="n">
        <f aca="false">SUMIFS(Data!$H$4:$H$2311,Data!$B$4:$B$2311,"UCO",Data!$C$4:$C$2311,"Israel",Data!$E$4:$E$2311,2024,Data!$F$4:$F$2311,8)</f>
        <v>0.0020326620573457</v>
      </c>
      <c r="J186" s="12" t="n">
        <f aca="false">SUMIFS(Data!$H$4:$H$2311,Data!$B$4:$B$2311,"UCO",Data!$C$4:$C$2311,"Israel",Data!$E$4:$E$2311,2024,Data!$F$4:$F$2311,9)</f>
        <v>0</v>
      </c>
      <c r="K186" s="12" t="n">
        <f aca="false">SUMIFS(Data!$H$4:$H$2311,Data!$B$4:$B$2311,"UCO",Data!$C$4:$C$2311,"Israel",Data!$E$4:$E$2311,2024,Data!$F$4:$F$2311,10)</f>
        <v>0</v>
      </c>
      <c r="L186" s="12" t="n">
        <f aca="false">SUMIFS(Data!$H$4:$H$2311,Data!$B$4:$B$2311,"UCO",Data!$C$4:$C$2311,"Israel",Data!$E$4:$E$2311,2024,Data!$F$4:$F$2311,11)</f>
        <v>0</v>
      </c>
      <c r="M186" s="12" t="n">
        <f aca="false">SUMIFS(Data!$H$4:$H$2311,Data!$B$4:$B$2311,"UCO",Data!$C$4:$C$2311,"Israel",Data!$E$4:$E$2311,2024,Data!$F$4:$F$2311,12)</f>
        <v>0</v>
      </c>
      <c r="N186" s="13" t="n">
        <f aca="false">SUM(B186:M186)</f>
        <v>0.0020326620573457</v>
      </c>
    </row>
    <row r="188" customFormat="false" ht="15" hidden="false" customHeight="false" outlineLevel="0" collapsed="false">
      <c r="A188" s="8"/>
      <c r="B188" s="9" t="s">
        <v>164</v>
      </c>
      <c r="C188" s="9" t="s">
        <v>165</v>
      </c>
      <c r="D188" s="9" t="s">
        <v>166</v>
      </c>
      <c r="E188" s="9" t="s">
        <v>167</v>
      </c>
      <c r="F188" s="9" t="s">
        <v>168</v>
      </c>
      <c r="G188" s="9" t="s">
        <v>169</v>
      </c>
      <c r="H188" s="9" t="s">
        <v>170</v>
      </c>
      <c r="I188" s="9" t="s">
        <v>171</v>
      </c>
      <c r="J188" s="9" t="s">
        <v>172</v>
      </c>
      <c r="K188" s="9" t="s">
        <v>173</v>
      </c>
      <c r="L188" s="9" t="s">
        <v>174</v>
      </c>
      <c r="M188" s="9" t="s">
        <v>175</v>
      </c>
      <c r="N188" s="9" t="s">
        <v>33</v>
      </c>
    </row>
    <row r="189" customFormat="false" ht="15" hidden="false" customHeight="false" outlineLevel="0" collapsed="false">
      <c r="A189" s="10" t="s">
        <v>35</v>
      </c>
      <c r="B189" s="10" t="n">
        <f aca="false">SUM(B190:B229)</f>
        <v>605.533265473916</v>
      </c>
      <c r="C189" s="10" t="n">
        <f aca="false">SUM(C190:C229)</f>
        <v>455.012157722394</v>
      </c>
      <c r="D189" s="10" t="n">
        <f aca="false">SUM(D190:D229)</f>
        <v>509.651491712985</v>
      </c>
      <c r="E189" s="10" t="n">
        <f aca="false">SUM(E190:E229)</f>
        <v>213.540333582008</v>
      </c>
      <c r="F189" s="10" t="n">
        <f aca="false">SUM(F190:F229)</f>
        <v>468.513987570201</v>
      </c>
      <c r="G189" s="10" t="n">
        <f aca="false">SUM(G190:G229)</f>
        <v>206.360428858298</v>
      </c>
      <c r="H189" s="10" t="n">
        <f aca="false">SUM(H190:H229)</f>
        <v>443.719004797439</v>
      </c>
      <c r="I189" s="10" t="n">
        <f aca="false">SUM(I190:I229)</f>
        <v>361.874047837469</v>
      </c>
      <c r="J189" s="10" t="n">
        <f aca="false">SUM(J190:J229)</f>
        <v>388.754475742389</v>
      </c>
      <c r="K189" s="10" t="n">
        <f aca="false">SUM(K190:K229)</f>
        <v>282.682292473463</v>
      </c>
      <c r="L189" s="10" t="n">
        <f aca="false">SUM(L190:L229)</f>
        <v>448.922072917834</v>
      </c>
      <c r="M189" s="10" t="n">
        <f aca="false">SUM(M190:M229)</f>
        <v>395.608131592028</v>
      </c>
      <c r="N189" s="10" t="n">
        <f aca="false">SUM(B189:M189)</f>
        <v>4780.17169028043</v>
      </c>
    </row>
    <row r="190" customFormat="false" ht="15" hidden="false" customHeight="false" outlineLevel="0" collapsed="false">
      <c r="A190" s="11" t="s">
        <v>57</v>
      </c>
      <c r="B190" s="12" t="n">
        <f aca="false">SUMIFS(Data!$H$4:$H$2311,Data!$B$4:$B$2311,"UCO",Data!$C$4:$C$2311,"China",Data!$E$4:$E$2311,2025,Data!$F$4:$F$2311,1)</f>
        <v>228.929397555911</v>
      </c>
      <c r="C190" s="12" t="n">
        <f aca="false">SUMIFS(Data!$H$4:$H$2311,Data!$B$4:$B$2311,"UCO",Data!$C$4:$C$2311,"China",Data!$E$4:$E$2311,2025,Data!$F$4:$F$2311,2)</f>
        <v>125.680169620207</v>
      </c>
      <c r="D190" s="12" t="n">
        <f aca="false">SUMIFS(Data!$H$4:$H$2311,Data!$B$4:$B$2311,"UCO",Data!$C$4:$C$2311,"China",Data!$E$4:$E$2311,2025,Data!$F$4:$F$2311,3)</f>
        <v>195.749659545749</v>
      </c>
      <c r="E190" s="12" t="n">
        <f aca="false">SUMIFS(Data!$H$4:$H$2311,Data!$B$4:$B$2311,"UCO",Data!$C$4:$C$2311,"China",Data!$E$4:$E$2311,2025,Data!$F$4:$F$2311,4)</f>
        <v>0.077779086098868</v>
      </c>
      <c r="F190" s="12" t="n">
        <f aca="false">SUMIFS(Data!$H$4:$H$2311,Data!$B$4:$B$2311,"UCO",Data!$C$4:$C$2311,"China",Data!$E$4:$E$2311,2025,Data!$F$4:$F$2311,5)</f>
        <v>151.922390140818</v>
      </c>
      <c r="G190" s="12" t="n">
        <f aca="false">SUMIFS(Data!$H$4:$H$2311,Data!$B$4:$B$2311,"UCO",Data!$C$4:$C$2311,"China",Data!$E$4:$E$2311,2025,Data!$F$4:$F$2311,6)</f>
        <v>79.1625330911539</v>
      </c>
      <c r="H190" s="12" t="n">
        <f aca="false">SUMIFS(Data!$H$4:$H$2311,Data!$B$4:$B$2311,"UCO",Data!$C$4:$C$2311,"China",Data!$E$4:$E$2311,2025,Data!$F$4:$F$2311,7)</f>
        <v>71.4600269841797</v>
      </c>
      <c r="I190" s="12" t="n">
        <f aca="false">SUMIFS(Data!$H$4:$H$2311,Data!$B$4:$B$2311,"UCO",Data!$C$4:$C$2311,"China",Data!$E$4:$E$2311,2025,Data!$F$4:$F$2311,8)</f>
        <v>67.263435229338</v>
      </c>
      <c r="J190" s="12" t="n">
        <f aca="false">SUMIFS(Data!$H$4:$H$2311,Data!$B$4:$B$2311,"UCO",Data!$C$4:$C$2311,"China",Data!$E$4:$E$2311,2025,Data!$F$4:$F$2311,9)</f>
        <v>109.831430806536</v>
      </c>
      <c r="K190" s="12" t="n">
        <f aca="false">SUMIFS(Data!$H$4:$H$2311,Data!$B$4:$B$2311,"UCO",Data!$C$4:$C$2311,"China",Data!$E$4:$E$2311,2025,Data!$F$4:$F$2311,10)</f>
        <v>0.00677921456218875</v>
      </c>
      <c r="L190" s="12" t="n">
        <f aca="false">SUMIFS(Data!$H$4:$H$2311,Data!$B$4:$B$2311,"UCO",Data!$C$4:$C$2311,"China",Data!$E$4:$E$2311,2025,Data!$F$4:$F$2311,11)</f>
        <v>162.370733881703</v>
      </c>
      <c r="M190" s="12" t="n">
        <f aca="false">SUMIFS(Data!$H$4:$H$2311,Data!$B$4:$B$2311,"UCO",Data!$C$4:$C$2311,"China",Data!$E$4:$E$2311,2025,Data!$F$4:$F$2311,12)</f>
        <v>93.726386976094</v>
      </c>
      <c r="N190" s="13" t="n">
        <f aca="false">SUM(B190:M190)</f>
        <v>1286.18072213235</v>
      </c>
    </row>
    <row r="191" customFormat="false" ht="15" hidden="false" customHeight="false" outlineLevel="0" collapsed="false">
      <c r="A191" s="11" t="s">
        <v>109</v>
      </c>
      <c r="B191" s="12" t="n">
        <f aca="false">SUMIFS(Data!$H$4:$H$2311,Data!$B$4:$B$2311,"UCO",Data!$C$4:$C$2311,"Australia",Data!$E$4:$E$2311,2025,Data!$F$4:$F$2311,1)</f>
        <v>121.7303677309</v>
      </c>
      <c r="C191" s="12" t="n">
        <f aca="false">SUMIFS(Data!$H$4:$H$2311,Data!$B$4:$B$2311,"UCO",Data!$C$4:$C$2311,"Australia",Data!$E$4:$E$2311,2025,Data!$F$4:$F$2311,2)</f>
        <v>0.487124596033489</v>
      </c>
      <c r="D191" s="12" t="n">
        <f aca="false">SUMIFS(Data!$H$4:$H$2311,Data!$B$4:$B$2311,"UCO",Data!$C$4:$C$2311,"Australia",Data!$E$4:$E$2311,2025,Data!$F$4:$F$2311,3)</f>
        <v>62.2183900492323</v>
      </c>
      <c r="E191" s="12" t="n">
        <f aca="false">SUMIFS(Data!$H$4:$H$2311,Data!$B$4:$B$2311,"UCO",Data!$C$4:$C$2311,"Australia",Data!$E$4:$E$2311,2025,Data!$F$4:$F$2311,4)</f>
        <v>104.646570664375</v>
      </c>
      <c r="F191" s="12" t="n">
        <f aca="false">SUMIFS(Data!$H$4:$H$2311,Data!$B$4:$B$2311,"UCO",Data!$C$4:$C$2311,"Australia",Data!$E$4:$E$2311,2025,Data!$F$4:$F$2311,5)</f>
        <v>54.2758600635493</v>
      </c>
      <c r="G191" s="12" t="n">
        <f aca="false">SUMIFS(Data!$H$4:$H$2311,Data!$B$4:$B$2311,"UCO",Data!$C$4:$C$2311,"Australia",Data!$E$4:$E$2311,2025,Data!$F$4:$F$2311,6)</f>
        <v>0</v>
      </c>
      <c r="H191" s="12" t="n">
        <f aca="false">SUMIFS(Data!$H$4:$H$2311,Data!$B$4:$B$2311,"UCO",Data!$C$4:$C$2311,"Australia",Data!$E$4:$E$2311,2025,Data!$F$4:$F$2311,7)</f>
        <v>83.2818329814961</v>
      </c>
      <c r="I191" s="12" t="n">
        <f aca="false">SUMIFS(Data!$H$4:$H$2311,Data!$B$4:$B$2311,"UCO",Data!$C$4:$C$2311,"Australia",Data!$E$4:$E$2311,2025,Data!$F$4:$F$2311,8)</f>
        <v>34.4135396281218</v>
      </c>
      <c r="J191" s="12" t="n">
        <f aca="false">SUMIFS(Data!$H$4:$H$2311,Data!$B$4:$B$2311,"UCO",Data!$C$4:$C$2311,"Australia",Data!$E$4:$E$2311,2025,Data!$F$4:$F$2311,9)</f>
        <v>128.143456205033</v>
      </c>
      <c r="K191" s="12" t="n">
        <f aca="false">SUMIFS(Data!$H$4:$H$2311,Data!$B$4:$B$2311,"UCO",Data!$C$4:$C$2311,"Australia",Data!$E$4:$E$2311,2025,Data!$F$4:$F$2311,10)</f>
        <v>98.1034248879114</v>
      </c>
      <c r="L191" s="12" t="n">
        <f aca="false">SUMIFS(Data!$H$4:$H$2311,Data!$B$4:$B$2311,"UCO",Data!$C$4:$C$2311,"Australia",Data!$E$4:$E$2311,2025,Data!$F$4:$F$2311,11)</f>
        <v>9.5878178021434</v>
      </c>
      <c r="M191" s="12" t="n">
        <f aca="false">SUMIFS(Data!$H$4:$H$2311,Data!$B$4:$B$2311,"UCO",Data!$C$4:$C$2311,"Australia",Data!$E$4:$E$2311,2025,Data!$F$4:$F$2311,12)</f>
        <v>31.933954268252</v>
      </c>
      <c r="N191" s="13" t="n">
        <f aca="false">SUM(B191:M191)</f>
        <v>728.822338877049</v>
      </c>
    </row>
    <row r="192" customFormat="false" ht="15" hidden="false" customHeight="false" outlineLevel="0" collapsed="false">
      <c r="A192" s="11" t="s">
        <v>43</v>
      </c>
      <c r="B192" s="12" t="n">
        <f aca="false">SUMIFS(Data!$H$4:$H$2311,Data!$B$4:$B$2311,"UCO",Data!$C$4:$C$2311,"Canada",Data!$E$4:$E$2311,2025,Data!$F$4:$F$2311,1)</f>
        <v>31.5277349131952</v>
      </c>
      <c r="C192" s="12" t="n">
        <f aca="false">SUMIFS(Data!$H$4:$H$2311,Data!$B$4:$B$2311,"UCO",Data!$C$4:$C$2311,"Canada",Data!$E$4:$E$2311,2025,Data!$F$4:$F$2311,2)</f>
        <v>54.854456656786</v>
      </c>
      <c r="D192" s="12" t="n">
        <f aca="false">SUMIFS(Data!$H$4:$H$2311,Data!$B$4:$B$2311,"UCO",Data!$C$4:$C$2311,"Canada",Data!$E$4:$E$2311,2025,Data!$F$4:$F$2311,3)</f>
        <v>52.4753557913975</v>
      </c>
      <c r="E192" s="12" t="n">
        <f aca="false">SUMIFS(Data!$H$4:$H$2311,Data!$B$4:$B$2311,"UCO",Data!$C$4:$C$2311,"Canada",Data!$E$4:$E$2311,2025,Data!$F$4:$F$2311,4)</f>
        <v>49.3617937180302</v>
      </c>
      <c r="F192" s="12" t="n">
        <f aca="false">SUMIFS(Data!$H$4:$H$2311,Data!$B$4:$B$2311,"UCO",Data!$C$4:$C$2311,"Canada",Data!$E$4:$E$2311,2025,Data!$F$4:$F$2311,5)</f>
        <v>60.4484109819026</v>
      </c>
      <c r="G192" s="12" t="n">
        <f aca="false">SUMIFS(Data!$H$4:$H$2311,Data!$B$4:$B$2311,"UCO",Data!$C$4:$C$2311,"Canada",Data!$E$4:$E$2311,2025,Data!$F$4:$F$2311,6)</f>
        <v>30.1185202917051</v>
      </c>
      <c r="H192" s="12" t="n">
        <f aca="false">SUMIFS(Data!$H$4:$H$2311,Data!$B$4:$B$2311,"UCO",Data!$C$4:$C$2311,"Canada",Data!$E$4:$E$2311,2025,Data!$F$4:$F$2311,7)</f>
        <v>49.4785020303857</v>
      </c>
      <c r="I192" s="12" t="n">
        <f aca="false">SUMIFS(Data!$H$4:$H$2311,Data!$B$4:$B$2311,"UCO",Data!$C$4:$C$2311,"Canada",Data!$E$4:$E$2311,2025,Data!$F$4:$F$2311,8)</f>
        <v>39.2956764242086</v>
      </c>
      <c r="J192" s="12" t="n">
        <f aca="false">SUMIFS(Data!$H$4:$H$2311,Data!$B$4:$B$2311,"UCO",Data!$C$4:$C$2311,"Canada",Data!$E$4:$E$2311,2025,Data!$F$4:$F$2311,9)</f>
        <v>55.8994896673727</v>
      </c>
      <c r="K192" s="12" t="n">
        <f aca="false">SUMIFS(Data!$H$4:$H$2311,Data!$B$4:$B$2311,"UCO",Data!$C$4:$C$2311,"Canada",Data!$E$4:$E$2311,2025,Data!$F$4:$F$2311,10)</f>
        <v>41.8166513691809</v>
      </c>
      <c r="L192" s="12" t="n">
        <f aca="false">SUMIFS(Data!$H$4:$H$2311,Data!$B$4:$B$2311,"UCO",Data!$C$4:$C$2311,"Canada",Data!$E$4:$E$2311,2025,Data!$F$4:$F$2311,11)</f>
        <v>50.4781639074147</v>
      </c>
      <c r="M192" s="12" t="n">
        <f aca="false">SUMIFS(Data!$H$4:$H$2311,Data!$B$4:$B$2311,"UCO",Data!$C$4:$C$2311,"Canada",Data!$E$4:$E$2311,2025,Data!$F$4:$F$2311,12)</f>
        <v>70.6385537305616</v>
      </c>
      <c r="N192" s="13" t="n">
        <f aca="false">SUM(B192:M192)</f>
        <v>586.393309482141</v>
      </c>
    </row>
    <row r="193" customFormat="false" ht="15" hidden="false" customHeight="false" outlineLevel="0" collapsed="false">
      <c r="A193" s="11" t="s">
        <v>65</v>
      </c>
      <c r="B193" s="12" t="n">
        <f aca="false">SUMIFS(Data!$H$4:$H$2311,Data!$B$4:$B$2311,"UCO",Data!$C$4:$C$2311,"Malaysia",Data!$E$4:$E$2311,2025,Data!$F$4:$F$2311,1)</f>
        <v>58.9433525965502</v>
      </c>
      <c r="C193" s="12" t="n">
        <f aca="false">SUMIFS(Data!$H$4:$H$2311,Data!$B$4:$B$2311,"UCO",Data!$C$4:$C$2311,"Malaysia",Data!$E$4:$E$2311,2025,Data!$F$4:$F$2311,2)</f>
        <v>46.8728387120176</v>
      </c>
      <c r="D193" s="12" t="n">
        <f aca="false">SUMIFS(Data!$H$4:$H$2311,Data!$B$4:$B$2311,"UCO",Data!$C$4:$C$2311,"Malaysia",Data!$E$4:$E$2311,2025,Data!$F$4:$F$2311,3)</f>
        <v>21.3341220885293</v>
      </c>
      <c r="E193" s="12" t="n">
        <f aca="false">SUMIFS(Data!$H$4:$H$2311,Data!$B$4:$B$2311,"UCO",Data!$C$4:$C$2311,"Malaysia",Data!$E$4:$E$2311,2025,Data!$F$4:$F$2311,4)</f>
        <v>0</v>
      </c>
      <c r="F193" s="12" t="n">
        <f aca="false">SUMIFS(Data!$H$4:$H$2311,Data!$B$4:$B$2311,"UCO",Data!$C$4:$C$2311,"Malaysia",Data!$E$4:$E$2311,2025,Data!$F$4:$F$2311,5)</f>
        <v>14.8238295983765</v>
      </c>
      <c r="G193" s="12" t="n">
        <f aca="false">SUMIFS(Data!$H$4:$H$2311,Data!$B$4:$B$2311,"UCO",Data!$C$4:$C$2311,"Malaysia",Data!$E$4:$E$2311,2025,Data!$F$4:$F$2311,6)</f>
        <v>0</v>
      </c>
      <c r="H193" s="12" t="n">
        <f aca="false">SUMIFS(Data!$H$4:$H$2311,Data!$B$4:$B$2311,"UCO",Data!$C$4:$C$2311,"Malaysia",Data!$E$4:$E$2311,2025,Data!$F$4:$F$2311,7)</f>
        <v>98.9496295981013</v>
      </c>
      <c r="I193" s="12" t="n">
        <f aca="false">SUMIFS(Data!$H$4:$H$2311,Data!$B$4:$B$2311,"UCO",Data!$C$4:$C$2311,"Malaysia",Data!$E$4:$E$2311,2025,Data!$F$4:$F$2311,8)</f>
        <v>75.562459306842</v>
      </c>
      <c r="J193" s="12" t="n">
        <f aca="false">SUMIFS(Data!$H$4:$H$2311,Data!$B$4:$B$2311,"UCO",Data!$C$4:$C$2311,"Malaysia",Data!$E$4:$E$2311,2025,Data!$F$4:$F$2311,9)</f>
        <v>0</v>
      </c>
      <c r="K193" s="12" t="n">
        <f aca="false">SUMIFS(Data!$H$4:$H$2311,Data!$B$4:$B$2311,"UCO",Data!$C$4:$C$2311,"Malaysia",Data!$E$4:$E$2311,2025,Data!$F$4:$F$2311,10)</f>
        <v>64.6723753312171</v>
      </c>
      <c r="L193" s="12" t="n">
        <f aca="false">SUMIFS(Data!$H$4:$H$2311,Data!$B$4:$B$2311,"UCO",Data!$C$4:$C$2311,"Malaysia",Data!$E$4:$E$2311,2025,Data!$F$4:$F$2311,11)</f>
        <v>65.0552256864823</v>
      </c>
      <c r="M193" s="12" t="n">
        <f aca="false">SUMIFS(Data!$H$4:$H$2311,Data!$B$4:$B$2311,"UCO",Data!$C$4:$C$2311,"Malaysia",Data!$E$4:$E$2311,2025,Data!$F$4:$F$2311,12)</f>
        <v>113.180268001484</v>
      </c>
      <c r="N193" s="13" t="n">
        <f aca="false">SUM(B193:M193)</f>
        <v>559.394100919601</v>
      </c>
    </row>
    <row r="194" customFormat="false" ht="15" hidden="false" customHeight="false" outlineLevel="0" collapsed="false">
      <c r="A194" s="11" t="s">
        <v>127</v>
      </c>
      <c r="B194" s="12" t="n">
        <f aca="false">SUMIFS(Data!$H$4:$H$2311,Data!$B$4:$B$2311,"UCO",Data!$C$4:$C$2311,"Korea, South",Data!$E$4:$E$2311,2025,Data!$F$4:$F$2311,1)</f>
        <v>5.51148821132372</v>
      </c>
      <c r="C194" s="12" t="n">
        <f aca="false">SUMIFS(Data!$H$4:$H$2311,Data!$B$4:$B$2311,"UCO",Data!$C$4:$C$2311,"Korea, South",Data!$E$4:$E$2311,2025,Data!$F$4:$F$2311,2)</f>
        <v>85.2340020622954</v>
      </c>
      <c r="D194" s="12" t="n">
        <f aca="false">SUMIFS(Data!$H$4:$H$2311,Data!$B$4:$B$2311,"UCO",Data!$C$4:$C$2311,"Korea, South",Data!$E$4:$E$2311,2025,Data!$F$4:$F$2311,3)</f>
        <v>12.247324618805</v>
      </c>
      <c r="E194" s="12" t="n">
        <f aca="false">SUMIFS(Data!$H$4:$H$2311,Data!$B$4:$B$2311,"UCO",Data!$C$4:$C$2311,"Korea, South",Data!$E$4:$E$2311,2025,Data!$F$4:$F$2311,4)</f>
        <v>29.1519652325883</v>
      </c>
      <c r="F194" s="12" t="n">
        <f aca="false">SUMIFS(Data!$H$4:$H$2311,Data!$B$4:$B$2311,"UCO",Data!$C$4:$C$2311,"Korea, South",Data!$E$4:$E$2311,2025,Data!$F$4:$F$2311,5)</f>
        <v>45.2378045953714</v>
      </c>
      <c r="G194" s="12" t="n">
        <f aca="false">SUMIFS(Data!$H$4:$H$2311,Data!$B$4:$B$2311,"UCO",Data!$C$4:$C$2311,"Korea, South",Data!$E$4:$E$2311,2025,Data!$F$4:$F$2311,6)</f>
        <v>21.0589388882474</v>
      </c>
      <c r="H194" s="12" t="n">
        <f aca="false">SUMIFS(Data!$H$4:$H$2311,Data!$B$4:$B$2311,"UCO",Data!$C$4:$C$2311,"Korea, South",Data!$E$4:$E$2311,2025,Data!$F$4:$F$2311,7)</f>
        <v>66.0478151341405</v>
      </c>
      <c r="I194" s="12" t="n">
        <f aca="false">SUMIFS(Data!$H$4:$H$2311,Data!$B$4:$B$2311,"UCO",Data!$C$4:$C$2311,"Korea, South",Data!$E$4:$E$2311,2025,Data!$F$4:$F$2311,8)</f>
        <v>69.148048059136</v>
      </c>
      <c r="J194" s="12" t="n">
        <f aca="false">SUMIFS(Data!$H$4:$H$2311,Data!$B$4:$B$2311,"UCO",Data!$C$4:$C$2311,"Korea, South",Data!$E$4:$E$2311,2025,Data!$F$4:$F$2311,9)</f>
        <v>0</v>
      </c>
      <c r="K194" s="12" t="n">
        <f aca="false">SUMIFS(Data!$H$4:$H$2311,Data!$B$4:$B$2311,"UCO",Data!$C$4:$C$2311,"Korea, South",Data!$E$4:$E$2311,2025,Data!$F$4:$F$2311,10)</f>
        <v>0</v>
      </c>
      <c r="L194" s="12" t="n">
        <f aca="false">SUMIFS(Data!$H$4:$H$2311,Data!$B$4:$B$2311,"UCO",Data!$C$4:$C$2311,"Korea, South",Data!$E$4:$E$2311,2025,Data!$F$4:$F$2311,11)</f>
        <v>50.1360130903715</v>
      </c>
      <c r="M194" s="12" t="n">
        <f aca="false">SUMIFS(Data!$H$4:$H$2311,Data!$B$4:$B$2311,"UCO",Data!$C$4:$C$2311,"Korea, South",Data!$E$4:$E$2311,2025,Data!$F$4:$F$2311,12)</f>
        <v>58.8734418085887</v>
      </c>
      <c r="N194" s="13" t="n">
        <f aca="false">SUM(B194:M194)</f>
        <v>442.646841700868</v>
      </c>
    </row>
    <row r="195" customFormat="false" ht="15" hidden="false" customHeight="false" outlineLevel="0" collapsed="false">
      <c r="A195" s="11" t="s">
        <v>126</v>
      </c>
      <c r="B195" s="12" t="n">
        <f aca="false">SUMIFS(Data!$H$4:$H$2311,Data!$B$4:$B$2311,"UCO",Data!$C$4:$C$2311,"Indonesia",Data!$E$4:$E$2311,2025,Data!$F$4:$F$2311,1)</f>
        <v>59.434410239341</v>
      </c>
      <c r="C195" s="12" t="n">
        <f aca="false">SUMIFS(Data!$H$4:$H$2311,Data!$B$4:$B$2311,"UCO",Data!$C$4:$C$2311,"Indonesia",Data!$E$4:$E$2311,2025,Data!$F$4:$F$2311,2)</f>
        <v>30.3152828607052</v>
      </c>
      <c r="D195" s="12" t="n">
        <f aca="false">SUMIFS(Data!$H$4:$H$2311,Data!$B$4:$B$2311,"UCO",Data!$C$4:$C$2311,"Indonesia",Data!$E$4:$E$2311,2025,Data!$F$4:$F$2311,3)</f>
        <v>34.9140374649794</v>
      </c>
      <c r="E195" s="12" t="n">
        <f aca="false">SUMIFS(Data!$H$4:$H$2311,Data!$B$4:$B$2311,"UCO",Data!$C$4:$C$2311,"Indonesia",Data!$E$4:$E$2311,2025,Data!$F$4:$F$2311,4)</f>
        <v>0</v>
      </c>
      <c r="F195" s="12" t="n">
        <f aca="false">SUMIFS(Data!$H$4:$H$2311,Data!$B$4:$B$2311,"UCO",Data!$C$4:$C$2311,"Indonesia",Data!$E$4:$E$2311,2025,Data!$F$4:$F$2311,5)</f>
        <v>4.3956140620291</v>
      </c>
      <c r="G195" s="12" t="n">
        <f aca="false">SUMIFS(Data!$H$4:$H$2311,Data!$B$4:$B$2311,"UCO",Data!$C$4:$C$2311,"Indonesia",Data!$E$4:$E$2311,2025,Data!$F$4:$F$2311,6)</f>
        <v>0</v>
      </c>
      <c r="H195" s="12" t="n">
        <f aca="false">SUMIFS(Data!$H$4:$H$2311,Data!$B$4:$B$2311,"UCO",Data!$C$4:$C$2311,"Indonesia",Data!$E$4:$E$2311,2025,Data!$F$4:$F$2311,7)</f>
        <v>4.43978588088049</v>
      </c>
      <c r="I195" s="12" t="n">
        <f aca="false">SUMIFS(Data!$H$4:$H$2311,Data!$B$4:$B$2311,"UCO",Data!$C$4:$C$2311,"Indonesia",Data!$E$4:$E$2311,2025,Data!$F$4:$F$2311,8)</f>
        <v>0</v>
      </c>
      <c r="J195" s="12" t="n">
        <f aca="false">SUMIFS(Data!$H$4:$H$2311,Data!$B$4:$B$2311,"UCO",Data!$C$4:$C$2311,"Indonesia",Data!$E$4:$E$2311,2025,Data!$F$4:$F$2311,9)</f>
        <v>0</v>
      </c>
      <c r="K195" s="12" t="n">
        <f aca="false">SUMIFS(Data!$H$4:$H$2311,Data!$B$4:$B$2311,"UCO",Data!$C$4:$C$2311,"Indonesia",Data!$E$4:$E$2311,2025,Data!$F$4:$F$2311,10)</f>
        <v>45.039364308556</v>
      </c>
      <c r="L195" s="12" t="n">
        <f aca="false">SUMIFS(Data!$H$4:$H$2311,Data!$B$4:$B$2311,"UCO",Data!$C$4:$C$2311,"Indonesia",Data!$E$4:$E$2311,2025,Data!$F$4:$F$2311,11)</f>
        <v>33.2402945843387</v>
      </c>
      <c r="M195" s="12" t="n">
        <f aca="false">SUMIFS(Data!$H$4:$H$2311,Data!$B$4:$B$2311,"UCO",Data!$C$4:$C$2311,"Indonesia",Data!$E$4:$E$2311,2025,Data!$F$4:$F$2311,12)</f>
        <v>0</v>
      </c>
      <c r="N195" s="13" t="n">
        <f aca="false">SUM(B195:M195)</f>
        <v>211.77878940083</v>
      </c>
    </row>
    <row r="196" customFormat="false" ht="15" hidden="false" customHeight="false" outlineLevel="0" collapsed="false">
      <c r="A196" s="11" t="s">
        <v>78</v>
      </c>
      <c r="B196" s="12" t="n">
        <f aca="false">SUMIFS(Data!$H$4:$H$2311,Data!$B$4:$B$2311,"UCO",Data!$C$4:$C$2311,"New Zealand",Data!$E$4:$E$2311,2025,Data!$F$4:$F$2311,1)</f>
        <v>7.95750819177581</v>
      </c>
      <c r="C196" s="12" t="n">
        <f aca="false">SUMIFS(Data!$H$4:$H$2311,Data!$B$4:$B$2311,"UCO",Data!$C$4:$C$2311,"New Zealand",Data!$E$4:$E$2311,2025,Data!$F$4:$F$2311,2)</f>
        <v>10.1807885348745</v>
      </c>
      <c r="D196" s="12" t="n">
        <f aca="false">SUMIFS(Data!$H$4:$H$2311,Data!$B$4:$B$2311,"UCO",Data!$C$4:$C$2311,"New Zealand",Data!$E$4:$E$2311,2025,Data!$F$4:$F$2311,3)</f>
        <v>52.2728523850901</v>
      </c>
      <c r="E196" s="12" t="n">
        <f aca="false">SUMIFS(Data!$H$4:$H$2311,Data!$B$4:$B$2311,"UCO",Data!$C$4:$C$2311,"New Zealand",Data!$E$4:$E$2311,2025,Data!$F$4:$F$2311,4)</f>
        <v>0</v>
      </c>
      <c r="F196" s="12" t="n">
        <f aca="false">SUMIFS(Data!$H$4:$H$2311,Data!$B$4:$B$2311,"UCO",Data!$C$4:$C$2311,"New Zealand",Data!$E$4:$E$2311,2025,Data!$F$4:$F$2311,5)</f>
        <v>39.407289853685</v>
      </c>
      <c r="G196" s="12" t="n">
        <f aca="false">SUMIFS(Data!$H$4:$H$2311,Data!$B$4:$B$2311,"UCO",Data!$C$4:$C$2311,"New Zealand",Data!$E$4:$E$2311,2025,Data!$F$4:$F$2311,6)</f>
        <v>0</v>
      </c>
      <c r="H196" s="12" t="n">
        <f aca="false">SUMIFS(Data!$H$4:$H$2311,Data!$B$4:$B$2311,"UCO",Data!$C$4:$C$2311,"New Zealand",Data!$E$4:$E$2311,2025,Data!$F$4:$F$2311,7)</f>
        <v>9.83407855824929</v>
      </c>
      <c r="I196" s="12" t="n">
        <f aca="false">SUMIFS(Data!$H$4:$H$2311,Data!$B$4:$B$2311,"UCO",Data!$C$4:$C$2311,"New Zealand",Data!$E$4:$E$2311,2025,Data!$F$4:$F$2311,8)</f>
        <v>7.07572748633709</v>
      </c>
      <c r="J196" s="12" t="n">
        <f aca="false">SUMIFS(Data!$H$4:$H$2311,Data!$B$4:$B$2311,"UCO",Data!$C$4:$C$2311,"New Zealand",Data!$E$4:$E$2311,2025,Data!$F$4:$F$2311,9)</f>
        <v>14.8078571074812</v>
      </c>
      <c r="K196" s="12" t="n">
        <f aca="false">SUMIFS(Data!$H$4:$H$2311,Data!$B$4:$B$2311,"UCO",Data!$C$4:$C$2311,"New Zealand",Data!$E$4:$E$2311,2025,Data!$F$4:$F$2311,10)</f>
        <v>5.80494993776342</v>
      </c>
      <c r="L196" s="12" t="n">
        <f aca="false">SUMIFS(Data!$H$4:$H$2311,Data!$B$4:$B$2311,"UCO",Data!$C$4:$C$2311,"New Zealand",Data!$E$4:$E$2311,2025,Data!$F$4:$F$2311,11)</f>
        <v>34.4132949150107</v>
      </c>
      <c r="M196" s="12" t="n">
        <f aca="false">SUMIFS(Data!$H$4:$H$2311,Data!$B$4:$B$2311,"UCO",Data!$C$4:$C$2311,"New Zealand",Data!$E$4:$E$2311,2025,Data!$F$4:$F$2311,12)</f>
        <v>5.04614969603936</v>
      </c>
      <c r="N196" s="13" t="n">
        <f aca="false">SUM(B196:M196)</f>
        <v>186.800496666306</v>
      </c>
    </row>
    <row r="197" customFormat="false" ht="15" hidden="false" customHeight="false" outlineLevel="0" collapsed="false">
      <c r="A197" s="11" t="s">
        <v>74</v>
      </c>
      <c r="B197" s="12" t="n">
        <f aca="false">SUMIFS(Data!$H$4:$H$2311,Data!$B$4:$B$2311,"UCO",Data!$C$4:$C$2311,"United Kingdom",Data!$E$4:$E$2311,2025,Data!$F$4:$F$2311,1)</f>
        <v>40.5789167044636</v>
      </c>
      <c r="C197" s="12" t="n">
        <f aca="false">SUMIFS(Data!$H$4:$H$2311,Data!$B$4:$B$2311,"UCO",Data!$C$4:$C$2311,"United Kingdom",Data!$E$4:$E$2311,2025,Data!$F$4:$F$2311,2)</f>
        <v>33.4537880344161</v>
      </c>
      <c r="D197" s="12" t="n">
        <f aca="false">SUMIFS(Data!$H$4:$H$2311,Data!$B$4:$B$2311,"UCO",Data!$C$4:$C$2311,"United Kingdom",Data!$E$4:$E$2311,2025,Data!$F$4:$F$2311,3)</f>
        <v>40.741146064715</v>
      </c>
      <c r="E197" s="12" t="n">
        <f aca="false">SUMIFS(Data!$H$4:$H$2311,Data!$B$4:$B$2311,"UCO",Data!$C$4:$C$2311,"United Kingdom",Data!$E$4:$E$2311,2025,Data!$F$4:$F$2311,4)</f>
        <v>0</v>
      </c>
      <c r="F197" s="12" t="n">
        <f aca="false">SUMIFS(Data!$H$4:$H$2311,Data!$B$4:$B$2311,"UCO",Data!$C$4:$C$2311,"United Kingdom",Data!$E$4:$E$2311,2025,Data!$F$4:$F$2311,5)</f>
        <v>3.60922517281521</v>
      </c>
      <c r="G197" s="12" t="n">
        <f aca="false">SUMIFS(Data!$H$4:$H$2311,Data!$B$4:$B$2311,"UCO",Data!$C$4:$C$2311,"United Kingdom",Data!$E$4:$E$2311,2025,Data!$F$4:$F$2311,6)</f>
        <v>0.00873691945039155</v>
      </c>
      <c r="H197" s="12" t="n">
        <f aca="false">SUMIFS(Data!$H$4:$H$2311,Data!$B$4:$B$2311,"UCO",Data!$C$4:$C$2311,"United Kingdom",Data!$E$4:$E$2311,2025,Data!$F$4:$F$2311,7)</f>
        <v>0</v>
      </c>
      <c r="I197" s="12" t="n">
        <f aca="false">SUMIFS(Data!$H$4:$H$2311,Data!$B$4:$B$2311,"UCO",Data!$C$4:$C$2311,"United Kingdom",Data!$E$4:$E$2311,2025,Data!$F$4:$F$2311,8)</f>
        <v>0.008686213130089</v>
      </c>
      <c r="J197" s="12" t="n">
        <f aca="false">SUMIFS(Data!$H$4:$H$2311,Data!$B$4:$B$2311,"UCO",Data!$C$4:$C$2311,"United Kingdom",Data!$E$4:$E$2311,2025,Data!$F$4:$F$2311,9)</f>
        <v>0.00124561178134525</v>
      </c>
      <c r="K197" s="12" t="n">
        <f aca="false">SUMIFS(Data!$H$4:$H$2311,Data!$B$4:$B$2311,"UCO",Data!$C$4:$C$2311,"United Kingdom",Data!$E$4:$E$2311,2025,Data!$F$4:$F$2311,10)</f>
        <v>0</v>
      </c>
      <c r="L197" s="12" t="n">
        <f aca="false">SUMIFS(Data!$H$4:$H$2311,Data!$B$4:$B$2311,"UCO",Data!$C$4:$C$2311,"United Kingdom",Data!$E$4:$E$2311,2025,Data!$F$4:$F$2311,11)</f>
        <v>0</v>
      </c>
      <c r="M197" s="12" t="n">
        <f aca="false">SUMIFS(Data!$H$4:$H$2311,Data!$B$4:$B$2311,"UCO",Data!$C$4:$C$2311,"United Kingdom",Data!$E$4:$E$2311,2025,Data!$F$4:$F$2311,12)</f>
        <v>0</v>
      </c>
      <c r="N197" s="13" t="n">
        <f aca="false">SUM(B197:M197)</f>
        <v>118.401744720772</v>
      </c>
    </row>
    <row r="198" customFormat="false" ht="15" hidden="false" customHeight="false" outlineLevel="0" collapsed="false">
      <c r="A198" s="11" t="s">
        <v>73</v>
      </c>
      <c r="B198" s="12" t="n">
        <f aca="false">SUMIFS(Data!$H$4:$H$2311,Data!$B$4:$B$2311,"UCO",Data!$C$4:$C$2311,"Belgium",Data!$E$4:$E$2311,2025,Data!$F$4:$F$2311,1)</f>
        <v>11.5680892075035</v>
      </c>
      <c r="C198" s="12" t="n">
        <f aca="false">SUMIFS(Data!$H$4:$H$2311,Data!$B$4:$B$2311,"UCO",Data!$C$4:$C$2311,"Belgium",Data!$E$4:$E$2311,2025,Data!$F$4:$F$2311,2)</f>
        <v>24.4252212620026</v>
      </c>
      <c r="D198" s="12" t="n">
        <f aca="false">SUMIFS(Data!$H$4:$H$2311,Data!$B$4:$B$2311,"UCO",Data!$C$4:$C$2311,"Belgium",Data!$E$4:$E$2311,2025,Data!$F$4:$F$2311,3)</f>
        <v>13.8927557357358</v>
      </c>
      <c r="E198" s="12" t="n">
        <f aca="false">SUMIFS(Data!$H$4:$H$2311,Data!$B$4:$B$2311,"UCO",Data!$C$4:$C$2311,"Belgium",Data!$E$4:$E$2311,2025,Data!$F$4:$F$2311,4)</f>
        <v>0.0023324907339173</v>
      </c>
      <c r="F198" s="12" t="n">
        <f aca="false">SUMIFS(Data!$H$4:$H$2311,Data!$B$4:$B$2311,"UCO",Data!$C$4:$C$2311,"Belgium",Data!$E$4:$E$2311,2025,Data!$F$4:$F$2311,5)</f>
        <v>26.4746604975006</v>
      </c>
      <c r="G198" s="12" t="n">
        <f aca="false">SUMIFS(Data!$H$4:$H$2311,Data!$B$4:$B$2311,"UCO",Data!$C$4:$C$2311,"Belgium",Data!$E$4:$E$2311,2025,Data!$F$4:$F$2311,6)</f>
        <v>4.89634558888465</v>
      </c>
      <c r="H198" s="12" t="n">
        <f aca="false">SUMIFS(Data!$H$4:$H$2311,Data!$B$4:$B$2311,"UCO",Data!$C$4:$C$2311,"Belgium",Data!$E$4:$E$2311,2025,Data!$F$4:$F$2311,7)</f>
        <v>6.78569615269699</v>
      </c>
      <c r="I198" s="12" t="n">
        <f aca="false">SUMIFS(Data!$H$4:$H$2311,Data!$B$4:$B$2311,"UCO",Data!$C$4:$C$2311,"Belgium",Data!$E$4:$E$2311,2025,Data!$F$4:$F$2311,8)</f>
        <v>5.49690463268019</v>
      </c>
      <c r="J198" s="12" t="n">
        <f aca="false">SUMIFS(Data!$H$4:$H$2311,Data!$B$4:$B$2311,"UCO",Data!$C$4:$C$2311,"Belgium",Data!$E$4:$E$2311,2025,Data!$F$4:$F$2311,9)</f>
        <v>22.9937179058056</v>
      </c>
      <c r="K198" s="12" t="n">
        <f aca="false">SUMIFS(Data!$H$4:$H$2311,Data!$B$4:$B$2311,"UCO",Data!$C$4:$C$2311,"Belgium",Data!$E$4:$E$2311,2025,Data!$F$4:$F$2311,10)</f>
        <v>0.001499143382858</v>
      </c>
      <c r="L198" s="12" t="n">
        <f aca="false">SUMIFS(Data!$H$4:$H$2311,Data!$B$4:$B$2311,"UCO",Data!$C$4:$C$2311,"Belgium",Data!$E$4:$E$2311,2025,Data!$F$4:$F$2311,11)</f>
        <v>0</v>
      </c>
      <c r="M198" s="12" t="n">
        <f aca="false">SUMIFS(Data!$H$4:$H$2311,Data!$B$4:$B$2311,"UCO",Data!$C$4:$C$2311,"Belgium",Data!$E$4:$E$2311,2025,Data!$F$4:$F$2311,12)</f>
        <v>0.0024471311102535</v>
      </c>
      <c r="N198" s="13" t="n">
        <f aca="false">SUM(B198:M198)</f>
        <v>116.539669748037</v>
      </c>
    </row>
    <row r="199" customFormat="false" ht="15" hidden="false" customHeight="false" outlineLevel="0" collapsed="false">
      <c r="A199" s="11" t="s">
        <v>75</v>
      </c>
      <c r="B199" s="12" t="n">
        <f aca="false">SUMIFS(Data!$H$4:$H$2311,Data!$B$4:$B$2311,"UCO",Data!$C$4:$C$2311,"Vietnam",Data!$E$4:$E$2311,2025,Data!$F$4:$F$2311,1)</f>
        <v>5.15596856270157</v>
      </c>
      <c r="C199" s="12" t="n">
        <f aca="false">SUMIFS(Data!$H$4:$H$2311,Data!$B$4:$B$2311,"UCO",Data!$C$4:$C$2311,"Vietnam",Data!$E$4:$E$2311,2025,Data!$F$4:$F$2311,2)</f>
        <v>0.452926489923351</v>
      </c>
      <c r="D199" s="12" t="n">
        <f aca="false">SUMIFS(Data!$H$4:$H$2311,Data!$B$4:$B$2311,"UCO",Data!$C$4:$C$2311,"Vietnam",Data!$E$4:$E$2311,2025,Data!$F$4:$F$2311,3)</f>
        <v>10.9828258354583</v>
      </c>
      <c r="E199" s="12" t="n">
        <f aca="false">SUMIFS(Data!$H$4:$H$2311,Data!$B$4:$B$2311,"UCO",Data!$C$4:$C$2311,"Vietnam",Data!$E$4:$E$2311,2025,Data!$F$4:$F$2311,4)</f>
        <v>0</v>
      </c>
      <c r="F199" s="12" t="n">
        <f aca="false">SUMIFS(Data!$H$4:$H$2311,Data!$B$4:$B$2311,"UCO",Data!$C$4:$C$2311,"Vietnam",Data!$E$4:$E$2311,2025,Data!$F$4:$F$2311,5)</f>
        <v>1.2696201216972</v>
      </c>
      <c r="G199" s="12" t="n">
        <f aca="false">SUMIFS(Data!$H$4:$H$2311,Data!$B$4:$B$2311,"UCO",Data!$C$4:$C$2311,"Vietnam",Data!$E$4:$E$2311,2025,Data!$F$4:$F$2311,6)</f>
        <v>26.0051640639514</v>
      </c>
      <c r="H199" s="12" t="n">
        <f aca="false">SUMIFS(Data!$H$4:$H$2311,Data!$B$4:$B$2311,"UCO",Data!$C$4:$C$2311,"Vietnam",Data!$E$4:$E$2311,2025,Data!$F$4:$F$2311,7)</f>
        <v>4.13939723016294</v>
      </c>
      <c r="I199" s="12" t="n">
        <f aca="false">SUMIFS(Data!$H$4:$H$2311,Data!$B$4:$B$2311,"UCO",Data!$C$4:$C$2311,"Vietnam",Data!$E$4:$E$2311,2025,Data!$F$4:$F$2311,8)</f>
        <v>18.7375881124383</v>
      </c>
      <c r="J199" s="12" t="n">
        <f aca="false">SUMIFS(Data!$H$4:$H$2311,Data!$B$4:$B$2311,"UCO",Data!$C$4:$C$2311,"Vietnam",Data!$E$4:$E$2311,2025,Data!$F$4:$F$2311,9)</f>
        <v>9.18712984524478</v>
      </c>
      <c r="K199" s="12" t="n">
        <f aca="false">SUMIFS(Data!$H$4:$H$2311,Data!$B$4:$B$2311,"UCO",Data!$C$4:$C$2311,"Vietnam",Data!$E$4:$E$2311,2025,Data!$F$4:$F$2311,10)</f>
        <v>0</v>
      </c>
      <c r="L199" s="12" t="n">
        <f aca="false">SUMIFS(Data!$H$4:$H$2311,Data!$B$4:$B$2311,"UCO",Data!$C$4:$C$2311,"Vietnam",Data!$E$4:$E$2311,2025,Data!$F$4:$F$2311,11)</f>
        <v>2.65943847336028</v>
      </c>
      <c r="M199" s="12" t="n">
        <f aca="false">SUMIFS(Data!$H$4:$H$2311,Data!$B$4:$B$2311,"UCO",Data!$C$4:$C$2311,"Vietnam",Data!$E$4:$E$2311,2025,Data!$F$4:$F$2311,12)</f>
        <v>20.884063812637</v>
      </c>
      <c r="N199" s="13" t="n">
        <f aca="false">SUM(B199:M199)</f>
        <v>99.4741225475752</v>
      </c>
    </row>
    <row r="200" customFormat="false" ht="15" hidden="false" customHeight="false" outlineLevel="0" collapsed="false">
      <c r="A200" s="11" t="s">
        <v>59</v>
      </c>
      <c r="B200" s="12" t="n">
        <f aca="false">SUMIFS(Data!$H$4:$H$2311,Data!$B$4:$B$2311,"UCO",Data!$C$4:$C$2311,"Germany",Data!$E$4:$E$2311,2025,Data!$F$4:$F$2311,1)</f>
        <v>0.0110253177318719</v>
      </c>
      <c r="C200" s="12" t="n">
        <f aca="false">SUMIFS(Data!$H$4:$H$2311,Data!$B$4:$B$2311,"UCO",Data!$C$4:$C$2311,"Germany",Data!$E$4:$E$2311,2025,Data!$F$4:$F$2311,2)</f>
        <v>12.0311459383742</v>
      </c>
      <c r="D200" s="12" t="n">
        <f aca="false">SUMIFS(Data!$H$4:$H$2311,Data!$B$4:$B$2311,"UCO",Data!$C$4:$C$2311,"Germany",Data!$E$4:$E$2311,2025,Data!$F$4:$F$2311,3)</f>
        <v>0.004012413171767</v>
      </c>
      <c r="E200" s="12" t="n">
        <f aca="false">SUMIFS(Data!$H$4:$H$2311,Data!$B$4:$B$2311,"UCO",Data!$C$4:$C$2311,"Germany",Data!$E$4:$E$2311,2025,Data!$F$4:$F$2311,4)</f>
        <v>0.00749571691429</v>
      </c>
      <c r="F200" s="12" t="n">
        <f aca="false">SUMIFS(Data!$H$4:$H$2311,Data!$B$4:$B$2311,"UCO",Data!$C$4:$C$2311,"Germany",Data!$E$4:$E$2311,2025,Data!$F$4:$F$2311,5)</f>
        <v>9.92012056993485</v>
      </c>
      <c r="G200" s="12" t="n">
        <f aca="false">SUMIFS(Data!$H$4:$H$2311,Data!$B$4:$B$2311,"UCO",Data!$C$4:$C$2311,"Germany",Data!$E$4:$E$2311,2025,Data!$F$4:$F$2311,6)</f>
        <v>19.8755768312527</v>
      </c>
      <c r="H200" s="12" t="n">
        <f aca="false">SUMIFS(Data!$H$4:$H$2311,Data!$B$4:$B$2311,"UCO",Data!$C$4:$C$2311,"Germany",Data!$E$4:$E$2311,2025,Data!$F$4:$F$2311,7)</f>
        <v>14.0408997620563</v>
      </c>
      <c r="I200" s="12" t="n">
        <f aca="false">SUMIFS(Data!$H$4:$H$2311,Data!$B$4:$B$2311,"UCO",Data!$C$4:$C$2311,"Germany",Data!$E$4:$E$2311,2025,Data!$F$4:$F$2311,8)</f>
        <v>9.35791534589164</v>
      </c>
      <c r="J200" s="12" t="n">
        <f aca="false">SUMIFS(Data!$H$4:$H$2311,Data!$B$4:$B$2311,"UCO",Data!$C$4:$C$2311,"Germany",Data!$E$4:$E$2311,2025,Data!$F$4:$F$2311,9)</f>
        <v>9.3389026804008</v>
      </c>
      <c r="K200" s="12" t="n">
        <f aca="false">SUMIFS(Data!$H$4:$H$2311,Data!$B$4:$B$2311,"UCO",Data!$C$4:$C$2311,"Germany",Data!$E$4:$E$2311,2025,Data!$F$4:$F$2311,10)</f>
        <v>0.060303042575463</v>
      </c>
      <c r="L200" s="12" t="n">
        <f aca="false">SUMIFS(Data!$H$4:$H$2311,Data!$B$4:$B$2311,"UCO",Data!$C$4:$C$2311,"Germany",Data!$E$4:$E$2311,2025,Data!$F$4:$F$2311,11)</f>
        <v>3.9566670841509</v>
      </c>
      <c r="M200" s="12" t="n">
        <f aca="false">SUMIFS(Data!$H$4:$H$2311,Data!$B$4:$B$2311,"UCO",Data!$C$4:$C$2311,"Germany",Data!$E$4:$E$2311,2025,Data!$F$4:$F$2311,12)</f>
        <v>0.0131880525239067</v>
      </c>
      <c r="N200" s="13" t="n">
        <f aca="false">SUM(B200:M200)</f>
        <v>78.6172527549787</v>
      </c>
    </row>
    <row r="201" customFormat="false" ht="15" hidden="false" customHeight="false" outlineLevel="0" collapsed="false">
      <c r="A201" s="11" t="s">
        <v>92</v>
      </c>
      <c r="B201" s="12" t="n">
        <f aca="false">SUMIFS(Data!$H$4:$H$2311,Data!$B$4:$B$2311,"UCO",Data!$C$4:$C$2311,"Colombia",Data!$E$4:$E$2311,2025,Data!$F$4:$F$2311,1)</f>
        <v>13.7769402955422</v>
      </c>
      <c r="C201" s="12" t="n">
        <f aca="false">SUMIFS(Data!$H$4:$H$2311,Data!$B$4:$B$2311,"UCO",Data!$C$4:$C$2311,"Colombia",Data!$E$4:$E$2311,2025,Data!$F$4:$F$2311,2)</f>
        <v>0</v>
      </c>
      <c r="D201" s="12" t="n">
        <f aca="false">SUMIFS(Data!$H$4:$H$2311,Data!$B$4:$B$2311,"UCO",Data!$C$4:$C$2311,"Colombia",Data!$E$4:$E$2311,2025,Data!$F$4:$F$2311,3)</f>
        <v>0</v>
      </c>
      <c r="E201" s="12" t="n">
        <f aca="false">SUMIFS(Data!$H$4:$H$2311,Data!$B$4:$B$2311,"UCO",Data!$C$4:$C$2311,"Colombia",Data!$E$4:$E$2311,2025,Data!$F$4:$F$2311,4)</f>
        <v>13.557434839575</v>
      </c>
      <c r="F201" s="12" t="n">
        <f aca="false">SUMIFS(Data!$H$4:$H$2311,Data!$B$4:$B$2311,"UCO",Data!$C$4:$C$2311,"Colombia",Data!$E$4:$E$2311,2025,Data!$F$4:$F$2311,5)</f>
        <v>12.0005854595901</v>
      </c>
      <c r="G201" s="12" t="n">
        <f aca="false">SUMIFS(Data!$H$4:$H$2311,Data!$B$4:$B$2311,"UCO",Data!$C$4:$C$2311,"Colombia",Data!$E$4:$E$2311,2025,Data!$F$4:$F$2311,6)</f>
        <v>0</v>
      </c>
      <c r="H201" s="12" t="n">
        <f aca="false">SUMIFS(Data!$H$4:$H$2311,Data!$B$4:$B$2311,"UCO",Data!$C$4:$C$2311,"Colombia",Data!$E$4:$E$2311,2025,Data!$F$4:$F$2311,7)</f>
        <v>0</v>
      </c>
      <c r="I201" s="12" t="n">
        <f aca="false">SUMIFS(Data!$H$4:$H$2311,Data!$B$4:$B$2311,"UCO",Data!$C$4:$C$2311,"Colombia",Data!$E$4:$E$2311,2025,Data!$F$4:$F$2311,8)</f>
        <v>13.5449037645925</v>
      </c>
      <c r="J201" s="12" t="n">
        <f aca="false">SUMIFS(Data!$H$4:$H$2311,Data!$B$4:$B$2311,"UCO",Data!$C$4:$C$2311,"Colombia",Data!$E$4:$E$2311,2025,Data!$F$4:$F$2311,9)</f>
        <v>0</v>
      </c>
      <c r="K201" s="12" t="n">
        <f aca="false">SUMIFS(Data!$H$4:$H$2311,Data!$B$4:$B$2311,"UCO",Data!$C$4:$C$2311,"Colombia",Data!$E$4:$E$2311,2025,Data!$F$4:$F$2311,10)</f>
        <v>10.6922102768234</v>
      </c>
      <c r="L201" s="12" t="n">
        <f aca="false">SUMIFS(Data!$H$4:$H$2311,Data!$B$4:$B$2311,"UCO",Data!$C$4:$C$2311,"Colombia",Data!$E$4:$E$2311,2025,Data!$F$4:$F$2311,11)</f>
        <v>13.1994967199367</v>
      </c>
      <c r="M201" s="12" t="n">
        <f aca="false">SUMIFS(Data!$H$4:$H$2311,Data!$B$4:$B$2311,"UCO",Data!$C$4:$C$2311,"Colombia",Data!$E$4:$E$2311,2025,Data!$F$4:$F$2311,12)</f>
        <v>0</v>
      </c>
      <c r="N201" s="13" t="n">
        <f aca="false">SUM(B201:M201)</f>
        <v>76.7715713560599</v>
      </c>
    </row>
    <row r="202" customFormat="false" ht="15" hidden="false" customHeight="false" outlineLevel="0" collapsed="false">
      <c r="A202" s="11" t="s">
        <v>45</v>
      </c>
      <c r="B202" s="12" t="n">
        <f aca="false">SUMIFS(Data!$H$4:$H$2311,Data!$B$4:$B$2311,"UCO",Data!$C$4:$C$2311,"Chile",Data!$E$4:$E$2311,2025,Data!$F$4:$F$2311,1)</f>
        <v>0</v>
      </c>
      <c r="C202" s="12" t="n">
        <f aca="false">SUMIFS(Data!$H$4:$H$2311,Data!$B$4:$B$2311,"UCO",Data!$C$4:$C$2311,"Chile",Data!$E$4:$E$2311,2025,Data!$F$4:$F$2311,2)</f>
        <v>0</v>
      </c>
      <c r="D202" s="12" t="n">
        <f aca="false">SUMIFS(Data!$H$4:$H$2311,Data!$B$4:$B$2311,"UCO",Data!$C$4:$C$2311,"Chile",Data!$E$4:$E$2311,2025,Data!$F$4:$F$2311,3)</f>
        <v>0</v>
      </c>
      <c r="E202" s="12" t="n">
        <f aca="false">SUMIFS(Data!$H$4:$H$2311,Data!$B$4:$B$2311,"UCO",Data!$C$4:$C$2311,"Chile",Data!$E$4:$E$2311,2025,Data!$F$4:$F$2311,4)</f>
        <v>15.1216057712871</v>
      </c>
      <c r="F202" s="12" t="n">
        <f aca="false">SUMIFS(Data!$H$4:$H$2311,Data!$B$4:$B$2311,"UCO",Data!$C$4:$C$2311,"Chile",Data!$E$4:$E$2311,2025,Data!$F$4:$F$2311,5)</f>
        <v>11.8652392675895</v>
      </c>
      <c r="G202" s="12" t="n">
        <f aca="false">SUMIFS(Data!$H$4:$H$2311,Data!$B$4:$B$2311,"UCO",Data!$C$4:$C$2311,"Chile",Data!$E$4:$E$2311,2025,Data!$F$4:$F$2311,6)</f>
        <v>0</v>
      </c>
      <c r="H202" s="12" t="n">
        <f aca="false">SUMIFS(Data!$H$4:$H$2311,Data!$B$4:$B$2311,"UCO",Data!$C$4:$C$2311,"Chile",Data!$E$4:$E$2311,2025,Data!$F$4:$F$2311,7)</f>
        <v>12.2102252293245</v>
      </c>
      <c r="I202" s="12" t="n">
        <f aca="false">SUMIFS(Data!$H$4:$H$2311,Data!$B$4:$B$2311,"UCO",Data!$C$4:$C$2311,"Chile",Data!$E$4:$E$2311,2025,Data!$F$4:$F$2311,8)</f>
        <v>0</v>
      </c>
      <c r="J202" s="12" t="n">
        <f aca="false">SUMIFS(Data!$H$4:$H$2311,Data!$B$4:$B$2311,"UCO",Data!$C$4:$C$2311,"Chile",Data!$E$4:$E$2311,2025,Data!$F$4:$F$2311,9)</f>
        <v>11.8182146670654</v>
      </c>
      <c r="K202" s="12" t="n">
        <f aca="false">SUMIFS(Data!$H$4:$H$2311,Data!$B$4:$B$2311,"UCO",Data!$C$4:$C$2311,"Chile",Data!$E$4:$E$2311,2025,Data!$F$4:$F$2311,10)</f>
        <v>14.1365318821469</v>
      </c>
      <c r="L202" s="12" t="n">
        <f aca="false">SUMIFS(Data!$H$4:$H$2311,Data!$B$4:$B$2311,"UCO",Data!$C$4:$C$2311,"Chile",Data!$E$4:$E$2311,2025,Data!$F$4:$F$2311,11)</f>
        <v>6.3293150191252</v>
      </c>
      <c r="M202" s="12" t="n">
        <f aca="false">SUMIFS(Data!$H$4:$H$2311,Data!$B$4:$B$2311,"UCO",Data!$C$4:$C$2311,"Chile",Data!$E$4:$E$2311,2025,Data!$F$4:$F$2311,12)</f>
        <v>0</v>
      </c>
      <c r="N202" s="13" t="n">
        <f aca="false">SUM(B202:M202)</f>
        <v>71.4811318365386</v>
      </c>
    </row>
    <row r="203" customFormat="false" ht="15" hidden="false" customHeight="false" outlineLevel="0" collapsed="false">
      <c r="A203" s="11" t="s">
        <v>128</v>
      </c>
      <c r="B203" s="12" t="n">
        <f aca="false">SUMIFS(Data!$H$4:$H$2311,Data!$B$4:$B$2311,"UCO",Data!$C$4:$C$2311,"Poland",Data!$E$4:$E$2311,2025,Data!$F$4:$F$2311,1)</f>
        <v>0</v>
      </c>
      <c r="C203" s="12" t="n">
        <f aca="false">SUMIFS(Data!$H$4:$H$2311,Data!$B$4:$B$2311,"UCO",Data!$C$4:$C$2311,"Poland",Data!$E$4:$E$2311,2025,Data!$F$4:$F$2311,2)</f>
        <v>4.58970242378891</v>
      </c>
      <c r="D203" s="12" t="n">
        <f aca="false">SUMIFS(Data!$H$4:$H$2311,Data!$B$4:$B$2311,"UCO",Data!$C$4:$C$2311,"Poland",Data!$E$4:$E$2311,2025,Data!$F$4:$F$2311,3)</f>
        <v>0</v>
      </c>
      <c r="E203" s="12" t="n">
        <f aca="false">SUMIFS(Data!$H$4:$H$2311,Data!$B$4:$B$2311,"UCO",Data!$C$4:$C$2311,"Poland",Data!$E$4:$E$2311,2025,Data!$F$4:$F$2311,4)</f>
        <v>0</v>
      </c>
      <c r="F203" s="12" t="n">
        <f aca="false">SUMIFS(Data!$H$4:$H$2311,Data!$B$4:$B$2311,"UCO",Data!$C$4:$C$2311,"Poland",Data!$E$4:$E$2311,2025,Data!$F$4:$F$2311,5)</f>
        <v>9.21617574828766</v>
      </c>
      <c r="G203" s="12" t="n">
        <f aca="false">SUMIFS(Data!$H$4:$H$2311,Data!$B$4:$B$2311,"UCO",Data!$C$4:$C$2311,"Poland",Data!$E$4:$E$2311,2025,Data!$F$4:$F$2311,6)</f>
        <v>10.1341475386867</v>
      </c>
      <c r="H203" s="12" t="n">
        <f aca="false">SUMIFS(Data!$H$4:$H$2311,Data!$B$4:$B$2311,"UCO",Data!$C$4:$C$2311,"Poland",Data!$E$4:$E$2311,2025,Data!$F$4:$F$2311,7)</f>
        <v>10.3685804944263</v>
      </c>
      <c r="I203" s="12" t="n">
        <f aca="false">SUMIFS(Data!$H$4:$H$2311,Data!$B$4:$B$2311,"UCO",Data!$C$4:$C$2311,"Poland",Data!$E$4:$E$2311,2025,Data!$F$4:$F$2311,8)</f>
        <v>11.8236997681486</v>
      </c>
      <c r="J203" s="12" t="n">
        <f aca="false">SUMIFS(Data!$H$4:$H$2311,Data!$B$4:$B$2311,"UCO",Data!$C$4:$C$2311,"Poland",Data!$E$4:$E$2311,2025,Data!$F$4:$F$2311,9)</f>
        <v>11.2899848822476</v>
      </c>
      <c r="K203" s="12" t="n">
        <f aca="false">SUMIFS(Data!$H$4:$H$2311,Data!$B$4:$B$2311,"UCO",Data!$C$4:$C$2311,"Poland",Data!$E$4:$E$2311,2025,Data!$F$4:$F$2311,10)</f>
        <v>0</v>
      </c>
      <c r="L203" s="12" t="n">
        <f aca="false">SUMIFS(Data!$H$4:$H$2311,Data!$B$4:$B$2311,"UCO",Data!$C$4:$C$2311,"Poland",Data!$E$4:$E$2311,2025,Data!$F$4:$F$2311,11)</f>
        <v>6.67394383199541</v>
      </c>
      <c r="M203" s="12" t="n">
        <f aca="false">SUMIFS(Data!$H$4:$H$2311,Data!$B$4:$B$2311,"UCO",Data!$C$4:$C$2311,"Poland",Data!$E$4:$E$2311,2025,Data!$F$4:$F$2311,12)</f>
        <v>0</v>
      </c>
      <c r="N203" s="13" t="n">
        <f aca="false">SUM(B203:M203)</f>
        <v>64.0962346875812</v>
      </c>
    </row>
    <row r="204" customFormat="false" ht="15" hidden="false" customHeight="false" outlineLevel="0" collapsed="false">
      <c r="A204" s="11" t="s">
        <v>61</v>
      </c>
      <c r="B204" s="12" t="n">
        <f aca="false">SUMIFS(Data!$H$4:$H$2311,Data!$B$4:$B$2311,"UCO",Data!$C$4:$C$2311,"Netherlands",Data!$E$4:$E$2311,2025,Data!$F$4:$F$2311,1)</f>
        <v>0</v>
      </c>
      <c r="C204" s="12" t="n">
        <f aca="false">SUMIFS(Data!$H$4:$H$2311,Data!$B$4:$B$2311,"UCO",Data!$C$4:$C$2311,"Netherlands",Data!$E$4:$E$2311,2025,Data!$F$4:$F$2311,2)</f>
        <v>9.08181061335377</v>
      </c>
      <c r="D204" s="12" t="n">
        <f aca="false">SUMIFS(Data!$H$4:$H$2311,Data!$B$4:$B$2311,"UCO",Data!$C$4:$C$2311,"Netherlands",Data!$E$4:$E$2311,2025,Data!$F$4:$F$2311,3)</f>
        <v>0</v>
      </c>
      <c r="E204" s="12" t="n">
        <f aca="false">SUMIFS(Data!$H$4:$H$2311,Data!$B$4:$B$2311,"UCO",Data!$C$4:$C$2311,"Netherlands",Data!$E$4:$E$2311,2025,Data!$F$4:$F$2311,4)</f>
        <v>0.0163693229672363</v>
      </c>
      <c r="F204" s="12" t="n">
        <f aca="false">SUMIFS(Data!$H$4:$H$2311,Data!$B$4:$B$2311,"UCO",Data!$C$4:$C$2311,"Netherlands",Data!$E$4:$E$2311,2025,Data!$F$4:$F$2311,5)</f>
        <v>15.8337870630496</v>
      </c>
      <c r="G204" s="12" t="n">
        <f aca="false">SUMIFS(Data!$H$4:$H$2311,Data!$B$4:$B$2311,"UCO",Data!$C$4:$C$2311,"Netherlands",Data!$E$4:$E$2311,2025,Data!$F$4:$F$2311,6)</f>
        <v>8.48876712807611</v>
      </c>
      <c r="H204" s="12" t="n">
        <f aca="false">SUMIFS(Data!$H$4:$H$2311,Data!$B$4:$B$2311,"UCO",Data!$C$4:$C$2311,"Netherlands",Data!$E$4:$E$2311,2025,Data!$F$4:$F$2311,7)</f>
        <v>7.69188423518221</v>
      </c>
      <c r="I204" s="12" t="n">
        <f aca="false">SUMIFS(Data!$H$4:$H$2311,Data!$B$4:$B$2311,"UCO",Data!$C$4:$C$2311,"Netherlands",Data!$E$4:$E$2311,2025,Data!$F$4:$F$2311,8)</f>
        <v>3.3858660365051</v>
      </c>
      <c r="J204" s="12" t="n">
        <f aca="false">SUMIFS(Data!$H$4:$H$2311,Data!$B$4:$B$2311,"UCO",Data!$C$4:$C$2311,"Netherlands",Data!$E$4:$E$2311,2025,Data!$F$4:$F$2311,9)</f>
        <v>6.72833187207645</v>
      </c>
      <c r="K204" s="12" t="n">
        <f aca="false">SUMIFS(Data!$H$4:$H$2311,Data!$B$4:$B$2311,"UCO",Data!$C$4:$C$2311,"Netherlands",Data!$E$4:$E$2311,2025,Data!$F$4:$F$2311,10)</f>
        <v>0</v>
      </c>
      <c r="L204" s="12" t="n">
        <f aca="false">SUMIFS(Data!$H$4:$H$2311,Data!$B$4:$B$2311,"UCO",Data!$C$4:$C$2311,"Netherlands",Data!$E$4:$E$2311,2025,Data!$F$4:$F$2311,11)</f>
        <v>0</v>
      </c>
      <c r="M204" s="12" t="n">
        <f aca="false">SUMIFS(Data!$H$4:$H$2311,Data!$B$4:$B$2311,"UCO",Data!$C$4:$C$2311,"Netherlands",Data!$E$4:$E$2311,2025,Data!$F$4:$F$2311,12)</f>
        <v>0</v>
      </c>
      <c r="N204" s="13" t="n">
        <f aca="false">SUM(B204:M204)</f>
        <v>51.2268162712104</v>
      </c>
    </row>
    <row r="205" customFormat="false" ht="15" hidden="false" customHeight="false" outlineLevel="0" collapsed="false">
      <c r="A205" s="11" t="s">
        <v>130</v>
      </c>
      <c r="B205" s="12" t="n">
        <f aca="false">SUMIFS(Data!$H$4:$H$2311,Data!$B$4:$B$2311,"UCO",Data!$C$4:$C$2311,"Ireland",Data!$E$4:$E$2311,2025,Data!$F$4:$F$2311,1)</f>
        <v>15.0086078388042</v>
      </c>
      <c r="C205" s="12" t="n">
        <f aca="false">SUMIFS(Data!$H$4:$H$2311,Data!$B$4:$B$2311,"UCO",Data!$C$4:$C$2311,"Ireland",Data!$E$4:$E$2311,2025,Data!$F$4:$F$2311,2)</f>
        <v>13.209633574752</v>
      </c>
      <c r="D205" s="12" t="n">
        <f aca="false">SUMIFS(Data!$H$4:$H$2311,Data!$B$4:$B$2311,"UCO",Data!$C$4:$C$2311,"Ireland",Data!$E$4:$E$2311,2025,Data!$F$4:$F$2311,3)</f>
        <v>10.806749240519</v>
      </c>
      <c r="E205" s="12" t="n">
        <f aca="false">SUMIFS(Data!$H$4:$H$2311,Data!$B$4:$B$2311,"UCO",Data!$C$4:$C$2311,"Ireland",Data!$E$4:$E$2311,2025,Data!$F$4:$F$2311,4)</f>
        <v>0</v>
      </c>
      <c r="F205" s="12" t="n">
        <f aca="false">SUMIFS(Data!$H$4:$H$2311,Data!$B$4:$B$2311,"UCO",Data!$C$4:$C$2311,"Ireland",Data!$E$4:$E$2311,2025,Data!$F$4:$F$2311,5)</f>
        <v>1.25338307608727</v>
      </c>
      <c r="G205" s="12" t="n">
        <f aca="false">SUMIFS(Data!$H$4:$H$2311,Data!$B$4:$B$2311,"UCO",Data!$C$4:$C$2311,"Ireland",Data!$E$4:$E$2311,2025,Data!$F$4:$F$2311,6)</f>
        <v>0</v>
      </c>
      <c r="H205" s="12" t="n">
        <f aca="false">SUMIFS(Data!$H$4:$H$2311,Data!$B$4:$B$2311,"UCO",Data!$C$4:$C$2311,"Ireland",Data!$E$4:$E$2311,2025,Data!$F$4:$F$2311,7)</f>
        <v>0</v>
      </c>
      <c r="I205" s="12" t="n">
        <f aca="false">SUMIFS(Data!$H$4:$H$2311,Data!$B$4:$B$2311,"UCO",Data!$C$4:$C$2311,"Ireland",Data!$E$4:$E$2311,2025,Data!$F$4:$F$2311,8)</f>
        <v>0</v>
      </c>
      <c r="J205" s="12" t="n">
        <f aca="false">SUMIFS(Data!$H$4:$H$2311,Data!$B$4:$B$2311,"UCO",Data!$C$4:$C$2311,"Ireland",Data!$E$4:$E$2311,2025,Data!$F$4:$F$2311,9)</f>
        <v>0</v>
      </c>
      <c r="K205" s="12" t="n">
        <f aca="false">SUMIFS(Data!$H$4:$H$2311,Data!$B$4:$B$2311,"UCO",Data!$C$4:$C$2311,"Ireland",Data!$E$4:$E$2311,2025,Data!$F$4:$F$2311,10)</f>
        <v>0</v>
      </c>
      <c r="L205" s="12" t="n">
        <f aca="false">SUMIFS(Data!$H$4:$H$2311,Data!$B$4:$B$2311,"UCO",Data!$C$4:$C$2311,"Ireland",Data!$E$4:$E$2311,2025,Data!$F$4:$F$2311,11)</f>
        <v>1.93693954772759</v>
      </c>
      <c r="M205" s="12" t="n">
        <f aca="false">SUMIFS(Data!$H$4:$H$2311,Data!$B$4:$B$2311,"UCO",Data!$C$4:$C$2311,"Ireland",Data!$E$4:$E$2311,2025,Data!$F$4:$F$2311,12)</f>
        <v>0</v>
      </c>
      <c r="N205" s="13" t="n">
        <f aca="false">SUM(B205:M205)</f>
        <v>42.2153132778901</v>
      </c>
    </row>
    <row r="206" customFormat="false" ht="15" hidden="false" customHeight="false" outlineLevel="0" collapsed="false">
      <c r="A206" s="11" t="s">
        <v>47</v>
      </c>
      <c r="B206" s="12" t="n">
        <f aca="false">SUMIFS(Data!$H$4:$H$2311,Data!$B$4:$B$2311,"UCO",Data!$C$4:$C$2311,"Mexico",Data!$E$4:$E$2311,2025,Data!$F$4:$F$2311,1)</f>
        <v>3.48943038878912</v>
      </c>
      <c r="C206" s="12" t="n">
        <f aca="false">SUMIFS(Data!$H$4:$H$2311,Data!$B$4:$B$2311,"UCO",Data!$C$4:$C$2311,"Mexico",Data!$E$4:$E$2311,2025,Data!$F$4:$F$2311,2)</f>
        <v>1.93018678863687</v>
      </c>
      <c r="D206" s="12" t="n">
        <f aca="false">SUMIFS(Data!$H$4:$H$2311,Data!$B$4:$B$2311,"UCO",Data!$C$4:$C$2311,"Mexico",Data!$E$4:$E$2311,2025,Data!$F$4:$F$2311,3)</f>
        <v>1.60752263094815</v>
      </c>
      <c r="E206" s="12" t="n">
        <f aca="false">SUMIFS(Data!$H$4:$H$2311,Data!$B$4:$B$2311,"UCO",Data!$C$4:$C$2311,"Mexico",Data!$E$4:$E$2311,2025,Data!$F$4:$F$2311,4)</f>
        <v>1.43326925891712</v>
      </c>
      <c r="F206" s="12" t="n">
        <f aca="false">SUMIFS(Data!$H$4:$H$2311,Data!$B$4:$B$2311,"UCO",Data!$C$4:$C$2311,"Mexico",Data!$E$4:$E$2311,2025,Data!$F$4:$F$2311,5)</f>
        <v>1.54200124662676</v>
      </c>
      <c r="G206" s="12" t="n">
        <f aca="false">SUMIFS(Data!$H$4:$H$2311,Data!$B$4:$B$2311,"UCO",Data!$C$4:$C$2311,"Mexico",Data!$E$4:$E$2311,2025,Data!$F$4:$F$2311,6)</f>
        <v>0.825474643676674</v>
      </c>
      <c r="H206" s="12" t="n">
        <f aca="false">SUMIFS(Data!$H$4:$H$2311,Data!$B$4:$B$2311,"UCO",Data!$C$4:$C$2311,"Mexico",Data!$E$4:$E$2311,2025,Data!$F$4:$F$2311,7)</f>
        <v>3.11154043442306</v>
      </c>
      <c r="I206" s="12" t="n">
        <f aca="false">SUMIFS(Data!$H$4:$H$2311,Data!$B$4:$B$2311,"UCO",Data!$C$4:$C$2311,"Mexico",Data!$E$4:$E$2311,2025,Data!$F$4:$F$2311,8)</f>
        <v>4.45180327879219</v>
      </c>
      <c r="J206" s="12" t="n">
        <f aca="false">SUMIFS(Data!$H$4:$H$2311,Data!$B$4:$B$2311,"UCO",Data!$C$4:$C$2311,"Mexico",Data!$E$4:$E$2311,2025,Data!$F$4:$F$2311,9)</f>
        <v>4.03240909894718</v>
      </c>
      <c r="K206" s="12" t="n">
        <f aca="false">SUMIFS(Data!$H$4:$H$2311,Data!$B$4:$B$2311,"UCO",Data!$C$4:$C$2311,"Mexico",Data!$E$4:$E$2311,2025,Data!$F$4:$F$2311,10)</f>
        <v>2.0649597787558</v>
      </c>
      <c r="L206" s="12" t="n">
        <f aca="false">SUMIFS(Data!$H$4:$H$2311,Data!$B$4:$B$2311,"UCO",Data!$C$4:$C$2311,"Mexico",Data!$E$4:$E$2311,2025,Data!$F$4:$F$2311,11)</f>
        <v>2.75039899811519</v>
      </c>
      <c r="M206" s="12" t="n">
        <f aca="false">SUMIFS(Data!$H$4:$H$2311,Data!$B$4:$B$2311,"UCO",Data!$C$4:$C$2311,"Mexico",Data!$E$4:$E$2311,2025,Data!$F$4:$F$2311,12)</f>
        <v>1.21720962810796</v>
      </c>
      <c r="N206" s="13" t="n">
        <f aca="false">SUM(B206:M206)</f>
        <v>28.4562061747361</v>
      </c>
    </row>
    <row r="207" customFormat="false" ht="15" hidden="false" customHeight="false" outlineLevel="0" collapsed="false">
      <c r="A207" s="11" t="s">
        <v>67</v>
      </c>
      <c r="B207" s="12" t="n">
        <f aca="false">SUMIFS(Data!$H$4:$H$2311,Data!$B$4:$B$2311,"UCO",Data!$C$4:$C$2311,"Japan",Data!$E$4:$E$2311,2025,Data!$F$4:$F$2311,1)</f>
        <v>1.08348824297964</v>
      </c>
      <c r="C207" s="12" t="n">
        <f aca="false">SUMIFS(Data!$H$4:$H$2311,Data!$B$4:$B$2311,"UCO",Data!$C$4:$C$2311,"Japan",Data!$E$4:$E$2311,2025,Data!$F$4:$F$2311,2)</f>
        <v>0.410134764833243</v>
      </c>
      <c r="D207" s="12" t="n">
        <f aca="false">SUMIFS(Data!$H$4:$H$2311,Data!$B$4:$B$2311,"UCO",Data!$C$4:$C$2311,"Japan",Data!$E$4:$E$2311,2025,Data!$F$4:$F$2311,3)</f>
        <v>0.0048722159942885</v>
      </c>
      <c r="E207" s="12" t="n">
        <f aca="false">SUMIFS(Data!$H$4:$H$2311,Data!$B$4:$B$2311,"UCO",Data!$C$4:$C$2311,"Japan",Data!$E$4:$E$2311,2025,Data!$F$4:$F$2311,4)</f>
        <v>0</v>
      </c>
      <c r="F207" s="12" t="n">
        <f aca="false">SUMIFS(Data!$H$4:$H$2311,Data!$B$4:$B$2311,"UCO",Data!$C$4:$C$2311,"Japan",Data!$E$4:$E$2311,2025,Data!$F$4:$F$2311,5)</f>
        <v>4.51356137229808</v>
      </c>
      <c r="G207" s="12" t="n">
        <f aca="false">SUMIFS(Data!$H$4:$H$2311,Data!$B$4:$B$2311,"UCO",Data!$C$4:$C$2311,"Japan",Data!$E$4:$E$2311,2025,Data!$F$4:$F$2311,6)</f>
        <v>0.006349313150928</v>
      </c>
      <c r="H207" s="12" t="n">
        <f aca="false">SUMIFS(Data!$H$4:$H$2311,Data!$B$4:$B$2311,"UCO",Data!$C$4:$C$2311,"Japan",Data!$E$4:$E$2311,2025,Data!$F$4:$F$2311,7)</f>
        <v>0.005952481078995</v>
      </c>
      <c r="I207" s="12" t="n">
        <f aca="false">SUMIFS(Data!$H$4:$H$2311,Data!$B$4:$B$2311,"UCO",Data!$C$4:$C$2311,"Japan",Data!$E$4:$E$2311,2025,Data!$F$4:$F$2311,8)</f>
        <v>0</v>
      </c>
      <c r="J207" s="12" t="n">
        <f aca="false">SUMIFS(Data!$H$4:$H$2311,Data!$B$4:$B$2311,"UCO",Data!$C$4:$C$2311,"Japan",Data!$E$4:$E$2311,2025,Data!$F$4:$F$2311,9)</f>
        <v>0.0041667367552965</v>
      </c>
      <c r="K207" s="12" t="n">
        <f aca="false">SUMIFS(Data!$H$4:$H$2311,Data!$B$4:$B$2311,"UCO",Data!$C$4:$C$2311,"Japan",Data!$E$4:$E$2311,2025,Data!$F$4:$F$2311,10)</f>
        <v>0.000793664143866</v>
      </c>
      <c r="L207" s="12" t="n">
        <f aca="false">SUMIFS(Data!$H$4:$H$2311,Data!$B$4:$B$2311,"UCO",Data!$C$4:$C$2311,"Japan",Data!$E$4:$E$2311,2025,Data!$F$4:$F$2311,11)</f>
        <v>0.00793664143866</v>
      </c>
      <c r="M207" s="12" t="n">
        <f aca="false">SUMIFS(Data!$H$4:$H$2311,Data!$B$4:$B$2311,"UCO",Data!$C$4:$C$2311,"Japan",Data!$E$4:$E$2311,2025,Data!$F$4:$F$2311,12)</f>
        <v>0</v>
      </c>
      <c r="N207" s="13" t="n">
        <f aca="false">SUM(B207:M207)</f>
        <v>6.037255432673</v>
      </c>
    </row>
    <row r="208" customFormat="false" ht="15" hidden="false" customHeight="false" outlineLevel="0" collapsed="false">
      <c r="A208" s="11" t="s">
        <v>140</v>
      </c>
      <c r="B208" s="12" t="n">
        <f aca="false">SUMIFS(Data!$H$4:$H$2311,Data!$B$4:$B$2311,"UCO",Data!$C$4:$C$2311,"Lithuania",Data!$E$4:$E$2311,2025,Data!$F$4:$F$2311,1)</f>
        <v>0</v>
      </c>
      <c r="C208" s="12" t="n">
        <f aca="false">SUMIFS(Data!$H$4:$H$2311,Data!$B$4:$B$2311,"UCO",Data!$C$4:$C$2311,"Lithuania",Data!$E$4:$E$2311,2025,Data!$F$4:$F$2311,2)</f>
        <v>0</v>
      </c>
      <c r="D208" s="12" t="n">
        <f aca="false">SUMIFS(Data!$H$4:$H$2311,Data!$B$4:$B$2311,"UCO",Data!$C$4:$C$2311,"Lithuania",Data!$E$4:$E$2311,2025,Data!$F$4:$F$2311,3)</f>
        <v>0</v>
      </c>
      <c r="E208" s="12" t="n">
        <f aca="false">SUMIFS(Data!$H$4:$H$2311,Data!$B$4:$B$2311,"UCO",Data!$C$4:$C$2311,"Lithuania",Data!$E$4:$E$2311,2025,Data!$F$4:$F$2311,4)</f>
        <v>0</v>
      </c>
      <c r="F208" s="12" t="n">
        <f aca="false">SUMIFS(Data!$H$4:$H$2311,Data!$B$4:$B$2311,"UCO",Data!$C$4:$C$2311,"Lithuania",Data!$E$4:$E$2311,2025,Data!$F$4:$F$2311,5)</f>
        <v>0.16402392306564</v>
      </c>
      <c r="G208" s="12" t="n">
        <f aca="false">SUMIFS(Data!$H$4:$H$2311,Data!$B$4:$B$2311,"UCO",Data!$C$4:$C$2311,"Lithuania",Data!$E$4:$E$2311,2025,Data!$F$4:$F$2311,6)</f>
        <v>0.970761479079211</v>
      </c>
      <c r="H208" s="12" t="n">
        <f aca="false">SUMIFS(Data!$H$4:$H$2311,Data!$B$4:$B$2311,"UCO",Data!$C$4:$C$2311,"Lithuania",Data!$E$4:$E$2311,2025,Data!$F$4:$F$2311,7)</f>
        <v>0.547958952660818</v>
      </c>
      <c r="I208" s="12" t="n">
        <f aca="false">SUMIFS(Data!$H$4:$H$2311,Data!$B$4:$B$2311,"UCO",Data!$C$4:$C$2311,"Lithuania",Data!$E$4:$E$2311,2025,Data!$F$4:$F$2311,8)</f>
        <v>0.589006821257043</v>
      </c>
      <c r="J208" s="12" t="n">
        <f aca="false">SUMIFS(Data!$H$4:$H$2311,Data!$B$4:$B$2311,"UCO",Data!$C$4:$C$2311,"Lithuania",Data!$E$4:$E$2311,2025,Data!$F$4:$F$2311,9)</f>
        <v>1.13251464084435</v>
      </c>
      <c r="K208" s="12" t="n">
        <f aca="false">SUMIFS(Data!$H$4:$H$2311,Data!$B$4:$B$2311,"UCO",Data!$C$4:$C$2311,"Lithuania",Data!$E$4:$E$2311,2025,Data!$F$4:$F$2311,10)</f>
        <v>0</v>
      </c>
      <c r="L208" s="12" t="n">
        <f aca="false">SUMIFS(Data!$H$4:$H$2311,Data!$B$4:$B$2311,"UCO",Data!$C$4:$C$2311,"Lithuania",Data!$E$4:$E$2311,2025,Data!$F$4:$F$2311,11)</f>
        <v>1.18070769135799</v>
      </c>
      <c r="M208" s="12" t="n">
        <f aca="false">SUMIFS(Data!$H$4:$H$2311,Data!$B$4:$B$2311,"UCO",Data!$C$4:$C$2311,"Lithuania",Data!$E$4:$E$2311,2025,Data!$F$4:$F$2311,12)</f>
        <v>0</v>
      </c>
      <c r="N208" s="13" t="n">
        <f aca="false">SUM(B208:M208)</f>
        <v>4.58497350826504</v>
      </c>
    </row>
    <row r="209" customFormat="false" ht="15" hidden="false" customHeight="false" outlineLevel="0" collapsed="false">
      <c r="A209" s="11" t="s">
        <v>49</v>
      </c>
      <c r="B209" s="12" t="n">
        <f aca="false">SUMIFS(Data!$H$4:$H$2311,Data!$B$4:$B$2311,"UCO",Data!$C$4:$C$2311,"Brazil",Data!$E$4:$E$2311,2025,Data!$F$4:$F$2311,1)</f>
        <v>0.058995701360706</v>
      </c>
      <c r="C209" s="12" t="n">
        <f aca="false">SUMIFS(Data!$H$4:$H$2311,Data!$B$4:$B$2311,"UCO",Data!$C$4:$C$2311,"Brazil",Data!$E$4:$E$2311,2025,Data!$F$4:$F$2311,2)</f>
        <v>0</v>
      </c>
      <c r="D209" s="12" t="n">
        <f aca="false">SUMIFS(Data!$H$4:$H$2311,Data!$B$4:$B$2311,"UCO",Data!$C$4:$C$2311,"Brazil",Data!$E$4:$E$2311,2025,Data!$F$4:$F$2311,3)</f>
        <v>0.00369715213684245</v>
      </c>
      <c r="E209" s="12" t="n">
        <f aca="false">SUMIFS(Data!$H$4:$H$2311,Data!$B$4:$B$2311,"UCO",Data!$C$4:$C$2311,"Brazil",Data!$E$4:$E$2311,2025,Data!$F$4:$F$2311,4)</f>
        <v>0.0002777824503531</v>
      </c>
      <c r="F209" s="12" t="n">
        <f aca="false">SUMIFS(Data!$H$4:$H$2311,Data!$B$4:$B$2311,"UCO",Data!$C$4:$C$2311,"Brazil",Data!$E$4:$E$2311,2025,Data!$F$4:$F$2311,5)</f>
        <v>0</v>
      </c>
      <c r="G209" s="12" t="n">
        <f aca="false">SUMIFS(Data!$H$4:$H$2311,Data!$B$4:$B$2311,"UCO",Data!$C$4:$C$2311,"Brazil",Data!$E$4:$E$2311,2025,Data!$F$4:$F$2311,6)</f>
        <v>3.8882576441949</v>
      </c>
      <c r="H209" s="12" t="n">
        <f aca="false">SUMIFS(Data!$H$4:$H$2311,Data!$B$4:$B$2311,"UCO",Data!$C$4:$C$2311,"Brazil",Data!$E$4:$E$2311,2025,Data!$F$4:$F$2311,7)</f>
        <v>0.0003174656575464</v>
      </c>
      <c r="I209" s="12" t="n">
        <f aca="false">SUMIFS(Data!$H$4:$H$2311,Data!$B$4:$B$2311,"UCO",Data!$C$4:$C$2311,"Brazil",Data!$E$4:$E$2311,2025,Data!$F$4:$F$2311,8)</f>
        <v>0.0768002336547666</v>
      </c>
      <c r="J209" s="12" t="n">
        <f aca="false">SUMIFS(Data!$H$4:$H$2311,Data!$B$4:$B$2311,"UCO",Data!$C$4:$C$2311,"Brazil",Data!$E$4:$E$2311,2025,Data!$F$4:$F$2311,9)</f>
        <v>0.0194050883175237</v>
      </c>
      <c r="K209" s="12" t="n">
        <f aca="false">SUMIFS(Data!$H$4:$H$2311,Data!$B$4:$B$2311,"UCO",Data!$C$4:$C$2311,"Brazil",Data!$E$4:$E$2311,2025,Data!$F$4:$F$2311,10)</f>
        <v>0.0064110425843398</v>
      </c>
      <c r="L209" s="12" t="n">
        <f aca="false">SUMIFS(Data!$H$4:$H$2311,Data!$B$4:$B$2311,"UCO",Data!$C$4:$C$2311,"Brazil",Data!$E$4:$E$2311,2025,Data!$F$4:$F$2311,11)</f>
        <v>0.008994860297148</v>
      </c>
      <c r="M209" s="12" t="n">
        <f aca="false">SUMIFS(Data!$H$4:$H$2311,Data!$B$4:$B$2311,"UCO",Data!$C$4:$C$2311,"Brazil",Data!$E$4:$E$2311,2025,Data!$F$4:$F$2311,12)</f>
        <v>0.0352739619496</v>
      </c>
      <c r="N209" s="13" t="n">
        <f aca="false">SUM(B209:M209)</f>
        <v>4.09843093260372</v>
      </c>
    </row>
    <row r="210" customFormat="false" ht="15" hidden="false" customHeight="false" outlineLevel="0" collapsed="false">
      <c r="A210" s="11" t="s">
        <v>53</v>
      </c>
      <c r="B210" s="12" t="n">
        <f aca="false">SUMIFS(Data!$H$4:$H$2311,Data!$B$4:$B$2311,"UCO",Data!$C$4:$C$2311,"France",Data!$E$4:$E$2311,2025,Data!$F$4:$F$2311,1)</f>
        <v>0.0254060710941994</v>
      </c>
      <c r="C210" s="12" t="n">
        <f aca="false">SUMIFS(Data!$H$4:$H$2311,Data!$B$4:$B$2311,"UCO",Data!$C$4:$C$2311,"France",Data!$E$4:$E$2311,2025,Data!$F$4:$F$2311,2)</f>
        <v>1.20935676232893</v>
      </c>
      <c r="D210" s="12" t="n">
        <f aca="false">SUMIFS(Data!$H$4:$H$2311,Data!$B$4:$B$2311,"UCO",Data!$C$4:$C$2311,"France",Data!$E$4:$E$2311,2025,Data!$F$4:$F$2311,3)</f>
        <v>0.0479659743835905</v>
      </c>
      <c r="E210" s="12" t="n">
        <f aca="false">SUMIFS(Data!$H$4:$H$2311,Data!$B$4:$B$2311,"UCO",Data!$C$4:$C$2311,"France",Data!$E$4:$E$2311,2025,Data!$F$4:$F$2311,4)</f>
        <v>0.056570616476671</v>
      </c>
      <c r="F210" s="12" t="n">
        <f aca="false">SUMIFS(Data!$H$4:$H$2311,Data!$B$4:$B$2311,"UCO",Data!$C$4:$C$2311,"France",Data!$E$4:$E$2311,2025,Data!$F$4:$F$2311,5)</f>
        <v>0.00972018113973665</v>
      </c>
      <c r="G210" s="12" t="n">
        <f aca="false">SUMIFS(Data!$H$4:$H$2311,Data!$B$4:$B$2311,"UCO",Data!$C$4:$C$2311,"France",Data!$E$4:$E$2311,2025,Data!$F$4:$F$2311,6)</f>
        <v>0.0152185099586306</v>
      </c>
      <c r="H210" s="12" t="n">
        <f aca="false">SUMIFS(Data!$H$4:$H$2311,Data!$B$4:$B$2311,"UCO",Data!$C$4:$C$2311,"France",Data!$E$4:$E$2311,2025,Data!$F$4:$F$2311,7)</f>
        <v>0.0180514500277078</v>
      </c>
      <c r="I210" s="12" t="n">
        <f aca="false">SUMIFS(Data!$H$4:$H$2311,Data!$B$4:$B$2311,"UCO",Data!$C$4:$C$2311,"France",Data!$E$4:$E$2311,2025,Data!$F$4:$F$2311,8)</f>
        <v>0.168122316519659</v>
      </c>
      <c r="J210" s="12" t="n">
        <f aca="false">SUMIFS(Data!$H$4:$H$2311,Data!$B$4:$B$2311,"UCO",Data!$C$4:$C$2311,"France",Data!$E$4:$E$2311,2025,Data!$F$4:$F$2311,9)</f>
        <v>0.976094461201466</v>
      </c>
      <c r="K210" s="12" t="n">
        <f aca="false">SUMIFS(Data!$H$4:$H$2311,Data!$B$4:$B$2311,"UCO",Data!$C$4:$C$2311,"France",Data!$E$4:$E$2311,2025,Data!$F$4:$F$2311,10)</f>
        <v>0.0143057961931847</v>
      </c>
      <c r="L210" s="12" t="n">
        <f aca="false">SUMIFS(Data!$H$4:$H$2311,Data!$B$4:$B$2311,"UCO",Data!$C$4:$C$2311,"France",Data!$E$4:$E$2311,2025,Data!$F$4:$F$2311,11)</f>
        <v>1.17467363924198</v>
      </c>
      <c r="M210" s="12" t="n">
        <f aca="false">SUMIFS(Data!$H$4:$H$2311,Data!$B$4:$B$2311,"UCO",Data!$C$4:$C$2311,"France",Data!$E$4:$E$2311,2025,Data!$F$4:$F$2311,12)</f>
        <v>0.030306947182572</v>
      </c>
      <c r="N210" s="13" t="n">
        <f aca="false">SUM(B210:M210)</f>
        <v>3.74579272574833</v>
      </c>
    </row>
    <row r="211" customFormat="false" ht="15" hidden="false" customHeight="false" outlineLevel="0" collapsed="false">
      <c r="A211" s="11" t="s">
        <v>94</v>
      </c>
      <c r="B211" s="12" t="n">
        <f aca="false">SUMIFS(Data!$H$4:$H$2311,Data!$B$4:$B$2311,"UCO",Data!$C$4:$C$2311,"Czech Republic",Data!$E$4:$E$2311,2025,Data!$F$4:$F$2311,1)</f>
        <v>0</v>
      </c>
      <c r="C211" s="12" t="n">
        <f aca="false">SUMIFS(Data!$H$4:$H$2311,Data!$B$4:$B$2311,"UCO",Data!$C$4:$C$2311,"Czech Republic",Data!$E$4:$E$2311,2025,Data!$F$4:$F$2311,2)</f>
        <v>0</v>
      </c>
      <c r="D211" s="12" t="n">
        <f aca="false">SUMIFS(Data!$H$4:$H$2311,Data!$B$4:$B$2311,"UCO",Data!$C$4:$C$2311,"Czech Republic",Data!$E$4:$E$2311,2025,Data!$F$4:$F$2311,3)</f>
        <v>0</v>
      </c>
      <c r="E211" s="12" t="n">
        <f aca="false">SUMIFS(Data!$H$4:$H$2311,Data!$B$4:$B$2311,"UCO",Data!$C$4:$C$2311,"Czech Republic",Data!$E$4:$E$2311,2025,Data!$F$4:$F$2311,4)</f>
        <v>0</v>
      </c>
      <c r="F211" s="12" t="n">
        <f aca="false">SUMIFS(Data!$H$4:$H$2311,Data!$B$4:$B$2311,"UCO",Data!$C$4:$C$2311,"Czech Republic",Data!$E$4:$E$2311,2025,Data!$F$4:$F$2311,5)</f>
        <v>0</v>
      </c>
      <c r="G211" s="12" t="n">
        <f aca="false">SUMIFS(Data!$H$4:$H$2311,Data!$B$4:$B$2311,"UCO",Data!$C$4:$C$2311,"Czech Republic",Data!$E$4:$E$2311,2025,Data!$F$4:$F$2311,6)</f>
        <v>0</v>
      </c>
      <c r="H211" s="12" t="n">
        <f aca="false">SUMIFS(Data!$H$4:$H$2311,Data!$B$4:$B$2311,"UCO",Data!$C$4:$C$2311,"Czech Republic",Data!$E$4:$E$2311,2025,Data!$F$4:$F$2311,7)</f>
        <v>0</v>
      </c>
      <c r="I211" s="12" t="n">
        <f aca="false">SUMIFS(Data!$H$4:$H$2311,Data!$B$4:$B$2311,"UCO",Data!$C$4:$C$2311,"Czech Republic",Data!$E$4:$E$2311,2025,Data!$F$4:$F$2311,8)</f>
        <v>0.48066725637409</v>
      </c>
      <c r="J211" s="12" t="n">
        <f aca="false">SUMIFS(Data!$H$4:$H$2311,Data!$B$4:$B$2311,"UCO",Data!$C$4:$C$2311,"Czech Republic",Data!$E$4:$E$2311,2025,Data!$F$4:$F$2311,9)</f>
        <v>0.596747251282358</v>
      </c>
      <c r="K211" s="12" t="n">
        <f aca="false">SUMIFS(Data!$H$4:$H$2311,Data!$B$4:$B$2311,"UCO",Data!$C$4:$C$2311,"Czech Republic",Data!$E$4:$E$2311,2025,Data!$F$4:$F$2311,10)</f>
        <v>0</v>
      </c>
      <c r="L211" s="12" t="n">
        <f aca="false">SUMIFS(Data!$H$4:$H$2311,Data!$B$4:$B$2311,"UCO",Data!$C$4:$C$2311,"Czech Republic",Data!$E$4:$E$2311,2025,Data!$F$4:$F$2311,11)</f>
        <v>1.24637017152717</v>
      </c>
      <c r="M211" s="12" t="n">
        <f aca="false">SUMIFS(Data!$H$4:$H$2311,Data!$B$4:$B$2311,"UCO",Data!$C$4:$C$2311,"Czech Republic",Data!$E$4:$E$2311,2025,Data!$F$4:$F$2311,12)</f>
        <v>0</v>
      </c>
      <c r="N211" s="13" t="n">
        <f aca="false">SUM(B211:M211)</f>
        <v>2.32378467918361</v>
      </c>
    </row>
    <row r="212" customFormat="false" ht="15" hidden="false" customHeight="false" outlineLevel="0" collapsed="false">
      <c r="A212" s="11" t="s">
        <v>156</v>
      </c>
      <c r="B212" s="12" t="n">
        <f aca="false">SUMIFS(Data!$H$4:$H$2311,Data!$B$4:$B$2311,"UCO",Data!$C$4:$C$2311,"Turkey",Data!$E$4:$E$2311,2025,Data!$F$4:$F$2311,1)</f>
        <v>0</v>
      </c>
      <c r="C212" s="12" t="n">
        <f aca="false">SUMIFS(Data!$H$4:$H$2311,Data!$B$4:$B$2311,"UCO",Data!$C$4:$C$2311,"Turkey",Data!$E$4:$E$2311,2025,Data!$F$4:$F$2311,2)</f>
        <v>0</v>
      </c>
      <c r="D212" s="12" t="n">
        <f aca="false">SUMIFS(Data!$H$4:$H$2311,Data!$B$4:$B$2311,"UCO",Data!$C$4:$C$2311,"Turkey",Data!$E$4:$E$2311,2025,Data!$F$4:$F$2311,3)</f>
        <v>0</v>
      </c>
      <c r="E212" s="12" t="n">
        <f aca="false">SUMIFS(Data!$H$4:$H$2311,Data!$B$4:$B$2311,"UCO",Data!$C$4:$C$2311,"Turkey",Data!$E$4:$E$2311,2025,Data!$F$4:$F$2311,4)</f>
        <v>0</v>
      </c>
      <c r="F212" s="12" t="n">
        <f aca="false">SUMIFS(Data!$H$4:$H$2311,Data!$B$4:$B$2311,"UCO",Data!$C$4:$C$2311,"Turkey",Data!$E$4:$E$2311,2025,Data!$F$4:$F$2311,5)</f>
        <v>0</v>
      </c>
      <c r="G212" s="12" t="n">
        <f aca="false">SUMIFS(Data!$H$4:$H$2311,Data!$B$4:$B$2311,"UCO",Data!$C$4:$C$2311,"Turkey",Data!$E$4:$E$2311,2025,Data!$F$4:$F$2311,6)</f>
        <v>0</v>
      </c>
      <c r="H212" s="12" t="n">
        <f aca="false">SUMIFS(Data!$H$4:$H$2311,Data!$B$4:$B$2311,"UCO",Data!$C$4:$C$2311,"Turkey",Data!$E$4:$E$2311,2025,Data!$F$4:$F$2311,7)</f>
        <v>0</v>
      </c>
      <c r="I212" s="12" t="n">
        <f aca="false">SUMIFS(Data!$H$4:$H$2311,Data!$B$4:$B$2311,"UCO",Data!$C$4:$C$2311,"Turkey",Data!$E$4:$E$2311,2025,Data!$F$4:$F$2311,8)</f>
        <v>0</v>
      </c>
      <c r="J212" s="12" t="n">
        <f aca="false">SUMIFS(Data!$H$4:$H$2311,Data!$B$4:$B$2311,"UCO",Data!$C$4:$C$2311,"Turkey",Data!$E$4:$E$2311,2025,Data!$F$4:$F$2311,9)</f>
        <v>0.874803074840567</v>
      </c>
      <c r="K212" s="12" t="n">
        <f aca="false">SUMIFS(Data!$H$4:$H$2311,Data!$B$4:$B$2311,"UCO",Data!$C$4:$C$2311,"Turkey",Data!$E$4:$E$2311,2025,Data!$F$4:$F$2311,10)</f>
        <v>0</v>
      </c>
      <c r="L212" s="12" t="n">
        <f aca="false">SUMIFS(Data!$H$4:$H$2311,Data!$B$4:$B$2311,"UCO",Data!$C$4:$C$2311,"Turkey",Data!$E$4:$E$2311,2025,Data!$F$4:$F$2311,11)</f>
        <v>1.34590667828107</v>
      </c>
      <c r="M212" s="12" t="n">
        <f aca="false">SUMIFS(Data!$H$4:$H$2311,Data!$B$4:$B$2311,"UCO",Data!$C$4:$C$2311,"Turkey",Data!$E$4:$E$2311,2025,Data!$F$4:$F$2311,12)</f>
        <v>0</v>
      </c>
      <c r="N212" s="13" t="n">
        <f aca="false">SUM(B212:M212)</f>
        <v>2.22070975312164</v>
      </c>
    </row>
    <row r="213" customFormat="false" ht="15" hidden="false" customHeight="false" outlineLevel="0" collapsed="false">
      <c r="A213" s="11" t="s">
        <v>51</v>
      </c>
      <c r="B213" s="12" t="n">
        <f aca="false">SUMIFS(Data!$H$4:$H$2311,Data!$B$4:$B$2311,"UCO",Data!$C$4:$C$2311,"India",Data!$E$4:$E$2311,2025,Data!$F$4:$F$2311,1)</f>
        <v>0.0311557268919842</v>
      </c>
      <c r="C213" s="12" t="n">
        <f aca="false">SUMIFS(Data!$H$4:$H$2311,Data!$B$4:$B$2311,"UCO",Data!$C$4:$C$2311,"India",Data!$E$4:$E$2311,2025,Data!$F$4:$F$2311,2)</f>
        <v>0.0587531928723025</v>
      </c>
      <c r="D213" s="12" t="n">
        <f aca="false">SUMIFS(Data!$H$4:$H$2311,Data!$B$4:$B$2311,"UCO",Data!$C$4:$C$2311,"India",Data!$E$4:$E$2311,2025,Data!$F$4:$F$2311,3)</f>
        <v>0.321074624778368</v>
      </c>
      <c r="E213" s="12" t="n">
        <f aca="false">SUMIFS(Data!$H$4:$H$2311,Data!$B$4:$B$2311,"UCO",Data!$C$4:$C$2311,"India",Data!$E$4:$E$2311,2025,Data!$F$4:$F$2311,4)</f>
        <v>0.0468173659976066</v>
      </c>
      <c r="F213" s="12" t="n">
        <f aca="false">SUMIFS(Data!$H$4:$H$2311,Data!$B$4:$B$2311,"UCO",Data!$C$4:$C$2311,"India",Data!$E$4:$E$2311,2025,Data!$F$4:$F$2311,5)</f>
        <v>0.203433757053831</v>
      </c>
      <c r="G213" s="12" t="n">
        <f aca="false">SUMIFS(Data!$H$4:$H$2311,Data!$B$4:$B$2311,"UCO",Data!$C$4:$C$2311,"India",Data!$E$4:$E$2311,2025,Data!$F$4:$F$2311,6)</f>
        <v>0.095416067073668</v>
      </c>
      <c r="H213" s="12" t="n">
        <f aca="false">SUMIFS(Data!$H$4:$H$2311,Data!$B$4:$B$2311,"UCO",Data!$C$4:$C$2311,"India",Data!$E$4:$E$2311,2025,Data!$F$4:$F$2311,7)</f>
        <v>0.452882397470914</v>
      </c>
      <c r="I213" s="12" t="n">
        <f aca="false">SUMIFS(Data!$H$4:$H$2311,Data!$B$4:$B$2311,"UCO",Data!$C$4:$C$2311,"India",Data!$E$4:$E$2311,2025,Data!$F$4:$F$2311,8)</f>
        <v>0.137733798300079</v>
      </c>
      <c r="J213" s="12" t="n">
        <f aca="false">SUMIFS(Data!$H$4:$H$2311,Data!$B$4:$B$2311,"UCO",Data!$C$4:$C$2311,"India",Data!$E$4:$E$2311,2025,Data!$F$4:$F$2311,9)</f>
        <v>0.118538149131631</v>
      </c>
      <c r="K213" s="12" t="n">
        <f aca="false">SUMIFS(Data!$H$4:$H$2311,Data!$B$4:$B$2311,"UCO",Data!$C$4:$C$2311,"India",Data!$E$4:$E$2311,2025,Data!$F$4:$F$2311,10)</f>
        <v>0.0352739619496</v>
      </c>
      <c r="L213" s="12" t="n">
        <f aca="false">SUMIFS(Data!$H$4:$H$2311,Data!$B$4:$B$2311,"UCO",Data!$C$4:$C$2311,"India",Data!$E$4:$E$2311,2025,Data!$F$4:$F$2311,11)</f>
        <v>0.103297592946782</v>
      </c>
      <c r="M213" s="12" t="n">
        <f aca="false">SUMIFS(Data!$H$4:$H$2311,Data!$B$4:$B$2311,"UCO",Data!$C$4:$C$2311,"India",Data!$E$4:$E$2311,2025,Data!$F$4:$F$2311,12)</f>
        <v>0.0264554714622</v>
      </c>
      <c r="N213" s="13" t="n">
        <f aca="false">SUM(B213:M213)</f>
        <v>1.63083210592897</v>
      </c>
    </row>
    <row r="214" customFormat="false" ht="15" hidden="false" customHeight="false" outlineLevel="0" collapsed="false">
      <c r="A214" s="11" t="s">
        <v>158</v>
      </c>
      <c r="B214" s="12" t="n">
        <f aca="false">SUMIFS(Data!$H$4:$H$2311,Data!$B$4:$B$2311,"UCO",Data!$C$4:$C$2311,"Serbia",Data!$E$4:$E$2311,2025,Data!$F$4:$F$2311,1)</f>
        <v>0</v>
      </c>
      <c r="C214" s="12" t="n">
        <f aca="false">SUMIFS(Data!$H$4:$H$2311,Data!$B$4:$B$2311,"UCO",Data!$C$4:$C$2311,"Serbia",Data!$E$4:$E$2311,2025,Data!$F$4:$F$2311,2)</f>
        <v>0</v>
      </c>
      <c r="D214" s="12" t="n">
        <f aca="false">SUMIFS(Data!$H$4:$H$2311,Data!$B$4:$B$2311,"UCO",Data!$C$4:$C$2311,"Serbia",Data!$E$4:$E$2311,2025,Data!$F$4:$F$2311,3)</f>
        <v>0</v>
      </c>
      <c r="E214" s="12" t="n">
        <f aca="false">SUMIFS(Data!$H$4:$H$2311,Data!$B$4:$B$2311,"UCO",Data!$C$4:$C$2311,"Serbia",Data!$E$4:$E$2311,2025,Data!$F$4:$F$2311,4)</f>
        <v>0</v>
      </c>
      <c r="F214" s="12" t="n">
        <f aca="false">SUMIFS(Data!$H$4:$H$2311,Data!$B$4:$B$2311,"UCO",Data!$C$4:$C$2311,"Serbia",Data!$E$4:$E$2311,2025,Data!$F$4:$F$2311,5)</f>
        <v>0.121298336654187</v>
      </c>
      <c r="G214" s="12" t="n">
        <f aca="false">SUMIFS(Data!$H$4:$H$2311,Data!$B$4:$B$2311,"UCO",Data!$C$4:$C$2311,"Serbia",Data!$E$4:$E$2311,2025,Data!$F$4:$F$2311,6)</f>
        <v>0</v>
      </c>
      <c r="H214" s="12" t="n">
        <f aca="false">SUMIFS(Data!$H$4:$H$2311,Data!$B$4:$B$2311,"UCO",Data!$C$4:$C$2311,"Serbia",Data!$E$4:$E$2311,2025,Data!$F$4:$F$2311,7)</f>
        <v>0</v>
      </c>
      <c r="I214" s="12" t="n">
        <f aca="false">SUMIFS(Data!$H$4:$H$2311,Data!$B$4:$B$2311,"UCO",Data!$C$4:$C$2311,"Serbia",Data!$E$4:$E$2311,2025,Data!$F$4:$F$2311,8)</f>
        <v>0.467174965928368</v>
      </c>
      <c r="J214" s="12" t="n">
        <f aca="false">SUMIFS(Data!$H$4:$H$2311,Data!$B$4:$B$2311,"UCO",Data!$C$4:$C$2311,"Serbia",Data!$E$4:$E$2311,2025,Data!$F$4:$F$2311,9)</f>
        <v>0.527874840575764</v>
      </c>
      <c r="K214" s="12" t="n">
        <f aca="false">SUMIFS(Data!$H$4:$H$2311,Data!$B$4:$B$2311,"UCO",Data!$C$4:$C$2311,"Serbia",Data!$E$4:$E$2311,2025,Data!$F$4:$F$2311,10)</f>
        <v>0</v>
      </c>
      <c r="L214" s="12" t="n">
        <f aca="false">SUMIFS(Data!$H$4:$H$2311,Data!$B$4:$B$2311,"UCO",Data!$C$4:$C$2311,"Serbia",Data!$E$4:$E$2311,2025,Data!$F$4:$F$2311,11)</f>
        <v>0.308647167059</v>
      </c>
      <c r="M214" s="12" t="n">
        <f aca="false">SUMIFS(Data!$H$4:$H$2311,Data!$B$4:$B$2311,"UCO",Data!$C$4:$C$2311,"Serbia",Data!$E$4:$E$2311,2025,Data!$F$4:$F$2311,12)</f>
        <v>0</v>
      </c>
      <c r="N214" s="13" t="n">
        <f aca="false">SUM(B214:M214)</f>
        <v>1.42499531021732</v>
      </c>
    </row>
    <row r="215" customFormat="false" ht="15" hidden="false" customHeight="false" outlineLevel="0" collapsed="false">
      <c r="A215" s="11" t="s">
        <v>112</v>
      </c>
      <c r="B215" s="12" t="n">
        <f aca="false">SUMIFS(Data!$H$4:$H$2311,Data!$B$4:$B$2311,"UCO",Data!$C$4:$C$2311,"Costa Rica",Data!$E$4:$E$2311,2025,Data!$F$4:$F$2311,1)</f>
        <v>0</v>
      </c>
      <c r="C215" s="12" t="n">
        <f aca="false">SUMIFS(Data!$H$4:$H$2311,Data!$B$4:$B$2311,"UCO",Data!$C$4:$C$2311,"Costa Rica",Data!$E$4:$E$2311,2025,Data!$F$4:$F$2311,2)</f>
        <v>0</v>
      </c>
      <c r="D215" s="12" t="n">
        <f aca="false">SUMIFS(Data!$H$4:$H$2311,Data!$B$4:$B$2311,"UCO",Data!$C$4:$C$2311,"Costa Rica",Data!$E$4:$E$2311,2025,Data!$F$4:$F$2311,3)</f>
        <v>0</v>
      </c>
      <c r="E215" s="12" t="n">
        <f aca="false">SUMIFS(Data!$H$4:$H$2311,Data!$B$4:$B$2311,"UCO",Data!$C$4:$C$2311,"Costa Rica",Data!$E$4:$E$2311,2025,Data!$F$4:$F$2311,4)</f>
        <v>0</v>
      </c>
      <c r="F215" s="12" t="n">
        <f aca="false">SUMIFS(Data!$H$4:$H$2311,Data!$B$4:$B$2311,"UCO",Data!$C$4:$C$2311,"Costa Rica",Data!$E$4:$E$2311,2025,Data!$F$4:$F$2311,5)</f>
        <v>0</v>
      </c>
      <c r="G215" s="12" t="n">
        <f aca="false">SUMIFS(Data!$H$4:$H$2311,Data!$B$4:$B$2311,"UCO",Data!$C$4:$C$2311,"Costa Rica",Data!$E$4:$E$2311,2025,Data!$F$4:$F$2311,6)</f>
        <v>0</v>
      </c>
      <c r="H215" s="12" t="n">
        <f aca="false">SUMIFS(Data!$H$4:$H$2311,Data!$B$4:$B$2311,"UCO",Data!$C$4:$C$2311,"Costa Rica",Data!$E$4:$E$2311,2025,Data!$F$4:$F$2311,7)</f>
        <v>0.183270278554391</v>
      </c>
      <c r="I215" s="12" t="n">
        <f aca="false">SUMIFS(Data!$H$4:$H$2311,Data!$B$4:$B$2311,"UCO",Data!$C$4:$C$2311,"Costa Rica",Data!$E$4:$E$2311,2025,Data!$F$4:$F$2311,8)</f>
        <v>0.131770294107975</v>
      </c>
      <c r="J215" s="12" t="n">
        <f aca="false">SUMIFS(Data!$H$4:$H$2311,Data!$B$4:$B$2311,"UCO",Data!$C$4:$C$2311,"Costa Rica",Data!$E$4:$E$2311,2025,Data!$F$4:$F$2311,9)</f>
        <v>0.39345899932157</v>
      </c>
      <c r="K215" s="12" t="n">
        <f aca="false">SUMIFS(Data!$H$4:$H$2311,Data!$B$4:$B$2311,"UCO",Data!$C$4:$C$2311,"Costa Rica",Data!$E$4:$E$2311,2025,Data!$F$4:$F$2311,10)</f>
        <v>0.175752515413882</v>
      </c>
      <c r="L215" s="12" t="n">
        <f aca="false">SUMIFS(Data!$H$4:$H$2311,Data!$B$4:$B$2311,"UCO",Data!$C$4:$C$2311,"Costa Rica",Data!$E$4:$E$2311,2025,Data!$F$4:$F$2311,11)</f>
        <v>0.526596159455091</v>
      </c>
      <c r="M215" s="12" t="n">
        <f aca="false">SUMIFS(Data!$H$4:$H$2311,Data!$B$4:$B$2311,"UCO",Data!$C$4:$C$2311,"Costa Rica",Data!$E$4:$E$2311,2025,Data!$F$4:$F$2311,12)</f>
        <v>0</v>
      </c>
      <c r="N215" s="13" t="n">
        <f aca="false">SUM(B215:M215)</f>
        <v>1.41084824685291</v>
      </c>
    </row>
    <row r="216" customFormat="false" ht="15" hidden="false" customHeight="false" outlineLevel="0" collapsed="false">
      <c r="A216" s="11" t="s">
        <v>176</v>
      </c>
      <c r="B216" s="12" t="n">
        <f aca="false">SUMIFS(Data!$H$4:$H$2311,Data!$B$4:$B$2311,"UCO",Data!$C$4:$C$2311,"Cambodia",Data!$E$4:$E$2311,2025,Data!$F$4:$F$2311,1)</f>
        <v>0.484917768789017</v>
      </c>
      <c r="C216" s="12" t="n">
        <f aca="false">SUMIFS(Data!$H$4:$H$2311,Data!$B$4:$B$2311,"UCO",Data!$C$4:$C$2311,"Cambodia",Data!$E$4:$E$2311,2025,Data!$F$4:$F$2311,2)</f>
        <v>0</v>
      </c>
      <c r="D216" s="12" t="n">
        <f aca="false">SUMIFS(Data!$H$4:$H$2311,Data!$B$4:$B$2311,"UCO",Data!$C$4:$C$2311,"Cambodia",Data!$E$4:$E$2311,2025,Data!$F$4:$F$2311,3)</f>
        <v>0</v>
      </c>
      <c r="E216" s="12" t="n">
        <f aca="false">SUMIFS(Data!$H$4:$H$2311,Data!$B$4:$B$2311,"UCO",Data!$C$4:$C$2311,"Cambodia",Data!$E$4:$E$2311,2025,Data!$F$4:$F$2311,4)</f>
        <v>0</v>
      </c>
      <c r="F216" s="12" t="n">
        <f aca="false">SUMIFS(Data!$H$4:$H$2311,Data!$B$4:$B$2311,"UCO",Data!$C$4:$C$2311,"Cambodia",Data!$E$4:$E$2311,2025,Data!$F$4:$F$2311,5)</f>
        <v>0</v>
      </c>
      <c r="G216" s="12" t="n">
        <f aca="false">SUMIFS(Data!$H$4:$H$2311,Data!$B$4:$B$2311,"UCO",Data!$C$4:$C$2311,"Cambodia",Data!$E$4:$E$2311,2025,Data!$F$4:$F$2311,6)</f>
        <v>0</v>
      </c>
      <c r="H216" s="12" t="n">
        <f aca="false">SUMIFS(Data!$H$4:$H$2311,Data!$B$4:$B$2311,"UCO",Data!$C$4:$C$2311,"Cambodia",Data!$E$4:$E$2311,2025,Data!$F$4:$F$2311,7)</f>
        <v>0.443770692174808</v>
      </c>
      <c r="I216" s="12" t="n">
        <f aca="false">SUMIFS(Data!$H$4:$H$2311,Data!$B$4:$B$2311,"UCO",Data!$C$4:$C$2311,"Cambodia",Data!$E$4:$E$2311,2025,Data!$F$4:$F$2311,8)</f>
        <v>0</v>
      </c>
      <c r="J216" s="12" t="n">
        <f aca="false">SUMIFS(Data!$H$4:$H$2311,Data!$B$4:$B$2311,"UCO",Data!$C$4:$C$2311,"Cambodia",Data!$E$4:$E$2311,2025,Data!$F$4:$F$2311,9)</f>
        <v>0</v>
      </c>
      <c r="K216" s="12" t="n">
        <f aca="false">SUMIFS(Data!$H$4:$H$2311,Data!$B$4:$B$2311,"UCO",Data!$C$4:$C$2311,"Cambodia",Data!$E$4:$E$2311,2025,Data!$F$4:$F$2311,10)</f>
        <v>0</v>
      </c>
      <c r="L216" s="12" t="n">
        <f aca="false">SUMIFS(Data!$H$4:$H$2311,Data!$B$4:$B$2311,"UCO",Data!$C$4:$C$2311,"Cambodia",Data!$E$4:$E$2311,2025,Data!$F$4:$F$2311,11)</f>
        <v>0</v>
      </c>
      <c r="M216" s="12" t="n">
        <f aca="false">SUMIFS(Data!$H$4:$H$2311,Data!$B$4:$B$2311,"UCO",Data!$C$4:$C$2311,"Cambodia",Data!$E$4:$E$2311,2025,Data!$F$4:$F$2311,12)</f>
        <v>0</v>
      </c>
      <c r="N216" s="13" t="n">
        <f aca="false">SUM(B216:M216)</f>
        <v>0.928688460963825</v>
      </c>
    </row>
    <row r="217" customFormat="false" ht="15" hidden="false" customHeight="false" outlineLevel="0" collapsed="false">
      <c r="A217" s="11" t="s">
        <v>142</v>
      </c>
      <c r="B217" s="12" t="n">
        <f aca="false">SUMIFS(Data!$H$4:$H$2311,Data!$B$4:$B$2311,"UCO",Data!$C$4:$C$2311,"Slovakia",Data!$E$4:$E$2311,2025,Data!$F$4:$F$2311,1)</f>
        <v>0</v>
      </c>
      <c r="C217" s="12" t="n">
        <f aca="false">SUMIFS(Data!$H$4:$H$2311,Data!$B$4:$B$2311,"UCO",Data!$C$4:$C$2311,"Slovakia",Data!$E$4:$E$2311,2025,Data!$F$4:$F$2311,2)</f>
        <v>0</v>
      </c>
      <c r="D217" s="12" t="n">
        <f aca="false">SUMIFS(Data!$H$4:$H$2311,Data!$B$4:$B$2311,"UCO",Data!$C$4:$C$2311,"Slovakia",Data!$E$4:$E$2311,2025,Data!$F$4:$F$2311,3)</f>
        <v>0</v>
      </c>
      <c r="E217" s="12" t="n">
        <f aca="false">SUMIFS(Data!$H$4:$H$2311,Data!$B$4:$B$2311,"UCO",Data!$C$4:$C$2311,"Slovakia",Data!$E$4:$E$2311,2025,Data!$F$4:$F$2311,4)</f>
        <v>0</v>
      </c>
      <c r="F217" s="12" t="n">
        <f aca="false">SUMIFS(Data!$H$4:$H$2311,Data!$B$4:$B$2311,"UCO",Data!$C$4:$C$2311,"Slovakia",Data!$E$4:$E$2311,2025,Data!$F$4:$F$2311,5)</f>
        <v>0</v>
      </c>
      <c r="G217" s="12" t="n">
        <f aca="false">SUMIFS(Data!$H$4:$H$2311,Data!$B$4:$B$2311,"UCO",Data!$C$4:$C$2311,"Slovakia",Data!$E$4:$E$2311,2025,Data!$F$4:$F$2311,6)</f>
        <v>0.600010092762696</v>
      </c>
      <c r="H217" s="12" t="n">
        <f aca="false">SUMIFS(Data!$H$4:$H$2311,Data!$B$4:$B$2311,"UCO",Data!$C$4:$C$2311,"Slovakia",Data!$E$4:$E$2311,2025,Data!$F$4:$F$2311,7)</f>
        <v>0.213539747152391</v>
      </c>
      <c r="I217" s="12" t="n">
        <f aca="false">SUMIFS(Data!$H$4:$H$2311,Data!$B$4:$B$2311,"UCO",Data!$C$4:$C$2311,"Slovakia",Data!$E$4:$E$2311,2025,Data!$F$4:$F$2311,8)</f>
        <v>0</v>
      </c>
      <c r="J217" s="12" t="n">
        <f aca="false">SUMIFS(Data!$H$4:$H$2311,Data!$B$4:$B$2311,"UCO",Data!$C$4:$C$2311,"Slovakia",Data!$E$4:$E$2311,2025,Data!$F$4:$F$2311,9)</f>
        <v>0</v>
      </c>
      <c r="K217" s="12" t="n">
        <f aca="false">SUMIFS(Data!$H$4:$H$2311,Data!$B$4:$B$2311,"UCO",Data!$C$4:$C$2311,"Slovakia",Data!$E$4:$E$2311,2025,Data!$F$4:$F$2311,10)</f>
        <v>0</v>
      </c>
      <c r="L217" s="12" t="n">
        <f aca="false">SUMIFS(Data!$H$4:$H$2311,Data!$B$4:$B$2311,"UCO",Data!$C$4:$C$2311,"Slovakia",Data!$E$4:$E$2311,2025,Data!$F$4:$F$2311,11)</f>
        <v>0</v>
      </c>
      <c r="M217" s="12" t="n">
        <f aca="false">SUMIFS(Data!$H$4:$H$2311,Data!$B$4:$B$2311,"UCO",Data!$C$4:$C$2311,"Slovakia",Data!$E$4:$E$2311,2025,Data!$F$4:$F$2311,12)</f>
        <v>0</v>
      </c>
      <c r="N217" s="13" t="n">
        <f aca="false">SUM(B217:M217)</f>
        <v>0.813549839915087</v>
      </c>
    </row>
    <row r="218" customFormat="false" ht="15" hidden="false" customHeight="false" outlineLevel="0" collapsed="false">
      <c r="A218" s="11" t="s">
        <v>96</v>
      </c>
      <c r="B218" s="12" t="n">
        <f aca="false">SUMIFS(Data!$H$4:$H$2311,Data!$B$4:$B$2311,"UCO",Data!$C$4:$C$2311,"Greece",Data!$E$4:$E$2311,2025,Data!$F$4:$F$2311,1)</f>
        <v>0</v>
      </c>
      <c r="C218" s="12" t="n">
        <f aca="false">SUMIFS(Data!$H$4:$H$2311,Data!$B$4:$B$2311,"UCO",Data!$C$4:$C$2311,"Greece",Data!$E$4:$E$2311,2025,Data!$F$4:$F$2311,2)</f>
        <v>0.487574339048346</v>
      </c>
      <c r="D218" s="12" t="n">
        <f aca="false">SUMIFS(Data!$H$4:$H$2311,Data!$B$4:$B$2311,"UCO",Data!$C$4:$C$2311,"Greece",Data!$E$4:$E$2311,2025,Data!$F$4:$F$2311,3)</f>
        <v>0</v>
      </c>
      <c r="E218" s="12" t="n">
        <f aca="false">SUMIFS(Data!$H$4:$H$2311,Data!$B$4:$B$2311,"UCO",Data!$C$4:$C$2311,"Greece",Data!$E$4:$E$2311,2025,Data!$F$4:$F$2311,4)</f>
        <v>0</v>
      </c>
      <c r="F218" s="12" t="n">
        <f aca="false">SUMIFS(Data!$H$4:$H$2311,Data!$B$4:$B$2311,"UCO",Data!$C$4:$C$2311,"Greece",Data!$E$4:$E$2311,2025,Data!$F$4:$F$2311,5)</f>
        <v>0</v>
      </c>
      <c r="G218" s="12" t="n">
        <f aca="false">SUMIFS(Data!$H$4:$H$2311,Data!$B$4:$B$2311,"UCO",Data!$C$4:$C$2311,"Greece",Data!$E$4:$E$2311,2025,Data!$F$4:$F$2311,6)</f>
        <v>0</v>
      </c>
      <c r="H218" s="12" t="n">
        <f aca="false">SUMIFS(Data!$H$4:$H$2311,Data!$B$4:$B$2311,"UCO",Data!$C$4:$C$2311,"Greece",Data!$E$4:$E$2311,2025,Data!$F$4:$F$2311,7)</f>
        <v>0</v>
      </c>
      <c r="I218" s="12" t="n">
        <f aca="false">SUMIFS(Data!$H$4:$H$2311,Data!$B$4:$B$2311,"UCO",Data!$C$4:$C$2311,"Greece",Data!$E$4:$E$2311,2025,Data!$F$4:$F$2311,8)</f>
        <v>0</v>
      </c>
      <c r="J218" s="12" t="n">
        <f aca="false">SUMIFS(Data!$H$4:$H$2311,Data!$B$4:$B$2311,"UCO",Data!$C$4:$C$2311,"Greece",Data!$E$4:$E$2311,2025,Data!$F$4:$F$2311,9)</f>
        <v>0</v>
      </c>
      <c r="K218" s="12" t="n">
        <f aca="false">SUMIFS(Data!$H$4:$H$2311,Data!$B$4:$B$2311,"UCO",Data!$C$4:$C$2311,"Greece",Data!$E$4:$E$2311,2025,Data!$F$4:$F$2311,10)</f>
        <v>0</v>
      </c>
      <c r="L218" s="12" t="n">
        <f aca="false">SUMIFS(Data!$H$4:$H$2311,Data!$B$4:$B$2311,"UCO",Data!$C$4:$C$2311,"Greece",Data!$E$4:$E$2311,2025,Data!$F$4:$F$2311,11)</f>
        <v>0</v>
      </c>
      <c r="M218" s="12" t="n">
        <f aca="false">SUMIFS(Data!$H$4:$H$2311,Data!$B$4:$B$2311,"UCO",Data!$C$4:$C$2311,"Greece",Data!$E$4:$E$2311,2025,Data!$F$4:$F$2311,12)</f>
        <v>0</v>
      </c>
      <c r="N218" s="13" t="n">
        <f aca="false">SUM(B218:M218)</f>
        <v>0.487574339048346</v>
      </c>
    </row>
    <row r="219" customFormat="false" ht="15" hidden="false" customHeight="false" outlineLevel="0" collapsed="false">
      <c r="A219" s="11" t="s">
        <v>129</v>
      </c>
      <c r="B219" s="12" t="n">
        <f aca="false">SUMIFS(Data!$H$4:$H$2311,Data!$B$4:$B$2311,"UCO",Data!$C$4:$C$2311,"Panama",Data!$E$4:$E$2311,2025,Data!$F$4:$F$2311,1)</f>
        <v>0.210847902931112</v>
      </c>
      <c r="C219" s="12" t="n">
        <f aca="false">SUMIFS(Data!$H$4:$H$2311,Data!$B$4:$B$2311,"UCO",Data!$C$4:$C$2311,"Panama",Data!$E$4:$E$2311,2025,Data!$F$4:$F$2311,2)</f>
        <v>0</v>
      </c>
      <c r="D219" s="12" t="n">
        <f aca="false">SUMIFS(Data!$H$4:$H$2311,Data!$B$4:$B$2311,"UCO",Data!$C$4:$C$2311,"Panama",Data!$E$4:$E$2311,2025,Data!$F$4:$F$2311,3)</f>
        <v>0</v>
      </c>
      <c r="E219" s="12" t="n">
        <f aca="false">SUMIFS(Data!$H$4:$H$2311,Data!$B$4:$B$2311,"UCO",Data!$C$4:$C$2311,"Panama",Data!$E$4:$E$2311,2025,Data!$F$4:$F$2311,4)</f>
        <v>0</v>
      </c>
      <c r="F219" s="12" t="n">
        <f aca="false">SUMIFS(Data!$H$4:$H$2311,Data!$B$4:$B$2311,"UCO",Data!$C$4:$C$2311,"Panama",Data!$E$4:$E$2311,2025,Data!$F$4:$F$2311,5)</f>
        <v>0</v>
      </c>
      <c r="G219" s="12" t="n">
        <f aca="false">SUMIFS(Data!$H$4:$H$2311,Data!$B$4:$B$2311,"UCO",Data!$C$4:$C$2311,"Panama",Data!$E$4:$E$2311,2025,Data!$F$4:$F$2311,6)</f>
        <v>0</v>
      </c>
      <c r="H219" s="12" t="n">
        <f aca="false">SUMIFS(Data!$H$4:$H$2311,Data!$B$4:$B$2311,"UCO",Data!$C$4:$C$2311,"Panama",Data!$E$4:$E$2311,2025,Data!$F$4:$F$2311,7)</f>
        <v>0</v>
      </c>
      <c r="I219" s="12" t="n">
        <f aca="false">SUMIFS(Data!$H$4:$H$2311,Data!$B$4:$B$2311,"UCO",Data!$C$4:$C$2311,"Panama",Data!$E$4:$E$2311,2025,Data!$F$4:$F$2311,8)</f>
        <v>0</v>
      </c>
      <c r="J219" s="12" t="n">
        <f aca="false">SUMIFS(Data!$H$4:$H$2311,Data!$B$4:$B$2311,"UCO",Data!$C$4:$C$2311,"Panama",Data!$E$4:$E$2311,2025,Data!$F$4:$F$2311,9)</f>
        <v>0</v>
      </c>
      <c r="K219" s="12" t="n">
        <f aca="false">SUMIFS(Data!$H$4:$H$2311,Data!$B$4:$B$2311,"UCO",Data!$C$4:$C$2311,"Panama",Data!$E$4:$E$2311,2025,Data!$F$4:$F$2311,10)</f>
        <v>0</v>
      </c>
      <c r="L219" s="12" t="n">
        <f aca="false">SUMIFS(Data!$H$4:$H$2311,Data!$B$4:$B$2311,"UCO",Data!$C$4:$C$2311,"Panama",Data!$E$4:$E$2311,2025,Data!$F$4:$F$2311,11)</f>
        <v>0.23119877435341</v>
      </c>
      <c r="M219" s="12" t="n">
        <f aca="false">SUMIFS(Data!$H$4:$H$2311,Data!$B$4:$B$2311,"UCO",Data!$C$4:$C$2311,"Panama",Data!$E$4:$E$2311,2025,Data!$F$4:$F$2311,12)</f>
        <v>0</v>
      </c>
      <c r="N219" s="13" t="n">
        <f aca="false">SUM(B219:M219)</f>
        <v>0.442046677284522</v>
      </c>
    </row>
    <row r="220" customFormat="false" ht="15" hidden="false" customHeight="false" outlineLevel="0" collapsed="false">
      <c r="A220" s="11" t="s">
        <v>55</v>
      </c>
      <c r="B220" s="12" t="n">
        <f aca="false">SUMIFS(Data!$H$4:$H$2311,Data!$B$4:$B$2311,"UCO",Data!$C$4:$C$2311,"Aruba",Data!$E$4:$E$2311,2025,Data!$F$4:$F$2311,1)</f>
        <v>0</v>
      </c>
      <c r="C220" s="12" t="n">
        <f aca="false">SUMIFS(Data!$H$4:$H$2311,Data!$B$4:$B$2311,"UCO",Data!$C$4:$C$2311,"Aruba",Data!$E$4:$E$2311,2025,Data!$F$4:$F$2311,2)</f>
        <v>0</v>
      </c>
      <c r="D220" s="12" t="n">
        <f aca="false">SUMIFS(Data!$H$4:$H$2311,Data!$B$4:$B$2311,"UCO",Data!$C$4:$C$2311,"Aruba",Data!$E$4:$E$2311,2025,Data!$F$4:$F$2311,3)</f>
        <v>0</v>
      </c>
      <c r="E220" s="12" t="n">
        <f aca="false">SUMIFS(Data!$H$4:$H$2311,Data!$B$4:$B$2311,"UCO",Data!$C$4:$C$2311,"Aruba",Data!$E$4:$E$2311,2025,Data!$F$4:$F$2311,4)</f>
        <v>0</v>
      </c>
      <c r="F220" s="12" t="n">
        <f aca="false">SUMIFS(Data!$H$4:$H$2311,Data!$B$4:$B$2311,"UCO",Data!$C$4:$C$2311,"Aruba",Data!$E$4:$E$2311,2025,Data!$F$4:$F$2311,5)</f>
        <v>0</v>
      </c>
      <c r="G220" s="12" t="n">
        <f aca="false">SUMIFS(Data!$H$4:$H$2311,Data!$B$4:$B$2311,"UCO",Data!$C$4:$C$2311,"Aruba",Data!$E$4:$E$2311,2025,Data!$F$4:$F$2311,6)</f>
        <v>0.176186826070386</v>
      </c>
      <c r="H220" s="12" t="n">
        <f aca="false">SUMIFS(Data!$H$4:$H$2311,Data!$B$4:$B$2311,"UCO",Data!$C$4:$C$2311,"Aruba",Data!$E$4:$E$2311,2025,Data!$F$4:$F$2311,7)</f>
        <v>0</v>
      </c>
      <c r="I220" s="12" t="n">
        <f aca="false">SUMIFS(Data!$H$4:$H$2311,Data!$B$4:$B$2311,"UCO",Data!$C$4:$C$2311,"Aruba",Data!$E$4:$E$2311,2025,Data!$F$4:$F$2311,8)</f>
        <v>0.0931453057731625</v>
      </c>
      <c r="J220" s="12" t="n">
        <f aca="false">SUMIFS(Data!$H$4:$H$2311,Data!$B$4:$B$2311,"UCO",Data!$C$4:$C$2311,"Aruba",Data!$E$4:$E$2311,2025,Data!$F$4:$F$2311,9)</f>
        <v>0</v>
      </c>
      <c r="K220" s="12" t="n">
        <f aca="false">SUMIFS(Data!$H$4:$H$2311,Data!$B$4:$B$2311,"UCO",Data!$C$4:$C$2311,"Aruba",Data!$E$4:$E$2311,2025,Data!$F$4:$F$2311,10)</f>
        <v>0.04188782981515</v>
      </c>
      <c r="L220" s="12" t="n">
        <f aca="false">SUMIFS(Data!$H$4:$H$2311,Data!$B$4:$B$2311,"UCO",Data!$C$4:$C$2311,"Aruba",Data!$E$4:$E$2311,2025,Data!$F$4:$F$2311,11)</f>
        <v>0</v>
      </c>
      <c r="M220" s="12" t="n">
        <f aca="false">SUMIFS(Data!$H$4:$H$2311,Data!$B$4:$B$2311,"UCO",Data!$C$4:$C$2311,"Aruba",Data!$E$4:$E$2311,2025,Data!$F$4:$F$2311,12)</f>
        <v>0</v>
      </c>
      <c r="N220" s="13" t="n">
        <f aca="false">SUM(B220:M220)</f>
        <v>0.311219961658699</v>
      </c>
    </row>
    <row r="221" customFormat="false" ht="15" hidden="false" customHeight="false" outlineLevel="0" collapsed="false">
      <c r="A221" s="11" t="s">
        <v>138</v>
      </c>
      <c r="B221" s="12" t="n">
        <f aca="false">SUMIFS(Data!$H$4:$H$2311,Data!$B$4:$B$2311,"UCO",Data!$C$4:$C$2311,"Slovenia",Data!$E$4:$E$2311,2025,Data!$F$4:$F$2311,1)</f>
        <v>0</v>
      </c>
      <c r="C221" s="12" t="n">
        <f aca="false">SUMIFS(Data!$H$4:$H$2311,Data!$B$4:$B$2311,"UCO",Data!$C$4:$C$2311,"Slovenia",Data!$E$4:$E$2311,2025,Data!$F$4:$F$2311,2)</f>
        <v>0</v>
      </c>
      <c r="D221" s="12" t="n">
        <f aca="false">SUMIFS(Data!$H$4:$H$2311,Data!$B$4:$B$2311,"UCO",Data!$C$4:$C$2311,"Slovenia",Data!$E$4:$E$2311,2025,Data!$F$4:$F$2311,3)</f>
        <v>0</v>
      </c>
      <c r="E221" s="12" t="n">
        <f aca="false">SUMIFS(Data!$H$4:$H$2311,Data!$B$4:$B$2311,"UCO",Data!$C$4:$C$2311,"Slovenia",Data!$E$4:$E$2311,2025,Data!$F$4:$F$2311,4)</f>
        <v>0</v>
      </c>
      <c r="F221" s="12" t="n">
        <f aca="false">SUMIFS(Data!$H$4:$H$2311,Data!$B$4:$B$2311,"UCO",Data!$C$4:$C$2311,"Slovenia",Data!$E$4:$E$2311,2025,Data!$F$4:$F$2311,5)</f>
        <v>0</v>
      </c>
      <c r="G221" s="12" t="n">
        <f aca="false">SUMIFS(Data!$H$4:$H$2311,Data!$B$4:$B$2311,"UCO",Data!$C$4:$C$2311,"Slovenia",Data!$E$4:$E$2311,2025,Data!$F$4:$F$2311,6)</f>
        <v>0</v>
      </c>
      <c r="H221" s="12" t="n">
        <f aca="false">SUMIFS(Data!$H$4:$H$2311,Data!$B$4:$B$2311,"UCO",Data!$C$4:$C$2311,"Slovenia",Data!$E$4:$E$2311,2025,Data!$F$4:$F$2311,7)</f>
        <v>0</v>
      </c>
      <c r="I221" s="12" t="n">
        <f aca="false">SUMIFS(Data!$H$4:$H$2311,Data!$B$4:$B$2311,"UCO",Data!$C$4:$C$2311,"Slovenia",Data!$E$4:$E$2311,2025,Data!$F$4:$F$2311,8)</f>
        <v>0.159610268576696</v>
      </c>
      <c r="J221" s="12" t="n">
        <f aca="false">SUMIFS(Data!$H$4:$H$2311,Data!$B$4:$B$2311,"UCO",Data!$C$4:$C$2311,"Slovenia",Data!$E$4:$E$2311,2025,Data!$F$4:$F$2311,9)</f>
        <v>0</v>
      </c>
      <c r="K221" s="12" t="n">
        <f aca="false">SUMIFS(Data!$H$4:$H$2311,Data!$B$4:$B$2311,"UCO",Data!$C$4:$C$2311,"Slovenia",Data!$E$4:$E$2311,2025,Data!$F$4:$F$2311,10)</f>
        <v>0</v>
      </c>
      <c r="L221" s="12" t="n">
        <f aca="false">SUMIFS(Data!$H$4:$H$2311,Data!$B$4:$B$2311,"UCO",Data!$C$4:$C$2311,"Slovenia",Data!$E$4:$E$2311,2025,Data!$F$4:$F$2311,11)</f>
        <v>0</v>
      </c>
      <c r="M221" s="12" t="n">
        <f aca="false">SUMIFS(Data!$H$4:$H$2311,Data!$B$4:$B$2311,"UCO",Data!$C$4:$C$2311,"Slovenia",Data!$E$4:$E$2311,2025,Data!$F$4:$F$2311,12)</f>
        <v>0</v>
      </c>
      <c r="N221" s="13" t="n">
        <f aca="false">SUM(B221:M221)</f>
        <v>0.159610268576696</v>
      </c>
    </row>
    <row r="222" customFormat="false" ht="15" hidden="false" customHeight="false" outlineLevel="0" collapsed="false">
      <c r="A222" s="11" t="s">
        <v>68</v>
      </c>
      <c r="B222" s="12" t="n">
        <f aca="false">SUMIFS(Data!$H$4:$H$2311,Data!$B$4:$B$2311,"UCO",Data!$C$4:$C$2311,"Argentina",Data!$E$4:$E$2311,2025,Data!$F$4:$F$2311,1)</f>
        <v>0</v>
      </c>
      <c r="C222" s="12" t="n">
        <f aca="false">SUMIFS(Data!$H$4:$H$2311,Data!$B$4:$B$2311,"UCO",Data!$C$4:$C$2311,"Argentina",Data!$E$4:$E$2311,2025,Data!$F$4:$F$2311,2)</f>
        <v>0.044092452437</v>
      </c>
      <c r="D222" s="12" t="n">
        <f aca="false">SUMIFS(Data!$H$4:$H$2311,Data!$B$4:$B$2311,"UCO",Data!$C$4:$C$2311,"Argentina",Data!$E$4:$E$2311,2025,Data!$F$4:$F$2311,3)</f>
        <v>0</v>
      </c>
      <c r="E222" s="12" t="n">
        <f aca="false">SUMIFS(Data!$H$4:$H$2311,Data!$B$4:$B$2311,"UCO",Data!$C$4:$C$2311,"Argentina",Data!$E$4:$E$2311,2025,Data!$F$4:$F$2311,4)</f>
        <v>0.044092452437</v>
      </c>
      <c r="F222" s="12" t="n">
        <f aca="false">SUMIFS(Data!$H$4:$H$2311,Data!$B$4:$B$2311,"UCO",Data!$C$4:$C$2311,"Argentina",Data!$E$4:$E$2311,2025,Data!$F$4:$F$2311,5)</f>
        <v>0</v>
      </c>
      <c r="G222" s="12" t="n">
        <f aca="false">SUMIFS(Data!$H$4:$H$2311,Data!$B$4:$B$2311,"UCO",Data!$C$4:$C$2311,"Argentina",Data!$E$4:$E$2311,2025,Data!$F$4:$F$2311,6)</f>
        <v>0</v>
      </c>
      <c r="H222" s="12" t="n">
        <f aca="false">SUMIFS(Data!$H$4:$H$2311,Data!$B$4:$B$2311,"UCO",Data!$C$4:$C$2311,"Argentina",Data!$E$4:$E$2311,2025,Data!$F$4:$F$2311,7)</f>
        <v>0</v>
      </c>
      <c r="I222" s="12" t="n">
        <f aca="false">SUMIFS(Data!$H$4:$H$2311,Data!$B$4:$B$2311,"UCO",Data!$C$4:$C$2311,"Argentina",Data!$E$4:$E$2311,2025,Data!$F$4:$F$2311,8)</f>
        <v>0</v>
      </c>
      <c r="J222" s="12" t="n">
        <f aca="false">SUMIFS(Data!$H$4:$H$2311,Data!$B$4:$B$2311,"UCO",Data!$C$4:$C$2311,"Argentina",Data!$E$4:$E$2311,2025,Data!$F$4:$F$2311,9)</f>
        <v>0</v>
      </c>
      <c r="K222" s="12" t="n">
        <f aca="false">SUMIFS(Data!$H$4:$H$2311,Data!$B$4:$B$2311,"UCO",Data!$C$4:$C$2311,"Argentina",Data!$E$4:$E$2311,2025,Data!$F$4:$F$2311,10)</f>
        <v>0</v>
      </c>
      <c r="L222" s="12" t="n">
        <f aca="false">SUMIFS(Data!$H$4:$H$2311,Data!$B$4:$B$2311,"UCO",Data!$C$4:$C$2311,"Argentina",Data!$E$4:$E$2311,2025,Data!$F$4:$F$2311,11)</f>
        <v>0</v>
      </c>
      <c r="M222" s="12" t="n">
        <f aca="false">SUMIFS(Data!$H$4:$H$2311,Data!$B$4:$B$2311,"UCO",Data!$C$4:$C$2311,"Argentina",Data!$E$4:$E$2311,2025,Data!$F$4:$F$2311,12)</f>
        <v>0</v>
      </c>
      <c r="N222" s="13" t="n">
        <f aca="false">SUM(B222:M222)</f>
        <v>0.088184904874</v>
      </c>
    </row>
    <row r="223" customFormat="false" ht="15" hidden="false" customHeight="false" outlineLevel="0" collapsed="false">
      <c r="A223" s="11" t="s">
        <v>69</v>
      </c>
      <c r="B223" s="12" t="n">
        <f aca="false">SUMIFS(Data!$H$4:$H$2311,Data!$B$4:$B$2311,"UCO",Data!$C$4:$C$2311,"Spain",Data!$E$4:$E$2311,2025,Data!$F$4:$F$2311,1)</f>
        <v>0.0114067174454519</v>
      </c>
      <c r="C223" s="12" t="n">
        <f aca="false">SUMIFS(Data!$H$4:$H$2311,Data!$B$4:$B$2311,"UCO",Data!$C$4:$C$2311,"Spain",Data!$E$4:$E$2311,2025,Data!$F$4:$F$2311,2)</f>
        <v>0</v>
      </c>
      <c r="D223" s="12" t="n">
        <f aca="false">SUMIFS(Data!$H$4:$H$2311,Data!$B$4:$B$2311,"UCO",Data!$C$4:$C$2311,"Spain",Data!$E$4:$E$2311,2025,Data!$F$4:$F$2311,3)</f>
        <v>0.0003483303742523</v>
      </c>
      <c r="E223" s="12" t="n">
        <f aca="false">SUMIFS(Data!$H$4:$H$2311,Data!$B$4:$B$2311,"UCO",Data!$C$4:$C$2311,"Spain",Data!$E$4:$E$2311,2025,Data!$F$4:$F$2311,4)</f>
        <v>0.00512574759580125</v>
      </c>
      <c r="F223" s="12" t="n">
        <f aca="false">SUMIFS(Data!$H$4:$H$2311,Data!$B$4:$B$2311,"UCO",Data!$C$4:$C$2311,"Spain",Data!$E$4:$E$2311,2025,Data!$F$4:$F$2311,5)</f>
        <v>0.005952481078995</v>
      </c>
      <c r="G223" s="12" t="n">
        <f aca="false">SUMIFS(Data!$H$4:$H$2311,Data!$B$4:$B$2311,"UCO",Data!$C$4:$C$2311,"Spain",Data!$E$4:$E$2311,2025,Data!$F$4:$F$2311,6)</f>
        <v>0.0288937840819661</v>
      </c>
      <c r="H223" s="12" t="n">
        <f aca="false">SUMIFS(Data!$H$4:$H$2311,Data!$B$4:$B$2311,"UCO",Data!$C$4:$C$2311,"Spain",Data!$E$4:$E$2311,2025,Data!$F$4:$F$2311,7)</f>
        <v>0.00759051568702955</v>
      </c>
      <c r="I223" s="12" t="n">
        <f aca="false">SUMIFS(Data!$H$4:$H$2311,Data!$B$4:$B$2311,"UCO",Data!$C$4:$C$2311,"Spain",Data!$E$4:$E$2311,2025,Data!$F$4:$F$2311,8)</f>
        <v>0.00038580895882375</v>
      </c>
      <c r="J223" s="12" t="n">
        <f aca="false">SUMIFS(Data!$H$4:$H$2311,Data!$B$4:$B$2311,"UCO",Data!$C$4:$C$2311,"Spain",Data!$E$4:$E$2311,2025,Data!$F$4:$F$2311,9)</f>
        <v>0.00027557782773125</v>
      </c>
      <c r="K223" s="12" t="n">
        <f aca="false">SUMIFS(Data!$H$4:$H$2311,Data!$B$4:$B$2311,"UCO",Data!$C$4:$C$2311,"Spain",Data!$E$4:$E$2311,2025,Data!$F$4:$F$2311,10)</f>
        <v>0</v>
      </c>
      <c r="L223" s="12" t="n">
        <f aca="false">SUMIFS(Data!$H$4:$H$2311,Data!$B$4:$B$2311,"UCO",Data!$C$4:$C$2311,"Spain",Data!$E$4:$E$2311,2025,Data!$F$4:$F$2311,11)</f>
        <v>0</v>
      </c>
      <c r="M223" s="12" t="n">
        <f aca="false">SUMIFS(Data!$H$4:$H$2311,Data!$B$4:$B$2311,"UCO",Data!$C$4:$C$2311,"Spain",Data!$E$4:$E$2311,2025,Data!$F$4:$F$2311,12)</f>
        <v>0.0004321060338826</v>
      </c>
      <c r="N223" s="13" t="n">
        <f aca="false">SUM(B223:M223)</f>
        <v>0.0604110690839337</v>
      </c>
    </row>
    <row r="224" customFormat="false" ht="15" hidden="false" customHeight="false" outlineLevel="0" collapsed="false">
      <c r="A224" s="11" t="s">
        <v>177</v>
      </c>
      <c r="B224" s="12" t="n">
        <f aca="false">SUMIFS(Data!$H$4:$H$2311,Data!$B$4:$B$2311,"UCO",Data!$C$4:$C$2311,"Nepal",Data!$E$4:$E$2311,2025,Data!$F$4:$F$2311,1)</f>
        <v>0</v>
      </c>
      <c r="C224" s="12" t="n">
        <f aca="false">SUMIFS(Data!$H$4:$H$2311,Data!$B$4:$B$2311,"UCO",Data!$C$4:$C$2311,"Nepal",Data!$E$4:$E$2311,2025,Data!$F$4:$F$2311,2)</f>
        <v>0</v>
      </c>
      <c r="D224" s="12" t="n">
        <f aca="false">SUMIFS(Data!$H$4:$H$2311,Data!$B$4:$B$2311,"UCO",Data!$C$4:$C$2311,"Nepal",Data!$E$4:$E$2311,2025,Data!$F$4:$F$2311,3)</f>
        <v>0</v>
      </c>
      <c r="E224" s="12" t="n">
        <f aca="false">SUMIFS(Data!$H$4:$H$2311,Data!$B$4:$B$2311,"UCO",Data!$C$4:$C$2311,"Nepal",Data!$E$4:$E$2311,2025,Data!$F$4:$F$2311,4)</f>
        <v>0</v>
      </c>
      <c r="F224" s="12" t="n">
        <f aca="false">SUMIFS(Data!$H$4:$H$2311,Data!$B$4:$B$2311,"UCO",Data!$C$4:$C$2311,"Nepal",Data!$E$4:$E$2311,2025,Data!$F$4:$F$2311,5)</f>
        <v>0</v>
      </c>
      <c r="G224" s="12" t="n">
        <f aca="false">SUMIFS(Data!$H$4:$H$2311,Data!$B$4:$B$2311,"UCO",Data!$C$4:$C$2311,"Nepal",Data!$E$4:$E$2311,2025,Data!$F$4:$F$2311,6)</f>
        <v>0</v>
      </c>
      <c r="H224" s="12" t="n">
        <f aca="false">SUMIFS(Data!$H$4:$H$2311,Data!$B$4:$B$2311,"UCO",Data!$C$4:$C$2311,"Nepal",Data!$E$4:$E$2311,2025,Data!$F$4:$F$2311,7)</f>
        <v>0</v>
      </c>
      <c r="I224" s="12" t="n">
        <f aca="false">SUMIFS(Data!$H$4:$H$2311,Data!$B$4:$B$2311,"UCO",Data!$C$4:$C$2311,"Nepal",Data!$E$4:$E$2311,2025,Data!$F$4:$F$2311,8)</f>
        <v>0</v>
      </c>
      <c r="J224" s="12" t="n">
        <f aca="false">SUMIFS(Data!$H$4:$H$2311,Data!$B$4:$B$2311,"UCO",Data!$C$4:$C$2311,"Nepal",Data!$E$4:$E$2311,2025,Data!$F$4:$F$2311,9)</f>
        <v>0.037610861928761</v>
      </c>
      <c r="K224" s="12" t="n">
        <f aca="false">SUMIFS(Data!$H$4:$H$2311,Data!$B$4:$B$2311,"UCO",Data!$C$4:$C$2311,"Nepal",Data!$E$4:$E$2311,2025,Data!$F$4:$F$2311,10)</f>
        <v>0</v>
      </c>
      <c r="L224" s="12" t="n">
        <f aca="false">SUMIFS(Data!$H$4:$H$2311,Data!$B$4:$B$2311,"UCO",Data!$C$4:$C$2311,"Nepal",Data!$E$4:$E$2311,2025,Data!$F$4:$F$2311,11)</f>
        <v>0</v>
      </c>
      <c r="M224" s="12" t="n">
        <f aca="false">SUMIFS(Data!$H$4:$H$2311,Data!$B$4:$B$2311,"UCO",Data!$C$4:$C$2311,"Nepal",Data!$E$4:$E$2311,2025,Data!$F$4:$F$2311,12)</f>
        <v>0</v>
      </c>
      <c r="N224" s="13" t="n">
        <f aca="false">SUM(B224:M224)</f>
        <v>0.037610861928761</v>
      </c>
    </row>
    <row r="225" customFormat="false" ht="15" hidden="false" customHeight="false" outlineLevel="0" collapsed="false">
      <c r="A225" s="11" t="s">
        <v>79</v>
      </c>
      <c r="B225" s="12" t="n">
        <f aca="false">SUMIFS(Data!$H$4:$H$2311,Data!$B$4:$B$2311,"UCO",Data!$C$4:$C$2311,"Italy",Data!$E$4:$E$2311,2025,Data!$F$4:$F$2311,1)</f>
        <v>0</v>
      </c>
      <c r="C225" s="12" t="n">
        <f aca="false">SUMIFS(Data!$H$4:$H$2311,Data!$B$4:$B$2311,"UCO",Data!$C$4:$C$2311,"Italy",Data!$E$4:$E$2311,2025,Data!$F$4:$F$2311,2)</f>
        <v>0.000308647167059</v>
      </c>
      <c r="D225" s="12" t="n">
        <f aca="false">SUMIFS(Data!$H$4:$H$2311,Data!$B$4:$B$2311,"UCO",Data!$C$4:$C$2311,"Italy",Data!$E$4:$E$2311,2025,Data!$F$4:$F$2311,3)</f>
        <v>0.022017566124416</v>
      </c>
      <c r="E225" s="12" t="n">
        <f aca="false">SUMIFS(Data!$H$4:$H$2311,Data!$B$4:$B$2311,"UCO",Data!$C$4:$C$2311,"Italy",Data!$E$4:$E$2311,2025,Data!$F$4:$F$2311,4)</f>
        <v>0</v>
      </c>
      <c r="F225" s="12" t="n">
        <f aca="false">SUMIFS(Data!$H$4:$H$2311,Data!$B$4:$B$2311,"UCO",Data!$C$4:$C$2311,"Italy",Data!$E$4:$E$2311,2025,Data!$F$4:$F$2311,5)</f>
        <v>0</v>
      </c>
      <c r="G225" s="12" t="n">
        <f aca="false">SUMIFS(Data!$H$4:$H$2311,Data!$B$4:$B$2311,"UCO",Data!$C$4:$C$2311,"Italy",Data!$E$4:$E$2311,2025,Data!$F$4:$F$2311,6)</f>
        <v>0</v>
      </c>
      <c r="H225" s="12" t="n">
        <f aca="false">SUMIFS(Data!$H$4:$H$2311,Data!$B$4:$B$2311,"UCO",Data!$C$4:$C$2311,"Italy",Data!$E$4:$E$2311,2025,Data!$F$4:$F$2311,7)</f>
        <v>0</v>
      </c>
      <c r="I225" s="12" t="n">
        <f aca="false">SUMIFS(Data!$H$4:$H$2311,Data!$B$4:$B$2311,"UCO",Data!$C$4:$C$2311,"Italy",Data!$E$4:$E$2311,2025,Data!$F$4:$F$2311,8)</f>
        <v>0.0033774818566742</v>
      </c>
      <c r="J225" s="12" t="n">
        <f aca="false">SUMIFS(Data!$H$4:$H$2311,Data!$B$4:$B$2311,"UCO",Data!$C$4:$C$2311,"Italy",Data!$E$4:$E$2311,2025,Data!$F$4:$F$2311,9)</f>
        <v>0.0008157103700845</v>
      </c>
      <c r="K225" s="12" t="n">
        <f aca="false">SUMIFS(Data!$H$4:$H$2311,Data!$B$4:$B$2311,"UCO",Data!$C$4:$C$2311,"Italy",Data!$E$4:$E$2311,2025,Data!$F$4:$F$2311,10)</f>
        <v>0.0088184904874</v>
      </c>
      <c r="L225" s="12" t="n">
        <f aca="false">SUMIFS(Data!$H$4:$H$2311,Data!$B$4:$B$2311,"UCO",Data!$C$4:$C$2311,"Italy",Data!$E$4:$E$2311,2025,Data!$F$4:$F$2311,11)</f>
        <v>0</v>
      </c>
      <c r="M225" s="12" t="n">
        <f aca="false">SUMIFS(Data!$H$4:$H$2311,Data!$B$4:$B$2311,"UCO",Data!$C$4:$C$2311,"Italy",Data!$E$4:$E$2311,2025,Data!$F$4:$F$2311,12)</f>
        <v>0</v>
      </c>
      <c r="N225" s="13" t="n">
        <f aca="false">SUM(B225:M225)</f>
        <v>0.0353378960056337</v>
      </c>
    </row>
    <row r="226" customFormat="false" ht="15" hidden="false" customHeight="false" outlineLevel="0" collapsed="false">
      <c r="A226" s="11" t="s">
        <v>70</v>
      </c>
      <c r="B226" s="12" t="n">
        <f aca="false">SUMIFS(Data!$H$4:$H$2311,Data!$B$4:$B$2311,"UCO",Data!$C$4:$C$2311,"Sweden",Data!$E$4:$E$2311,2025,Data!$F$4:$F$2311,1)</f>
        <v>0.0038095878905568</v>
      </c>
      <c r="C226" s="12" t="n">
        <f aca="false">SUMIFS(Data!$H$4:$H$2311,Data!$B$4:$B$2311,"UCO",Data!$C$4:$C$2311,"Sweden",Data!$E$4:$E$2311,2025,Data!$F$4:$F$2311,2)</f>
        <v>0.0028571909179176</v>
      </c>
      <c r="D226" s="12" t="n">
        <f aca="false">SUMIFS(Data!$H$4:$H$2311,Data!$B$4:$B$2311,"UCO",Data!$C$4:$C$2311,"Sweden",Data!$E$4:$E$2311,2025,Data!$F$4:$F$2311,3)</f>
        <v>0.004761984863196</v>
      </c>
      <c r="E226" s="12" t="n">
        <f aca="false">SUMIFS(Data!$H$4:$H$2311,Data!$B$4:$B$2311,"UCO",Data!$C$4:$C$2311,"Sweden",Data!$E$4:$E$2311,2025,Data!$F$4:$F$2311,4)</f>
        <v>0.0019047939452784</v>
      </c>
      <c r="F226" s="12" t="n">
        <f aca="false">SUMIFS(Data!$H$4:$H$2311,Data!$B$4:$B$2311,"UCO",Data!$C$4:$C$2311,"Sweden",Data!$E$4:$E$2311,2025,Data!$F$4:$F$2311,5)</f>
        <v>0</v>
      </c>
      <c r="G226" s="12" t="n">
        <f aca="false">SUMIFS(Data!$H$4:$H$2311,Data!$B$4:$B$2311,"UCO",Data!$C$4:$C$2311,"Sweden",Data!$E$4:$E$2311,2025,Data!$F$4:$F$2311,6)</f>
        <v>0.00513015684104495</v>
      </c>
      <c r="H226" s="12" t="n">
        <f aca="false">SUMIFS(Data!$H$4:$H$2311,Data!$B$4:$B$2311,"UCO",Data!$C$4:$C$2311,"Sweden",Data!$E$4:$E$2311,2025,Data!$F$4:$F$2311,7)</f>
        <v>0</v>
      </c>
      <c r="I226" s="12" t="n">
        <f aca="false">SUMIFS(Data!$H$4:$H$2311,Data!$B$4:$B$2311,"UCO",Data!$C$4:$C$2311,"Sweden",Data!$E$4:$E$2311,2025,Data!$F$4:$F$2311,8)</f>
        <v>0</v>
      </c>
      <c r="J226" s="12" t="n">
        <f aca="false">SUMIFS(Data!$H$4:$H$2311,Data!$B$4:$B$2311,"UCO",Data!$C$4:$C$2311,"Sweden",Data!$E$4:$E$2311,2025,Data!$F$4:$F$2311,9)</f>
        <v>0</v>
      </c>
      <c r="K226" s="12" t="n">
        <f aca="false">SUMIFS(Data!$H$4:$H$2311,Data!$B$4:$B$2311,"UCO",Data!$C$4:$C$2311,"Sweden",Data!$E$4:$E$2311,2025,Data!$F$4:$F$2311,10)</f>
        <v>0</v>
      </c>
      <c r="L226" s="12" t="n">
        <f aca="false">SUMIFS(Data!$H$4:$H$2311,Data!$B$4:$B$2311,"UCO",Data!$C$4:$C$2311,"Sweden",Data!$E$4:$E$2311,2025,Data!$F$4:$F$2311,11)</f>
        <v>0</v>
      </c>
      <c r="M226" s="12" t="n">
        <f aca="false">SUMIFS(Data!$H$4:$H$2311,Data!$B$4:$B$2311,"UCO",Data!$C$4:$C$2311,"Sweden",Data!$E$4:$E$2311,2025,Data!$F$4:$F$2311,12)</f>
        <v>0</v>
      </c>
      <c r="N226" s="13" t="n">
        <f aca="false">SUM(B226:M226)</f>
        <v>0.0184637144579938</v>
      </c>
    </row>
    <row r="227" customFormat="false" ht="15" hidden="false" customHeight="false" outlineLevel="0" collapsed="false">
      <c r="A227" s="11" t="s">
        <v>71</v>
      </c>
      <c r="B227" s="12" t="n">
        <f aca="false">SUMIFS(Data!$H$4:$H$2311,Data!$B$4:$B$2311,"UCO",Data!$C$4:$C$2311,"Ecuador",Data!$E$4:$E$2311,2025,Data!$F$4:$F$2311,1)</f>
        <v>0</v>
      </c>
      <c r="C227" s="12" t="n">
        <f aca="false">SUMIFS(Data!$H$4:$H$2311,Data!$B$4:$B$2311,"UCO",Data!$C$4:$C$2311,"Ecuador",Data!$E$4:$E$2311,2025,Data!$F$4:$F$2311,2)</f>
        <v>0</v>
      </c>
      <c r="D227" s="12" t="n">
        <f aca="false">SUMIFS(Data!$H$4:$H$2311,Data!$B$4:$B$2311,"UCO",Data!$C$4:$C$2311,"Ecuador",Data!$E$4:$E$2311,2025,Data!$F$4:$F$2311,3)</f>
        <v>0</v>
      </c>
      <c r="E227" s="12" t="n">
        <f aca="false">SUMIFS(Data!$H$4:$H$2311,Data!$B$4:$B$2311,"UCO",Data!$C$4:$C$2311,"Ecuador",Data!$E$4:$E$2311,2025,Data!$F$4:$F$2311,4)</f>
        <v>0.0089287216184925</v>
      </c>
      <c r="F227" s="12" t="n">
        <f aca="false">SUMIFS(Data!$H$4:$H$2311,Data!$B$4:$B$2311,"UCO",Data!$C$4:$C$2311,"Ecuador",Data!$E$4:$E$2311,2025,Data!$F$4:$F$2311,5)</f>
        <v>0</v>
      </c>
      <c r="G227" s="12" t="n">
        <f aca="false">SUMIFS(Data!$H$4:$H$2311,Data!$B$4:$B$2311,"UCO",Data!$C$4:$C$2311,"Ecuador",Data!$E$4:$E$2311,2025,Data!$F$4:$F$2311,6)</f>
        <v>0</v>
      </c>
      <c r="H227" s="12" t="n">
        <f aca="false">SUMIFS(Data!$H$4:$H$2311,Data!$B$4:$B$2311,"UCO",Data!$C$4:$C$2311,"Ecuador",Data!$E$4:$E$2311,2025,Data!$F$4:$F$2311,7)</f>
        <v>0</v>
      </c>
      <c r="I227" s="12" t="n">
        <f aca="false">SUMIFS(Data!$H$4:$H$2311,Data!$B$4:$B$2311,"UCO",Data!$C$4:$C$2311,"Ecuador",Data!$E$4:$E$2311,2025,Data!$F$4:$F$2311,8)</f>
        <v>0</v>
      </c>
      <c r="J227" s="12" t="n">
        <f aca="false">SUMIFS(Data!$H$4:$H$2311,Data!$B$4:$B$2311,"UCO",Data!$C$4:$C$2311,"Ecuador",Data!$E$4:$E$2311,2025,Data!$F$4:$F$2311,9)</f>
        <v>0</v>
      </c>
      <c r="K227" s="12" t="n">
        <f aca="false">SUMIFS(Data!$H$4:$H$2311,Data!$B$4:$B$2311,"UCO",Data!$C$4:$C$2311,"Ecuador",Data!$E$4:$E$2311,2025,Data!$F$4:$F$2311,10)</f>
        <v>0</v>
      </c>
      <c r="L227" s="12" t="n">
        <f aca="false">SUMIFS(Data!$H$4:$H$2311,Data!$B$4:$B$2311,"UCO",Data!$C$4:$C$2311,"Ecuador",Data!$E$4:$E$2311,2025,Data!$F$4:$F$2311,11)</f>
        <v>0</v>
      </c>
      <c r="M227" s="12" t="n">
        <f aca="false">SUMIFS(Data!$H$4:$H$2311,Data!$B$4:$B$2311,"UCO",Data!$C$4:$C$2311,"Ecuador",Data!$E$4:$E$2311,2025,Data!$F$4:$F$2311,12)</f>
        <v>0</v>
      </c>
      <c r="N227" s="13" t="n">
        <f aca="false">SUM(B227:M227)</f>
        <v>0.0089287216184925</v>
      </c>
    </row>
    <row r="228" customFormat="false" ht="15" hidden="false" customHeight="false" outlineLevel="0" collapsed="false">
      <c r="A228" s="11" t="s">
        <v>161</v>
      </c>
      <c r="B228" s="12" t="n">
        <f aca="false">SUMIFS(Data!$H$4:$H$2311,Data!$B$4:$B$2311,"UCO",Data!$C$4:$C$2311,"Trinidad and Tobago",Data!$E$4:$E$2311,2025,Data!$F$4:$F$2311,1)</f>
        <v>0</v>
      </c>
      <c r="C228" s="12" t="n">
        <f aca="false">SUMIFS(Data!$H$4:$H$2311,Data!$B$4:$B$2311,"UCO",Data!$C$4:$C$2311,"Trinidad and Tobago",Data!$E$4:$E$2311,2025,Data!$F$4:$F$2311,2)</f>
        <v>0</v>
      </c>
      <c r="D228" s="12" t="n">
        <f aca="false">SUMIFS(Data!$H$4:$H$2311,Data!$B$4:$B$2311,"UCO",Data!$C$4:$C$2311,"Trinidad and Tobago",Data!$E$4:$E$2311,2025,Data!$F$4:$F$2311,3)</f>
        <v>0</v>
      </c>
      <c r="E228" s="12" t="n">
        <f aca="false">SUMIFS(Data!$H$4:$H$2311,Data!$B$4:$B$2311,"UCO",Data!$C$4:$C$2311,"Trinidad and Tobago",Data!$E$4:$E$2311,2025,Data!$F$4:$F$2311,4)</f>
        <v>0</v>
      </c>
      <c r="F228" s="12" t="n">
        <f aca="false">SUMIFS(Data!$H$4:$H$2311,Data!$B$4:$B$2311,"UCO",Data!$C$4:$C$2311,"Trinidad and Tobago",Data!$E$4:$E$2311,2025,Data!$F$4:$F$2311,5)</f>
        <v>0</v>
      </c>
      <c r="G228" s="12" t="n">
        <f aca="false">SUMIFS(Data!$H$4:$H$2311,Data!$B$4:$B$2311,"UCO",Data!$C$4:$C$2311,"Trinidad and Tobago",Data!$E$4:$E$2311,2025,Data!$F$4:$F$2311,6)</f>
        <v>0</v>
      </c>
      <c r="H228" s="12" t="n">
        <f aca="false">SUMIFS(Data!$H$4:$H$2311,Data!$B$4:$B$2311,"UCO",Data!$C$4:$C$2311,"Trinidad and Tobago",Data!$E$4:$E$2311,2025,Data!$F$4:$F$2311,7)</f>
        <v>0.005776111269247</v>
      </c>
      <c r="I228" s="12" t="n">
        <f aca="false">SUMIFS(Data!$H$4:$H$2311,Data!$B$4:$B$2311,"UCO",Data!$C$4:$C$2311,"Trinidad and Tobago",Data!$E$4:$E$2311,2025,Data!$F$4:$F$2311,8)</f>
        <v>0</v>
      </c>
      <c r="J228" s="12" t="n">
        <f aca="false">SUMIFS(Data!$H$4:$H$2311,Data!$B$4:$B$2311,"UCO",Data!$C$4:$C$2311,"Trinidad and Tobago",Data!$E$4:$E$2311,2025,Data!$F$4:$F$2311,9)</f>
        <v>0</v>
      </c>
      <c r="K228" s="12" t="n">
        <f aca="false">SUMIFS(Data!$H$4:$H$2311,Data!$B$4:$B$2311,"UCO",Data!$C$4:$C$2311,"Trinidad and Tobago",Data!$E$4:$E$2311,2025,Data!$F$4:$F$2311,10)</f>
        <v>0</v>
      </c>
      <c r="L228" s="12" t="n">
        <f aca="false">SUMIFS(Data!$H$4:$H$2311,Data!$B$4:$B$2311,"UCO",Data!$C$4:$C$2311,"Trinidad and Tobago",Data!$E$4:$E$2311,2025,Data!$F$4:$F$2311,11)</f>
        <v>0</v>
      </c>
      <c r="M228" s="12" t="n">
        <f aca="false">SUMIFS(Data!$H$4:$H$2311,Data!$B$4:$B$2311,"UCO",Data!$C$4:$C$2311,"Trinidad and Tobago",Data!$E$4:$E$2311,2025,Data!$F$4:$F$2311,12)</f>
        <v>0</v>
      </c>
      <c r="N228" s="13" t="n">
        <f aca="false">SUM(B228:M228)</f>
        <v>0.005776111269247</v>
      </c>
    </row>
    <row r="229" customFormat="false" ht="15" hidden="false" customHeight="false" outlineLevel="0" collapsed="false">
      <c r="A229" s="11" t="s">
        <v>76</v>
      </c>
      <c r="B229" s="12" t="n">
        <f aca="false">SUMIFS(Data!$H$4:$H$2311,Data!$B$4:$B$2311,"UCO",Data!$C$4:$C$2311,"Switzerland",Data!$E$4:$E$2311,2025,Data!$F$4:$F$2311,1)</f>
        <v>0</v>
      </c>
      <c r="C229" s="12" t="n">
        <f aca="false">SUMIFS(Data!$H$4:$H$2311,Data!$B$4:$B$2311,"UCO",Data!$C$4:$C$2311,"Switzerland",Data!$E$4:$E$2311,2025,Data!$F$4:$F$2311,2)</f>
        <v>2.20462262185E-006</v>
      </c>
      <c r="D229" s="12" t="n">
        <f aca="false">SUMIFS(Data!$H$4:$H$2311,Data!$B$4:$B$2311,"UCO",Data!$C$4:$C$2311,"Switzerland",Data!$E$4:$E$2311,2025,Data!$F$4:$F$2311,3)</f>
        <v>0</v>
      </c>
      <c r="E229" s="12" t="n">
        <f aca="false">SUMIFS(Data!$H$4:$H$2311,Data!$B$4:$B$2311,"UCO",Data!$C$4:$C$2311,"Switzerland",Data!$E$4:$E$2311,2025,Data!$F$4:$F$2311,4)</f>
        <v>0</v>
      </c>
      <c r="F229" s="12" t="n">
        <f aca="false">SUMIFS(Data!$H$4:$H$2311,Data!$B$4:$B$2311,"UCO",Data!$C$4:$C$2311,"Switzerland",Data!$E$4:$E$2311,2025,Data!$F$4:$F$2311,5)</f>
        <v>0</v>
      </c>
      <c r="G229" s="12" t="n">
        <f aca="false">SUMIFS(Data!$H$4:$H$2311,Data!$B$4:$B$2311,"UCO",Data!$C$4:$C$2311,"Switzerland",Data!$E$4:$E$2311,2025,Data!$F$4:$F$2311,6)</f>
        <v>0</v>
      </c>
      <c r="H229" s="12" t="n">
        <f aca="false">SUMIFS(Data!$H$4:$H$2311,Data!$B$4:$B$2311,"UCO",Data!$C$4:$C$2311,"Switzerland",Data!$E$4:$E$2311,2025,Data!$F$4:$F$2311,7)</f>
        <v>0</v>
      </c>
      <c r="I229" s="12" t="n">
        <f aca="false">SUMIFS(Data!$H$4:$H$2311,Data!$B$4:$B$2311,"UCO",Data!$C$4:$C$2311,"Switzerland",Data!$E$4:$E$2311,2025,Data!$F$4:$F$2311,8)</f>
        <v>0</v>
      </c>
      <c r="J229" s="12" t="n">
        <f aca="false">SUMIFS(Data!$H$4:$H$2311,Data!$B$4:$B$2311,"UCO",Data!$C$4:$C$2311,"Switzerland",Data!$E$4:$E$2311,2025,Data!$F$4:$F$2311,9)</f>
        <v>0</v>
      </c>
      <c r="K229" s="12" t="n">
        <f aca="false">SUMIFS(Data!$H$4:$H$2311,Data!$B$4:$B$2311,"UCO",Data!$C$4:$C$2311,"Switzerland",Data!$E$4:$E$2311,2025,Data!$F$4:$F$2311,10)</f>
        <v>0</v>
      </c>
      <c r="L229" s="12" t="n">
        <f aca="false">SUMIFS(Data!$H$4:$H$2311,Data!$B$4:$B$2311,"UCO",Data!$C$4:$C$2311,"Switzerland",Data!$E$4:$E$2311,2025,Data!$F$4:$F$2311,11)</f>
        <v>0</v>
      </c>
      <c r="M229" s="12" t="n">
        <f aca="false">SUMIFS(Data!$H$4:$H$2311,Data!$B$4:$B$2311,"UCO",Data!$C$4:$C$2311,"Switzerland",Data!$E$4:$E$2311,2025,Data!$F$4:$F$2311,12)</f>
        <v>0</v>
      </c>
      <c r="N229" s="13" t="n">
        <f aca="false">SUM(B229:M229)</f>
        <v>2.20462262185E-006</v>
      </c>
    </row>
    <row r="231" customFormat="false" ht="15" hidden="false" customHeight="false" outlineLevel="0" collapsed="false">
      <c r="A231" s="8"/>
      <c r="B231" s="9" t="s">
        <v>178</v>
      </c>
      <c r="C231" s="9" t="s">
        <v>179</v>
      </c>
      <c r="D231" s="9" t="s">
        <v>180</v>
      </c>
      <c r="E231" s="9" t="s">
        <v>181</v>
      </c>
      <c r="F231" s="9" t="s">
        <v>182</v>
      </c>
      <c r="G231" s="9" t="s">
        <v>183</v>
      </c>
      <c r="H231" s="9" t="s">
        <v>184</v>
      </c>
      <c r="I231" s="9" t="s">
        <v>185</v>
      </c>
      <c r="J231" s="9" t="s">
        <v>186</v>
      </c>
      <c r="K231" s="9" t="s">
        <v>187</v>
      </c>
      <c r="L231" s="9" t="s">
        <v>188</v>
      </c>
      <c r="M231" s="9" t="s">
        <v>189</v>
      </c>
      <c r="N231" s="9" t="s">
        <v>33</v>
      </c>
    </row>
    <row r="232" customFormat="false" ht="15" hidden="false" customHeight="false" outlineLevel="0" collapsed="false">
      <c r="A232" s="10" t="s">
        <v>35</v>
      </c>
      <c r="B232" s="10" t="n">
        <f aca="false">SUM(B233:B274)</f>
        <v>108.592097790418</v>
      </c>
      <c r="C232" s="10" t="n">
        <f aca="false">SUM(C233:C274)</f>
        <v>232.935033717738</v>
      </c>
      <c r="D232" s="10" t="n">
        <f aca="false">SUM(D233:D274)</f>
        <v>173.025805085839</v>
      </c>
      <c r="E232" s="10" t="n">
        <f aca="false">SUM(E233:E274)</f>
        <v>230.187057599884</v>
      </c>
      <c r="F232" s="10" t="n">
        <f aca="false">SUM(F233:F274)</f>
        <v>318.229680539115</v>
      </c>
      <c r="G232" s="10" t="n">
        <f aca="false">SUM(G233:G274)</f>
        <v>406.815709885293</v>
      </c>
      <c r="H232" s="10" t="n">
        <f aca="false">SUM(H233:H274)</f>
        <v>746.006695395224</v>
      </c>
      <c r="I232" s="10" t="n">
        <f aca="false">SUM(I233:I274)</f>
        <v>586.760425445754</v>
      </c>
      <c r="J232" s="10"/>
      <c r="K232" s="10"/>
      <c r="L232" s="10"/>
      <c r="M232" s="10"/>
      <c r="N232" s="10" t="n">
        <f aca="false">SUM(B232:M232)</f>
        <v>2802.55250545927</v>
      </c>
    </row>
    <row r="233" customFormat="false" ht="15" hidden="false" customHeight="false" outlineLevel="0" collapsed="false">
      <c r="A233" s="11" t="s">
        <v>57</v>
      </c>
      <c r="B233" s="12" t="n">
        <f aca="false">SUMIFS(Data!$H$4:$H$2311,Data!$B$4:$B$2311,"UCO",Data!$C$4:$C$2311,"China",Data!$E$4:$E$2311,2026,Data!$F$4:$F$2311,1)</f>
        <v>1.76369809748E-005</v>
      </c>
      <c r="C233" s="12" t="n">
        <f aca="false">SUMIFS(Data!$H$4:$H$2311,Data!$B$4:$B$2311,"UCO",Data!$C$4:$C$2311,"China",Data!$E$4:$E$2311,2026,Data!$F$4:$F$2311,2)</f>
        <v>114.76475673528</v>
      </c>
      <c r="D233" s="12" t="n">
        <f aca="false">SUMIFS(Data!$H$4:$H$2311,Data!$B$4:$B$2311,"UCO",Data!$C$4:$C$2311,"China",Data!$E$4:$E$2311,2026,Data!$F$4:$F$2311,3)</f>
        <v>14.1513028537133</v>
      </c>
      <c r="E233" s="12" t="n">
        <f aca="false">SUMIFS(Data!$H$4:$H$2311,Data!$B$4:$B$2311,"UCO",Data!$C$4:$C$2311,"China",Data!$E$4:$E$2311,2026,Data!$F$4:$F$2311,4)</f>
        <v>13.4413372076858</v>
      </c>
      <c r="F233" s="12" t="n">
        <f aca="false">SUMIFS(Data!$H$4:$H$2311,Data!$B$4:$B$2311,"UCO",Data!$C$4:$C$2311,"China",Data!$E$4:$E$2311,2026,Data!$F$4:$F$2311,5)</f>
        <v>85.997859708314</v>
      </c>
      <c r="G233" s="12" t="n">
        <f aca="false">SUMIFS(Data!$H$4:$H$2311,Data!$B$4:$B$2311,"UCO",Data!$C$4:$C$2311,"China",Data!$E$4:$E$2311,2026,Data!$F$4:$F$2311,6)</f>
        <v>166.860685950344</v>
      </c>
      <c r="H233" s="12" t="n">
        <f aca="false">SUMIFS(Data!$H$4:$H$2311,Data!$B$4:$B$2311,"UCO",Data!$C$4:$C$2311,"China",Data!$E$4:$E$2311,2026,Data!$F$4:$F$2311,7)</f>
        <v>360.418167968943</v>
      </c>
      <c r="I233" s="12" t="n">
        <f aca="false">SUMIFS(Data!$H$4:$H$2311,Data!$B$4:$B$2311,"UCO",Data!$C$4:$C$2311,"China",Data!$E$4:$E$2311,2026,Data!$F$4:$F$2311,8)</f>
        <v>227.52772494841</v>
      </c>
      <c r="J233" s="12"/>
      <c r="K233" s="12"/>
      <c r="L233" s="12"/>
      <c r="M233" s="12"/>
      <c r="N233" s="13" t="n">
        <f aca="false">SUM(B233:M233)</f>
        <v>983.16185300967</v>
      </c>
    </row>
    <row r="234" customFormat="false" ht="15" hidden="false" customHeight="false" outlineLevel="0" collapsed="false">
      <c r="A234" s="11" t="s">
        <v>65</v>
      </c>
      <c r="B234" s="12" t="n">
        <f aca="false">SUMIFS(Data!$H$4:$H$2311,Data!$B$4:$B$2311,"UCO",Data!$C$4:$C$2311,"Malaysia",Data!$E$4:$E$2311,2026,Data!$F$4:$F$2311,1)</f>
        <v>26.5264603106236</v>
      </c>
      <c r="C234" s="12" t="n">
        <f aca="false">SUMIFS(Data!$H$4:$H$2311,Data!$B$4:$B$2311,"UCO",Data!$C$4:$C$2311,"Malaysia",Data!$E$4:$E$2311,2026,Data!$F$4:$F$2311,2)</f>
        <v>44.1408527220401</v>
      </c>
      <c r="D234" s="12" t="n">
        <f aca="false">SUMIFS(Data!$H$4:$H$2311,Data!$B$4:$B$2311,"UCO",Data!$C$4:$C$2311,"Malaysia",Data!$E$4:$E$2311,2026,Data!$F$4:$F$2311,3)</f>
        <v>17.4757084207664</v>
      </c>
      <c r="E234" s="12" t="n">
        <f aca="false">SUMIFS(Data!$H$4:$H$2311,Data!$B$4:$B$2311,"UCO",Data!$C$4:$C$2311,"Malaysia",Data!$E$4:$E$2311,2026,Data!$F$4:$F$2311,4)</f>
        <v>74.8065603484883</v>
      </c>
      <c r="F234" s="12" t="n">
        <f aca="false">SUMIFS(Data!$H$4:$H$2311,Data!$B$4:$B$2311,"UCO",Data!$C$4:$C$2311,"Malaysia",Data!$E$4:$E$2311,2026,Data!$F$4:$F$2311,5)</f>
        <v>78.6309699169318</v>
      </c>
      <c r="G234" s="12" t="n">
        <f aca="false">SUMIFS(Data!$H$4:$H$2311,Data!$B$4:$B$2311,"UCO",Data!$C$4:$C$2311,"Malaysia",Data!$E$4:$E$2311,2026,Data!$F$4:$F$2311,6)</f>
        <v>26.4852096167461</v>
      </c>
      <c r="H234" s="12" t="n">
        <f aca="false">SUMIFS(Data!$H$4:$H$2311,Data!$B$4:$B$2311,"UCO",Data!$C$4:$C$2311,"Malaysia",Data!$E$4:$E$2311,2026,Data!$F$4:$F$2311,7)</f>
        <v>82.4101472430428</v>
      </c>
      <c r="I234" s="12" t="n">
        <f aca="false">SUMIFS(Data!$H$4:$H$2311,Data!$B$4:$B$2311,"UCO",Data!$C$4:$C$2311,"Malaysia",Data!$E$4:$E$2311,2026,Data!$F$4:$F$2311,8)</f>
        <v>106.552167092288</v>
      </c>
      <c r="J234" s="12"/>
      <c r="K234" s="12"/>
      <c r="L234" s="12"/>
      <c r="M234" s="12"/>
      <c r="N234" s="13" t="n">
        <f aca="false">SUM(B234:M234)</f>
        <v>457.028075670927</v>
      </c>
    </row>
    <row r="235" customFormat="false" ht="15" hidden="false" customHeight="false" outlineLevel="0" collapsed="false">
      <c r="A235" s="11" t="s">
        <v>43</v>
      </c>
      <c r="B235" s="12" t="n">
        <f aca="false">SUMIFS(Data!$H$4:$H$2311,Data!$B$4:$B$2311,"UCO",Data!$C$4:$C$2311,"Canada",Data!$E$4:$E$2311,2026,Data!$F$4:$F$2311,1)</f>
        <v>45.2723951243082</v>
      </c>
      <c r="C235" s="12" t="n">
        <f aca="false">SUMIFS(Data!$H$4:$H$2311,Data!$B$4:$B$2311,"UCO",Data!$C$4:$C$2311,"Canada",Data!$E$4:$E$2311,2026,Data!$F$4:$F$2311,2)</f>
        <v>45.9773232076447</v>
      </c>
      <c r="D235" s="12" t="n">
        <f aca="false">SUMIFS(Data!$H$4:$H$2311,Data!$B$4:$B$2311,"UCO",Data!$C$4:$C$2311,"Canada",Data!$E$4:$E$2311,2026,Data!$F$4:$F$2311,3)</f>
        <v>47.6447366167381</v>
      </c>
      <c r="E235" s="12" t="n">
        <f aca="false">SUMIFS(Data!$H$4:$H$2311,Data!$B$4:$B$2311,"UCO",Data!$C$4:$C$2311,"Canada",Data!$E$4:$E$2311,2026,Data!$F$4:$F$2311,4)</f>
        <v>53.634279606629</v>
      </c>
      <c r="F235" s="12" t="n">
        <f aca="false">SUMIFS(Data!$H$4:$H$2311,Data!$B$4:$B$2311,"UCO",Data!$C$4:$C$2311,"Canada",Data!$E$4:$E$2311,2026,Data!$F$4:$F$2311,5)</f>
        <v>51.6637857025968</v>
      </c>
      <c r="G235" s="12" t="n">
        <f aca="false">SUMIFS(Data!$H$4:$H$2311,Data!$B$4:$B$2311,"UCO",Data!$C$4:$C$2311,"Canada",Data!$E$4:$E$2311,2026,Data!$F$4:$F$2311,6)</f>
        <v>54.1344379316029</v>
      </c>
      <c r="H235" s="12" t="n">
        <f aca="false">SUMIFS(Data!$H$4:$H$2311,Data!$B$4:$B$2311,"UCO",Data!$C$4:$C$2311,"Canada",Data!$E$4:$E$2311,2026,Data!$F$4:$F$2311,7)</f>
        <v>51.5097531292534</v>
      </c>
      <c r="I235" s="12" t="n">
        <f aca="false">SUMIFS(Data!$H$4:$H$2311,Data!$B$4:$B$2311,"UCO",Data!$C$4:$C$2311,"Canada",Data!$E$4:$E$2311,2026,Data!$F$4:$F$2311,8)</f>
        <v>36.5824672051014</v>
      </c>
      <c r="J235" s="12"/>
      <c r="K235" s="12"/>
      <c r="L235" s="12"/>
      <c r="M235" s="12"/>
      <c r="N235" s="13" t="n">
        <f aca="false">SUM(B235:M235)</f>
        <v>386.419178523875</v>
      </c>
    </row>
    <row r="236" customFormat="false" ht="15" hidden="false" customHeight="false" outlineLevel="0" collapsed="false">
      <c r="A236" s="11" t="s">
        <v>75</v>
      </c>
      <c r="B236" s="12" t="n">
        <f aca="false">SUMIFS(Data!$H$4:$H$2311,Data!$B$4:$B$2311,"UCO",Data!$C$4:$C$2311,"Vietnam",Data!$E$4:$E$2311,2026,Data!$F$4:$F$2311,1)</f>
        <v>0.0012522256492108</v>
      </c>
      <c r="C236" s="12" t="n">
        <f aca="false">SUMIFS(Data!$H$4:$H$2311,Data!$B$4:$B$2311,"UCO",Data!$C$4:$C$2311,"Vietnam",Data!$E$4:$E$2311,2026,Data!$F$4:$F$2311,2)</f>
        <v>19.0764297909262</v>
      </c>
      <c r="D236" s="12" t="n">
        <f aca="false">SUMIFS(Data!$H$4:$H$2311,Data!$B$4:$B$2311,"UCO",Data!$C$4:$C$2311,"Vietnam",Data!$E$4:$E$2311,2026,Data!$F$4:$F$2311,3)</f>
        <v>43.042827197492</v>
      </c>
      <c r="E236" s="12" t="n">
        <f aca="false">SUMIFS(Data!$H$4:$H$2311,Data!$B$4:$B$2311,"UCO",Data!$C$4:$C$2311,"Vietnam",Data!$E$4:$E$2311,2026,Data!$F$4:$F$2311,4)</f>
        <v>31.5050317094354</v>
      </c>
      <c r="F236" s="12" t="n">
        <f aca="false">SUMIFS(Data!$H$4:$H$2311,Data!$B$4:$B$2311,"UCO",Data!$C$4:$C$2311,"Vietnam",Data!$E$4:$E$2311,2026,Data!$F$4:$F$2311,5)</f>
        <v>18.6481068894627</v>
      </c>
      <c r="G236" s="12" t="n">
        <f aca="false">SUMIFS(Data!$H$4:$H$2311,Data!$B$4:$B$2311,"UCO",Data!$C$4:$C$2311,"Vietnam",Data!$E$4:$E$2311,2026,Data!$F$4:$F$2311,6)</f>
        <v>18.5315484914455</v>
      </c>
      <c r="H236" s="12" t="n">
        <f aca="false">SUMIFS(Data!$H$4:$H$2311,Data!$B$4:$B$2311,"UCO",Data!$C$4:$C$2311,"Vietnam",Data!$E$4:$E$2311,2026,Data!$F$4:$F$2311,7)</f>
        <v>0</v>
      </c>
      <c r="I236" s="12" t="n">
        <f aca="false">SUMIFS(Data!$H$4:$H$2311,Data!$B$4:$B$2311,"UCO",Data!$C$4:$C$2311,"Vietnam",Data!$E$4:$E$2311,2026,Data!$F$4:$F$2311,8)</f>
        <v>53.7418740090658</v>
      </c>
      <c r="J236" s="12"/>
      <c r="K236" s="12"/>
      <c r="L236" s="12"/>
      <c r="M236" s="12"/>
      <c r="N236" s="13" t="n">
        <f aca="false">SUM(B236:M236)</f>
        <v>184.547070313477</v>
      </c>
    </row>
    <row r="237" customFormat="false" ht="15" hidden="false" customHeight="false" outlineLevel="0" collapsed="false">
      <c r="A237" s="11" t="s">
        <v>109</v>
      </c>
      <c r="B237" s="12" t="n">
        <f aca="false">SUMIFS(Data!$H$4:$H$2311,Data!$B$4:$B$2311,"UCO",Data!$C$4:$C$2311,"Australia",Data!$E$4:$E$2311,2026,Data!$F$4:$F$2311,1)</f>
        <v>0</v>
      </c>
      <c r="C237" s="12" t="n">
        <f aca="false">SUMIFS(Data!$H$4:$H$2311,Data!$B$4:$B$2311,"UCO",Data!$C$4:$C$2311,"Australia",Data!$E$4:$E$2311,2026,Data!$F$4:$F$2311,2)</f>
        <v>0</v>
      </c>
      <c r="D237" s="12" t="n">
        <f aca="false">SUMIFS(Data!$H$4:$H$2311,Data!$B$4:$B$2311,"UCO",Data!$C$4:$C$2311,"Australia",Data!$E$4:$E$2311,2026,Data!$F$4:$F$2311,3)</f>
        <v>32.4862541228552</v>
      </c>
      <c r="E237" s="12" t="n">
        <f aca="false">SUMIFS(Data!$H$4:$H$2311,Data!$B$4:$B$2311,"UCO",Data!$C$4:$C$2311,"Australia",Data!$E$4:$E$2311,2026,Data!$F$4:$F$2311,4)</f>
        <v>0</v>
      </c>
      <c r="F237" s="12" t="n">
        <f aca="false">SUMIFS(Data!$H$4:$H$2311,Data!$B$4:$B$2311,"UCO",Data!$C$4:$C$2311,"Australia",Data!$E$4:$E$2311,2026,Data!$F$4:$F$2311,5)</f>
        <v>27.6327355330227</v>
      </c>
      <c r="G237" s="12" t="n">
        <f aca="false">SUMIFS(Data!$H$4:$H$2311,Data!$B$4:$B$2311,"UCO",Data!$C$4:$C$2311,"Australia",Data!$E$4:$E$2311,2026,Data!$F$4:$F$2311,6)</f>
        <v>0</v>
      </c>
      <c r="H237" s="12" t="n">
        <f aca="false">SUMIFS(Data!$H$4:$H$2311,Data!$B$4:$B$2311,"UCO",Data!$C$4:$C$2311,"Australia",Data!$E$4:$E$2311,2026,Data!$F$4:$F$2311,7)</f>
        <v>115.702797205405</v>
      </c>
      <c r="I237" s="12" t="n">
        <f aca="false">SUMIFS(Data!$H$4:$H$2311,Data!$B$4:$B$2311,"UCO",Data!$C$4:$C$2311,"Australia",Data!$E$4:$E$2311,2026,Data!$F$4:$F$2311,8)</f>
        <v>0</v>
      </c>
      <c r="J237" s="12"/>
      <c r="K237" s="12"/>
      <c r="L237" s="12"/>
      <c r="M237" s="12"/>
      <c r="N237" s="13" t="n">
        <f aca="false">SUM(B237:M237)</f>
        <v>175.821786861283</v>
      </c>
    </row>
    <row r="238" customFormat="false" ht="15" hidden="false" customHeight="false" outlineLevel="0" collapsed="false">
      <c r="A238" s="11" t="s">
        <v>126</v>
      </c>
      <c r="B238" s="12" t="n">
        <f aca="false">SUMIFS(Data!$H$4:$H$2311,Data!$B$4:$B$2311,"UCO",Data!$C$4:$C$2311,"Indonesia",Data!$E$4:$E$2311,2026,Data!$F$4:$F$2311,1)</f>
        <v>0</v>
      </c>
      <c r="C238" s="12" t="n">
        <f aca="false">SUMIFS(Data!$H$4:$H$2311,Data!$B$4:$B$2311,"UCO",Data!$C$4:$C$2311,"Indonesia",Data!$E$4:$E$2311,2026,Data!$F$4:$F$2311,2)</f>
        <v>0</v>
      </c>
      <c r="D238" s="12" t="n">
        <f aca="false">SUMIFS(Data!$H$4:$H$2311,Data!$B$4:$B$2311,"UCO",Data!$C$4:$C$2311,"Indonesia",Data!$E$4:$E$2311,2026,Data!$F$4:$F$2311,3)</f>
        <v>0</v>
      </c>
      <c r="E238" s="12" t="n">
        <f aca="false">SUMIFS(Data!$H$4:$H$2311,Data!$B$4:$B$2311,"UCO",Data!$C$4:$C$2311,"Indonesia",Data!$E$4:$E$2311,2026,Data!$F$4:$F$2311,4)</f>
        <v>0.0529109429244</v>
      </c>
      <c r="F238" s="12" t="n">
        <f aca="false">SUMIFS(Data!$H$4:$H$2311,Data!$B$4:$B$2311,"UCO",Data!$C$4:$C$2311,"Indonesia",Data!$E$4:$E$2311,2026,Data!$F$4:$F$2311,5)</f>
        <v>40.3182200794298</v>
      </c>
      <c r="G238" s="12" t="n">
        <f aca="false">SUMIFS(Data!$H$4:$H$2311,Data!$B$4:$B$2311,"UCO",Data!$C$4:$C$2311,"Indonesia",Data!$E$4:$E$2311,2026,Data!$F$4:$F$2311,6)</f>
        <v>44.0769715769494</v>
      </c>
      <c r="H238" s="12" t="n">
        <f aca="false">SUMIFS(Data!$H$4:$H$2311,Data!$B$4:$B$2311,"UCO",Data!$C$4:$C$2311,"Indonesia",Data!$E$4:$E$2311,2026,Data!$F$4:$F$2311,7)</f>
        <v>14.5723681375056</v>
      </c>
      <c r="I238" s="12" t="n">
        <f aca="false">SUMIFS(Data!$H$4:$H$2311,Data!$B$4:$B$2311,"UCO",Data!$C$4:$C$2311,"Indonesia",Data!$E$4:$E$2311,2026,Data!$F$4:$F$2311,8)</f>
        <v>33.1315846428553</v>
      </c>
      <c r="J238" s="12"/>
      <c r="K238" s="12"/>
      <c r="L238" s="12"/>
      <c r="M238" s="12"/>
      <c r="N238" s="13" t="n">
        <f aca="false">SUM(B238:M238)</f>
        <v>132.152055379665</v>
      </c>
    </row>
    <row r="239" customFormat="false" ht="15" hidden="false" customHeight="false" outlineLevel="0" collapsed="false">
      <c r="A239" s="11" t="s">
        <v>127</v>
      </c>
      <c r="B239" s="12" t="n">
        <f aca="false">SUMIFS(Data!$H$4:$H$2311,Data!$B$4:$B$2311,"UCO",Data!$C$4:$C$2311,"Korea, South",Data!$E$4:$E$2311,2026,Data!$F$4:$F$2311,1)</f>
        <v>0</v>
      </c>
      <c r="C239" s="12" t="n">
        <f aca="false">SUMIFS(Data!$H$4:$H$2311,Data!$B$4:$B$2311,"UCO",Data!$C$4:$C$2311,"Korea, South",Data!$E$4:$E$2311,2026,Data!$F$4:$F$2311,2)</f>
        <v>0</v>
      </c>
      <c r="D239" s="12" t="n">
        <f aca="false">SUMIFS(Data!$H$4:$H$2311,Data!$B$4:$B$2311,"UCO",Data!$C$4:$C$2311,"Korea, South",Data!$E$4:$E$2311,2026,Data!$F$4:$F$2311,3)</f>
        <v>0</v>
      </c>
      <c r="E239" s="12" t="n">
        <f aca="false">SUMIFS(Data!$H$4:$H$2311,Data!$B$4:$B$2311,"UCO",Data!$C$4:$C$2311,"Korea, South",Data!$E$4:$E$2311,2026,Data!$F$4:$F$2311,4)</f>
        <v>33.6311300827403</v>
      </c>
      <c r="F239" s="12" t="n">
        <f aca="false">SUMIFS(Data!$H$4:$H$2311,Data!$B$4:$B$2311,"UCO",Data!$C$4:$C$2311,"Korea, South",Data!$E$4:$E$2311,2026,Data!$F$4:$F$2311,5)</f>
        <v>0</v>
      </c>
      <c r="G239" s="12" t="n">
        <f aca="false">SUMIFS(Data!$H$4:$H$2311,Data!$B$4:$B$2311,"UCO",Data!$C$4:$C$2311,"Korea, South",Data!$E$4:$E$2311,2026,Data!$F$4:$F$2311,6)</f>
        <v>1.5535270136938</v>
      </c>
      <c r="H239" s="12" t="n">
        <f aca="false">SUMIFS(Data!$H$4:$H$2311,Data!$B$4:$B$2311,"UCO",Data!$C$4:$C$2311,"Korea, South",Data!$E$4:$E$2311,2026,Data!$F$4:$F$2311,7)</f>
        <v>61.3605691824478</v>
      </c>
      <c r="I239" s="12" t="n">
        <f aca="false">SUMIFS(Data!$H$4:$H$2311,Data!$B$4:$B$2311,"UCO",Data!$C$4:$C$2311,"Korea, South",Data!$E$4:$E$2311,2026,Data!$F$4:$F$2311,8)</f>
        <v>0.172092841861611</v>
      </c>
      <c r="J239" s="12"/>
      <c r="K239" s="12"/>
      <c r="L239" s="12"/>
      <c r="M239" s="12"/>
      <c r="N239" s="13" t="n">
        <f aca="false">SUM(B239:M239)</f>
        <v>96.7173191207435</v>
      </c>
    </row>
    <row r="240" customFormat="false" ht="15" hidden="false" customHeight="false" outlineLevel="0" collapsed="false">
      <c r="A240" s="11" t="s">
        <v>74</v>
      </c>
      <c r="B240" s="12" t="n">
        <f aca="false">SUMIFS(Data!$H$4:$H$2311,Data!$B$4:$B$2311,"UCO",Data!$C$4:$C$2311,"United Kingdom",Data!$E$4:$E$2311,2026,Data!$F$4:$F$2311,1)</f>
        <v>15.3784398974874</v>
      </c>
      <c r="C240" s="12" t="n">
        <f aca="false">SUMIFS(Data!$H$4:$H$2311,Data!$B$4:$B$2311,"UCO",Data!$C$4:$C$2311,"United Kingdom",Data!$E$4:$E$2311,2026,Data!$F$4:$F$2311,2)</f>
        <v>0</v>
      </c>
      <c r="D240" s="12" t="n">
        <f aca="false">SUMIFS(Data!$H$4:$H$2311,Data!$B$4:$B$2311,"UCO",Data!$C$4:$C$2311,"United Kingdom",Data!$E$4:$E$2311,2026,Data!$F$4:$F$2311,3)</f>
        <v>0</v>
      </c>
      <c r="E240" s="12" t="n">
        <f aca="false">SUMIFS(Data!$H$4:$H$2311,Data!$B$4:$B$2311,"UCO",Data!$C$4:$C$2311,"United Kingdom",Data!$E$4:$E$2311,2026,Data!$F$4:$F$2311,4)</f>
        <v>0</v>
      </c>
      <c r="F240" s="12" t="n">
        <f aca="false">SUMIFS(Data!$H$4:$H$2311,Data!$B$4:$B$2311,"UCO",Data!$C$4:$C$2311,"United Kingdom",Data!$E$4:$E$2311,2026,Data!$F$4:$F$2311,5)</f>
        <v>0.00048281235418515</v>
      </c>
      <c r="G240" s="12" t="n">
        <f aca="false">SUMIFS(Data!$H$4:$H$2311,Data!$B$4:$B$2311,"UCO",Data!$C$4:$C$2311,"United Kingdom",Data!$E$4:$E$2311,2026,Data!$F$4:$F$2311,6)</f>
        <v>18.469508206244</v>
      </c>
      <c r="H240" s="12" t="n">
        <f aca="false">SUMIFS(Data!$H$4:$H$2311,Data!$B$4:$B$2311,"UCO",Data!$C$4:$C$2311,"United Kingdom",Data!$E$4:$E$2311,2026,Data!$F$4:$F$2311,7)</f>
        <v>0</v>
      </c>
      <c r="I240" s="12" t="n">
        <f aca="false">SUMIFS(Data!$H$4:$H$2311,Data!$B$4:$B$2311,"UCO",Data!$C$4:$C$2311,"United Kingdom",Data!$E$4:$E$2311,2026,Data!$F$4:$F$2311,8)</f>
        <v>19.5086129866005</v>
      </c>
      <c r="J240" s="12"/>
      <c r="K240" s="12"/>
      <c r="L240" s="12"/>
      <c r="M240" s="12"/>
      <c r="N240" s="13" t="n">
        <f aca="false">SUM(B240:M240)</f>
        <v>53.3570439026861</v>
      </c>
    </row>
    <row r="241" customFormat="false" ht="15" hidden="false" customHeight="false" outlineLevel="0" collapsed="false">
      <c r="A241" s="11" t="s">
        <v>59</v>
      </c>
      <c r="B241" s="12" t="n">
        <f aca="false">SUMIFS(Data!$H$4:$H$2311,Data!$B$4:$B$2311,"UCO",Data!$C$4:$C$2311,"Germany",Data!$E$4:$E$2311,2026,Data!$F$4:$F$2311,1)</f>
        <v>0.0088184904874</v>
      </c>
      <c r="C241" s="12" t="n">
        <f aca="false">SUMIFS(Data!$H$4:$H$2311,Data!$B$4:$B$2311,"UCO",Data!$C$4:$C$2311,"Germany",Data!$E$4:$E$2311,2026,Data!$F$4:$F$2311,2)</f>
        <v>0.00964963321583745</v>
      </c>
      <c r="D241" s="12" t="n">
        <f aca="false">SUMIFS(Data!$H$4:$H$2311,Data!$B$4:$B$2311,"UCO",Data!$C$4:$C$2311,"Germany",Data!$E$4:$E$2311,2026,Data!$F$4:$F$2311,3)</f>
        <v>0.0161951577801101</v>
      </c>
      <c r="E241" s="12" t="n">
        <f aca="false">SUMIFS(Data!$H$4:$H$2311,Data!$B$4:$B$2311,"UCO",Data!$C$4:$C$2311,"Germany",Data!$E$4:$E$2311,2026,Data!$F$4:$F$2311,4)</f>
        <v>0.0139552611963105</v>
      </c>
      <c r="F241" s="12" t="n">
        <f aca="false">SUMIFS(Data!$H$4:$H$2311,Data!$B$4:$B$2311,"UCO",Data!$C$4:$C$2311,"Germany",Data!$E$4:$E$2311,2026,Data!$F$4:$F$2311,5)</f>
        <v>0.0059745273052135</v>
      </c>
      <c r="G241" s="12" t="n">
        <f aca="false">SUMIFS(Data!$H$4:$H$2311,Data!$B$4:$B$2311,"UCO",Data!$C$4:$C$2311,"Germany",Data!$E$4:$E$2311,2026,Data!$F$4:$F$2311,6)</f>
        <v>15.875037756927</v>
      </c>
      <c r="H241" s="12" t="n">
        <f aca="false">SUMIFS(Data!$H$4:$H$2311,Data!$B$4:$B$2311,"UCO",Data!$C$4:$C$2311,"Germany",Data!$E$4:$E$2311,2026,Data!$F$4:$F$2311,7)</f>
        <v>0.0128088574329485</v>
      </c>
      <c r="I241" s="12" t="n">
        <f aca="false">SUMIFS(Data!$H$4:$H$2311,Data!$B$4:$B$2311,"UCO",Data!$C$4:$C$2311,"Germany",Data!$E$4:$E$2311,2026,Data!$F$4:$F$2311,8)</f>
        <v>28.8226651608078</v>
      </c>
      <c r="J241" s="12"/>
      <c r="K241" s="12"/>
      <c r="L241" s="12"/>
      <c r="M241" s="12"/>
      <c r="N241" s="13" t="n">
        <f aca="false">SUM(B241:M241)</f>
        <v>44.7651048451527</v>
      </c>
    </row>
    <row r="242" customFormat="false" ht="15" hidden="false" customHeight="false" outlineLevel="0" collapsed="false">
      <c r="A242" s="11" t="s">
        <v>92</v>
      </c>
      <c r="B242" s="12" t="n">
        <f aca="false">SUMIFS(Data!$H$4:$H$2311,Data!$B$4:$B$2311,"UCO",Data!$C$4:$C$2311,"Colombia",Data!$E$4:$E$2311,2026,Data!$F$4:$F$2311,1)</f>
        <v>11.5701858036168</v>
      </c>
      <c r="C242" s="12" t="n">
        <f aca="false">SUMIFS(Data!$H$4:$H$2311,Data!$B$4:$B$2311,"UCO",Data!$C$4:$C$2311,"Colombia",Data!$E$4:$E$2311,2026,Data!$F$4:$F$2311,2)</f>
        <v>0</v>
      </c>
      <c r="D242" s="12" t="n">
        <f aca="false">SUMIFS(Data!$H$4:$H$2311,Data!$B$4:$B$2311,"UCO",Data!$C$4:$C$2311,"Colombia",Data!$E$4:$E$2311,2026,Data!$F$4:$F$2311,3)</f>
        <v>0</v>
      </c>
      <c r="E242" s="12" t="n">
        <f aca="false">SUMIFS(Data!$H$4:$H$2311,Data!$B$4:$B$2311,"UCO",Data!$C$4:$C$2311,"Colombia",Data!$E$4:$E$2311,2026,Data!$F$4:$F$2311,4)</f>
        <v>12.8763872284784</v>
      </c>
      <c r="F242" s="12" t="n">
        <f aca="false">SUMIFS(Data!$H$4:$H$2311,Data!$B$4:$B$2311,"UCO",Data!$C$4:$C$2311,"Colombia",Data!$E$4:$E$2311,2026,Data!$F$4:$F$2311,5)</f>
        <v>0.580388951428231</v>
      </c>
      <c r="G242" s="12" t="n">
        <f aca="false">SUMIFS(Data!$H$4:$H$2311,Data!$B$4:$B$2311,"UCO",Data!$C$4:$C$2311,"Colombia",Data!$E$4:$E$2311,2026,Data!$F$4:$F$2311,6)</f>
        <v>14.0050922814322</v>
      </c>
      <c r="H242" s="12" t="n">
        <f aca="false">SUMIFS(Data!$H$4:$H$2311,Data!$B$4:$B$2311,"UCO",Data!$C$4:$C$2311,"Colombia",Data!$E$4:$E$2311,2026,Data!$F$4:$F$2311,7)</f>
        <v>2.78408563177705</v>
      </c>
      <c r="I242" s="12" t="n">
        <f aca="false">SUMIFS(Data!$H$4:$H$2311,Data!$B$4:$B$2311,"UCO",Data!$C$4:$C$2311,"Colombia",Data!$E$4:$E$2311,2026,Data!$F$4:$F$2311,8)</f>
        <v>2.64583154253822</v>
      </c>
      <c r="J242" s="12"/>
      <c r="K242" s="12"/>
      <c r="L242" s="12"/>
      <c r="M242" s="12"/>
      <c r="N242" s="13" t="n">
        <f aca="false">SUM(B242:M242)</f>
        <v>44.4619714392709</v>
      </c>
    </row>
    <row r="243" customFormat="false" ht="15" hidden="false" customHeight="false" outlineLevel="0" collapsed="false">
      <c r="A243" s="11" t="s">
        <v>78</v>
      </c>
      <c r="B243" s="12" t="n">
        <f aca="false">SUMIFS(Data!$H$4:$H$2311,Data!$B$4:$B$2311,"UCO",Data!$C$4:$C$2311,"New Zealand",Data!$E$4:$E$2311,2026,Data!$F$4:$F$2311,1)</f>
        <v>0</v>
      </c>
      <c r="C243" s="12" t="n">
        <f aca="false">SUMIFS(Data!$H$4:$H$2311,Data!$B$4:$B$2311,"UCO",Data!$C$4:$C$2311,"New Zealand",Data!$E$4:$E$2311,2026,Data!$F$4:$F$2311,2)</f>
        <v>6.28708547280366</v>
      </c>
      <c r="D243" s="12" t="n">
        <f aca="false">SUMIFS(Data!$H$4:$H$2311,Data!$B$4:$B$2311,"UCO",Data!$C$4:$C$2311,"New Zealand",Data!$E$4:$E$2311,2026,Data!$F$4:$F$2311,3)</f>
        <v>15.006994055045</v>
      </c>
      <c r="E243" s="12" t="n">
        <f aca="false">SUMIFS(Data!$H$4:$H$2311,Data!$B$4:$B$2311,"UCO",Data!$C$4:$C$2311,"New Zealand",Data!$E$4:$E$2311,2026,Data!$F$4:$F$2311,4)</f>
        <v>0</v>
      </c>
      <c r="F243" s="12" t="n">
        <f aca="false">SUMIFS(Data!$H$4:$H$2311,Data!$B$4:$B$2311,"UCO",Data!$C$4:$C$2311,"New Zealand",Data!$E$4:$E$2311,2026,Data!$F$4:$F$2311,5)</f>
        <v>8.51736108348151</v>
      </c>
      <c r="G243" s="12" t="n">
        <f aca="false">SUMIFS(Data!$H$4:$H$2311,Data!$B$4:$B$2311,"UCO",Data!$C$4:$C$2311,"New Zealand",Data!$E$4:$E$2311,2026,Data!$F$4:$F$2311,6)</f>
        <v>0</v>
      </c>
      <c r="H243" s="12" t="n">
        <f aca="false">SUMIFS(Data!$H$4:$H$2311,Data!$B$4:$B$2311,"UCO",Data!$C$4:$C$2311,"New Zealand",Data!$E$4:$E$2311,2026,Data!$F$4:$F$2311,7)</f>
        <v>10.0596797957658</v>
      </c>
      <c r="I243" s="12" t="n">
        <f aca="false">SUMIFS(Data!$H$4:$H$2311,Data!$B$4:$B$2311,"UCO",Data!$C$4:$C$2311,"New Zealand",Data!$E$4:$E$2311,2026,Data!$F$4:$F$2311,8)</f>
        <v>0</v>
      </c>
      <c r="J243" s="12"/>
      <c r="K243" s="12"/>
      <c r="L243" s="12"/>
      <c r="M243" s="12"/>
      <c r="N243" s="13" t="n">
        <f aca="false">SUM(B243:M243)</f>
        <v>39.871120407096</v>
      </c>
    </row>
    <row r="244" customFormat="false" ht="15" hidden="false" customHeight="false" outlineLevel="0" collapsed="false">
      <c r="A244" s="11" t="s">
        <v>73</v>
      </c>
      <c r="B244" s="12" t="n">
        <f aca="false">SUMIFS(Data!$H$4:$H$2311,Data!$B$4:$B$2311,"UCO",Data!$C$4:$C$2311,"Belgium",Data!$E$4:$E$2311,2026,Data!$F$4:$F$2311,1)</f>
        <v>0.0018121997951607</v>
      </c>
      <c r="C244" s="12" t="n">
        <f aca="false">SUMIFS(Data!$H$4:$H$2311,Data!$B$4:$B$2311,"UCO",Data!$C$4:$C$2311,"Belgium",Data!$E$4:$E$2311,2026,Data!$F$4:$F$2311,2)</f>
        <v>0</v>
      </c>
      <c r="D244" s="12" t="n">
        <f aca="false">SUMIFS(Data!$H$4:$H$2311,Data!$B$4:$B$2311,"UCO",Data!$C$4:$C$2311,"Belgium",Data!$E$4:$E$2311,2026,Data!$F$4:$F$2311,3)</f>
        <v>0.001675513192606</v>
      </c>
      <c r="E244" s="12" t="n">
        <f aca="false">SUMIFS(Data!$H$4:$H$2311,Data!$B$4:$B$2311,"UCO",Data!$C$4:$C$2311,"Belgium",Data!$E$4:$E$2311,2026,Data!$F$4:$F$2311,4)</f>
        <v>0</v>
      </c>
      <c r="F244" s="12" t="n">
        <f aca="false">SUMIFS(Data!$H$4:$H$2311,Data!$B$4:$B$2311,"UCO",Data!$C$4:$C$2311,"Belgium",Data!$E$4:$E$2311,2026,Data!$F$4:$F$2311,5)</f>
        <v>0</v>
      </c>
      <c r="G244" s="12" t="n">
        <f aca="false">SUMIFS(Data!$H$4:$H$2311,Data!$B$4:$B$2311,"UCO",Data!$C$4:$C$2311,"Belgium",Data!$E$4:$E$2311,2026,Data!$F$4:$F$2311,6)</f>
        <v>6.69258171164053</v>
      </c>
      <c r="H244" s="12" t="n">
        <f aca="false">SUMIFS(Data!$H$4:$H$2311,Data!$B$4:$B$2311,"UCO",Data!$C$4:$C$2311,"Belgium",Data!$E$4:$E$2311,2026,Data!$F$4:$F$2311,7)</f>
        <v>20.7123325288854</v>
      </c>
      <c r="I244" s="12" t="n">
        <f aca="false">SUMIFS(Data!$H$4:$H$2311,Data!$B$4:$B$2311,"UCO",Data!$C$4:$C$2311,"Belgium",Data!$E$4:$E$2311,2026,Data!$F$4:$F$2311,8)</f>
        <v>11.3873123571344</v>
      </c>
      <c r="J244" s="12"/>
      <c r="K244" s="12"/>
      <c r="L244" s="12"/>
      <c r="M244" s="12"/>
      <c r="N244" s="13" t="n">
        <f aca="false">SUM(B244:M244)</f>
        <v>38.7957143106481</v>
      </c>
    </row>
    <row r="245" customFormat="false" ht="15" hidden="false" customHeight="false" outlineLevel="0" collapsed="false">
      <c r="A245" s="11" t="s">
        <v>47</v>
      </c>
      <c r="B245" s="12" t="n">
        <f aca="false">SUMIFS(Data!$H$4:$H$2311,Data!$B$4:$B$2311,"UCO",Data!$C$4:$C$2311,"Mexico",Data!$E$4:$E$2311,2026,Data!$F$4:$F$2311,1)</f>
        <v>0.496613291797931</v>
      </c>
      <c r="C245" s="12" t="n">
        <f aca="false">SUMIFS(Data!$H$4:$H$2311,Data!$B$4:$B$2311,"UCO",Data!$C$4:$C$2311,"Mexico",Data!$E$4:$E$2311,2026,Data!$F$4:$F$2311,2)</f>
        <v>2.48780639762663</v>
      </c>
      <c r="D245" s="12" t="n">
        <f aca="false">SUMIFS(Data!$H$4:$H$2311,Data!$B$4:$B$2311,"UCO",Data!$C$4:$C$2311,"Mexico",Data!$E$4:$E$2311,2026,Data!$F$4:$F$2311,3)</f>
        <v>2.80937265324967</v>
      </c>
      <c r="E245" s="12" t="n">
        <f aca="false">SUMIFS(Data!$H$4:$H$2311,Data!$B$4:$B$2311,"UCO",Data!$C$4:$C$2311,"Mexico",Data!$E$4:$E$2311,2026,Data!$F$4:$F$2311,4)</f>
        <v>3.76415502756572</v>
      </c>
      <c r="F245" s="12" t="n">
        <f aca="false">SUMIFS(Data!$H$4:$H$2311,Data!$B$4:$B$2311,"UCO",Data!$C$4:$C$2311,"Mexico",Data!$E$4:$E$2311,2026,Data!$F$4:$F$2311,5)</f>
        <v>4.60954623200818</v>
      </c>
      <c r="G245" s="12" t="n">
        <f aca="false">SUMIFS(Data!$H$4:$H$2311,Data!$B$4:$B$2311,"UCO",Data!$C$4:$C$2311,"Mexico",Data!$E$4:$E$2311,2026,Data!$F$4:$F$2311,6)</f>
        <v>5.98130651977569</v>
      </c>
      <c r="H245" s="12" t="n">
        <f aca="false">SUMIFS(Data!$H$4:$H$2311,Data!$B$4:$B$2311,"UCO",Data!$C$4:$C$2311,"Mexico",Data!$E$4:$E$2311,2026,Data!$F$4:$F$2311,7)</f>
        <v>8.72946121206183</v>
      </c>
      <c r="I245" s="12" t="n">
        <f aca="false">SUMIFS(Data!$H$4:$H$2311,Data!$B$4:$B$2311,"UCO",Data!$C$4:$C$2311,"Mexico",Data!$E$4:$E$2311,2026,Data!$F$4:$F$2311,8)</f>
        <v>7.32914224285088</v>
      </c>
      <c r="J245" s="12"/>
      <c r="K245" s="12"/>
      <c r="L245" s="12"/>
      <c r="M245" s="12"/>
      <c r="N245" s="13" t="n">
        <f aca="false">SUM(B245:M245)</f>
        <v>36.2074035769365</v>
      </c>
    </row>
    <row r="246" customFormat="false" ht="15" hidden="false" customHeight="false" outlineLevel="0" collapsed="false">
      <c r="A246" s="11" t="s">
        <v>128</v>
      </c>
      <c r="B246" s="12" t="n">
        <f aca="false">SUMIFS(Data!$H$4:$H$2311,Data!$B$4:$B$2311,"UCO",Data!$C$4:$C$2311,"Poland",Data!$E$4:$E$2311,2026,Data!$F$4:$F$2311,1)</f>
        <v>0</v>
      </c>
      <c r="C246" s="12" t="n">
        <f aca="false">SUMIFS(Data!$H$4:$H$2311,Data!$B$4:$B$2311,"UCO",Data!$C$4:$C$2311,"Poland",Data!$E$4:$E$2311,2026,Data!$F$4:$F$2311,2)</f>
        <v>0</v>
      </c>
      <c r="D246" s="12" t="n">
        <f aca="false">SUMIFS(Data!$H$4:$H$2311,Data!$B$4:$B$2311,"UCO",Data!$C$4:$C$2311,"Poland",Data!$E$4:$E$2311,2026,Data!$F$4:$F$2311,3)</f>
        <v>0</v>
      </c>
      <c r="E246" s="12" t="n">
        <f aca="false">SUMIFS(Data!$H$4:$H$2311,Data!$B$4:$B$2311,"UCO",Data!$C$4:$C$2311,"Poland",Data!$E$4:$E$2311,2026,Data!$F$4:$F$2311,4)</f>
        <v>0</v>
      </c>
      <c r="F246" s="12" t="n">
        <f aca="false">SUMIFS(Data!$H$4:$H$2311,Data!$B$4:$B$2311,"UCO",Data!$C$4:$C$2311,"Poland",Data!$E$4:$E$2311,2026,Data!$F$4:$F$2311,5)</f>
        <v>0</v>
      </c>
      <c r="G246" s="12" t="n">
        <f aca="false">SUMIFS(Data!$H$4:$H$2311,Data!$B$4:$B$2311,"UCO",Data!$C$4:$C$2311,"Poland",Data!$E$4:$E$2311,2026,Data!$F$4:$F$2311,6)</f>
        <v>6.14916869082597</v>
      </c>
      <c r="H246" s="12" t="n">
        <f aca="false">SUMIFS(Data!$H$4:$H$2311,Data!$B$4:$B$2311,"UCO",Data!$C$4:$C$2311,"Poland",Data!$E$4:$E$2311,2026,Data!$F$4:$F$2311,7)</f>
        <v>0</v>
      </c>
      <c r="I246" s="12" t="n">
        <f aca="false">SUMIFS(Data!$H$4:$H$2311,Data!$B$4:$B$2311,"UCO",Data!$C$4:$C$2311,"Poland",Data!$E$4:$E$2311,2026,Data!$F$4:$F$2311,8)</f>
        <v>27.1072769588404</v>
      </c>
      <c r="J246" s="12"/>
      <c r="K246" s="12"/>
      <c r="L246" s="12"/>
      <c r="M246" s="12"/>
      <c r="N246" s="13" t="n">
        <f aca="false">SUM(B246:M246)</f>
        <v>33.2564456496664</v>
      </c>
    </row>
    <row r="247" customFormat="false" ht="15" hidden="false" customHeight="false" outlineLevel="0" collapsed="false">
      <c r="A247" s="11" t="s">
        <v>61</v>
      </c>
      <c r="B247" s="12" t="n">
        <f aca="false">SUMIFS(Data!$H$4:$H$2311,Data!$B$4:$B$2311,"UCO",Data!$C$4:$C$2311,"Netherlands",Data!$E$4:$E$2311,2026,Data!$F$4:$F$2311,1)</f>
        <v>0</v>
      </c>
      <c r="C247" s="12" t="n">
        <f aca="false">SUMIFS(Data!$H$4:$H$2311,Data!$B$4:$B$2311,"UCO",Data!$C$4:$C$2311,"Netherlands",Data!$E$4:$E$2311,2026,Data!$F$4:$F$2311,2)</f>
        <v>0</v>
      </c>
      <c r="D247" s="12" t="n">
        <f aca="false">SUMIFS(Data!$H$4:$H$2311,Data!$B$4:$B$2311,"UCO",Data!$C$4:$C$2311,"Netherlands",Data!$E$4:$E$2311,2026,Data!$F$4:$F$2311,3)</f>
        <v>0</v>
      </c>
      <c r="E247" s="12" t="n">
        <f aca="false">SUMIFS(Data!$H$4:$H$2311,Data!$B$4:$B$2311,"UCO",Data!$C$4:$C$2311,"Netherlands",Data!$E$4:$E$2311,2026,Data!$F$4:$F$2311,4)</f>
        <v>0</v>
      </c>
      <c r="F247" s="12" t="n">
        <f aca="false">SUMIFS(Data!$H$4:$H$2311,Data!$B$4:$B$2311,"UCO",Data!$C$4:$C$2311,"Netherlands",Data!$E$4:$E$2311,2026,Data!$F$4:$F$2311,5)</f>
        <v>0</v>
      </c>
      <c r="G247" s="12" t="n">
        <f aca="false">SUMIFS(Data!$H$4:$H$2311,Data!$B$4:$B$2311,"UCO",Data!$C$4:$C$2311,"Netherlands",Data!$E$4:$E$2311,2026,Data!$F$4:$F$2311,6)</f>
        <v>4.05139089972131</v>
      </c>
      <c r="H247" s="12" t="n">
        <f aca="false">SUMIFS(Data!$H$4:$H$2311,Data!$B$4:$B$2311,"UCO",Data!$C$4:$C$2311,"Netherlands",Data!$E$4:$E$2311,2026,Data!$F$4:$F$2311,7)</f>
        <v>0</v>
      </c>
      <c r="I247" s="12" t="n">
        <f aca="false">SUMIFS(Data!$H$4:$H$2311,Data!$B$4:$B$2311,"UCO",Data!$C$4:$C$2311,"Netherlands",Data!$E$4:$E$2311,2026,Data!$F$4:$F$2311,8)</f>
        <v>16.7890390219841</v>
      </c>
      <c r="J247" s="12"/>
      <c r="K247" s="12"/>
      <c r="L247" s="12"/>
      <c r="M247" s="12"/>
      <c r="N247" s="13" t="n">
        <f aca="false">SUM(B247:M247)</f>
        <v>20.8404299217054</v>
      </c>
    </row>
    <row r="248" customFormat="false" ht="15" hidden="false" customHeight="false" outlineLevel="0" collapsed="false">
      <c r="A248" s="11" t="s">
        <v>69</v>
      </c>
      <c r="B248" s="12" t="n">
        <f aca="false">SUMIFS(Data!$H$4:$H$2311,Data!$B$4:$B$2311,"UCO",Data!$C$4:$C$2311,"Spain",Data!$E$4:$E$2311,2026,Data!$F$4:$F$2311,1)</f>
        <v>8.85410396123337</v>
      </c>
      <c r="C248" s="12" t="n">
        <f aca="false">SUMIFS(Data!$H$4:$H$2311,Data!$B$4:$B$2311,"UCO",Data!$C$4:$C$2311,"Spain",Data!$E$4:$E$2311,2026,Data!$F$4:$F$2311,2)</f>
        <v>0</v>
      </c>
      <c r="D248" s="12" t="n">
        <f aca="false">SUMIFS(Data!$H$4:$H$2311,Data!$B$4:$B$2311,"UCO",Data!$C$4:$C$2311,"Spain",Data!$E$4:$E$2311,2026,Data!$F$4:$F$2311,3)</f>
        <v>0</v>
      </c>
      <c r="E248" s="12" t="n">
        <f aca="false">SUMIFS(Data!$H$4:$H$2311,Data!$B$4:$B$2311,"UCO",Data!$C$4:$C$2311,"Spain",Data!$E$4:$E$2311,2026,Data!$F$4:$F$2311,4)</f>
        <v>0.0027028673343881</v>
      </c>
      <c r="F248" s="12" t="n">
        <f aca="false">SUMIFS(Data!$H$4:$H$2311,Data!$B$4:$B$2311,"UCO",Data!$C$4:$C$2311,"Spain",Data!$E$4:$E$2311,2026,Data!$F$4:$F$2311,5)</f>
        <v>0</v>
      </c>
      <c r="G248" s="12" t="n">
        <f aca="false">SUMIFS(Data!$H$4:$H$2311,Data!$B$4:$B$2311,"UCO",Data!$C$4:$C$2311,"Spain",Data!$E$4:$E$2311,2026,Data!$F$4:$F$2311,6)</f>
        <v>6.75077272574426</v>
      </c>
      <c r="H248" s="12" t="n">
        <f aca="false">SUMIFS(Data!$H$4:$H$2311,Data!$B$4:$B$2311,"UCO",Data!$C$4:$C$2311,"Spain",Data!$E$4:$E$2311,2026,Data!$F$4:$F$2311,7)</f>
        <v>5.13087995726492</v>
      </c>
      <c r="I248" s="12" t="n">
        <f aca="false">SUMIFS(Data!$H$4:$H$2311,Data!$B$4:$B$2311,"UCO",Data!$C$4:$C$2311,"Spain",Data!$E$4:$E$2311,2026,Data!$F$4:$F$2311,8)</f>
        <v>0.0012125424420175</v>
      </c>
      <c r="J248" s="12"/>
      <c r="K248" s="12"/>
      <c r="L248" s="12"/>
      <c r="M248" s="12"/>
      <c r="N248" s="13" t="n">
        <f aca="false">SUM(B248:M248)</f>
        <v>20.739672054019</v>
      </c>
    </row>
    <row r="249" customFormat="false" ht="15" hidden="false" customHeight="false" outlineLevel="0" collapsed="false">
      <c r="A249" s="11" t="s">
        <v>53</v>
      </c>
      <c r="B249" s="12" t="n">
        <f aca="false">SUMIFS(Data!$H$4:$H$2311,Data!$B$4:$B$2311,"UCO",Data!$C$4:$C$2311,"France",Data!$E$4:$E$2311,2026,Data!$F$4:$F$2311,1)</f>
        <v>0.0209108455682473</v>
      </c>
      <c r="C249" s="12" t="n">
        <f aca="false">SUMIFS(Data!$H$4:$H$2311,Data!$B$4:$B$2311,"UCO",Data!$C$4:$C$2311,"France",Data!$E$4:$E$2311,2026,Data!$F$4:$F$2311,2)</f>
        <v>0.0796133321202472</v>
      </c>
      <c r="D249" s="12" t="n">
        <f aca="false">SUMIFS(Data!$H$4:$H$2311,Data!$B$4:$B$2311,"UCO",Data!$C$4:$C$2311,"France",Data!$E$4:$E$2311,2026,Data!$F$4:$F$2311,3)</f>
        <v>0.0246256346860645</v>
      </c>
      <c r="E249" s="12" t="n">
        <f aca="false">SUMIFS(Data!$H$4:$H$2311,Data!$B$4:$B$2311,"UCO",Data!$C$4:$C$2311,"France",Data!$E$4:$E$2311,2026,Data!$F$4:$F$2311,4)</f>
        <v>0.0363145438271132</v>
      </c>
      <c r="F249" s="12" t="n">
        <f aca="false">SUMIFS(Data!$H$4:$H$2311,Data!$B$4:$B$2311,"UCO",Data!$C$4:$C$2311,"France",Data!$E$4:$E$2311,2026,Data!$F$4:$F$2311,5)</f>
        <v>0.020899822455138</v>
      </c>
      <c r="G249" s="12" t="n">
        <f aca="false">SUMIFS(Data!$H$4:$H$2311,Data!$B$4:$B$2311,"UCO",Data!$C$4:$C$2311,"France",Data!$E$4:$E$2311,2026,Data!$F$4:$F$2311,6)</f>
        <v>8.30737959724078</v>
      </c>
      <c r="H249" s="12" t="n">
        <f aca="false">SUMIFS(Data!$H$4:$H$2311,Data!$B$4:$B$2311,"UCO",Data!$C$4:$C$2311,"France",Data!$E$4:$E$2311,2026,Data!$F$4:$F$2311,7)</f>
        <v>0.0289775597415964</v>
      </c>
      <c r="I249" s="12" t="n">
        <f aca="false">SUMIFS(Data!$H$4:$H$2311,Data!$B$4:$B$2311,"UCO",Data!$C$4:$C$2311,"France",Data!$E$4:$E$2311,2026,Data!$F$4:$F$2311,8)</f>
        <v>7.89297447838902</v>
      </c>
      <c r="J249" s="12"/>
      <c r="K249" s="12"/>
      <c r="L249" s="12"/>
      <c r="M249" s="12"/>
      <c r="N249" s="13" t="n">
        <f aca="false">SUM(B249:M249)</f>
        <v>16.4116958140282</v>
      </c>
    </row>
    <row r="250" customFormat="false" ht="15" hidden="false" customHeight="false" outlineLevel="0" collapsed="false">
      <c r="A250" s="11" t="s">
        <v>45</v>
      </c>
      <c r="B250" s="12" t="n">
        <f aca="false">SUMIFS(Data!$H$4:$H$2311,Data!$B$4:$B$2311,"UCO",Data!$C$4:$C$2311,"Chile",Data!$E$4:$E$2311,2026,Data!$F$4:$F$2311,1)</f>
        <v>0</v>
      </c>
      <c r="C250" s="12" t="n">
        <f aca="false">SUMIFS(Data!$H$4:$H$2311,Data!$B$4:$B$2311,"UCO",Data!$C$4:$C$2311,"Chile",Data!$E$4:$E$2311,2026,Data!$F$4:$F$2311,2)</f>
        <v>0</v>
      </c>
      <c r="D250" s="12" t="n">
        <f aca="false">SUMIFS(Data!$H$4:$H$2311,Data!$B$4:$B$2311,"UCO",Data!$C$4:$C$2311,"Chile",Data!$E$4:$E$2311,2026,Data!$F$4:$F$2311,3)</f>
        <v>0</v>
      </c>
      <c r="E250" s="12" t="n">
        <f aca="false">SUMIFS(Data!$H$4:$H$2311,Data!$B$4:$B$2311,"UCO",Data!$C$4:$C$2311,"Chile",Data!$E$4:$E$2311,2026,Data!$F$4:$F$2311,4)</f>
        <v>0.365768939191133</v>
      </c>
      <c r="F250" s="12" t="n">
        <f aca="false">SUMIFS(Data!$H$4:$H$2311,Data!$B$4:$B$2311,"UCO",Data!$C$4:$C$2311,"Chile",Data!$E$4:$E$2311,2026,Data!$F$4:$F$2311,5)</f>
        <v>0.925368299295319</v>
      </c>
      <c r="G250" s="12" t="n">
        <f aca="false">SUMIFS(Data!$H$4:$H$2311,Data!$B$4:$B$2311,"UCO",Data!$C$4:$C$2311,"Chile",Data!$E$4:$E$2311,2026,Data!$F$4:$F$2311,6)</f>
        <v>1.68651425948903</v>
      </c>
      <c r="H250" s="12" t="n">
        <f aca="false">SUMIFS(Data!$H$4:$H$2311,Data!$B$4:$B$2311,"UCO",Data!$C$4:$C$2311,"Chile",Data!$E$4:$E$2311,2026,Data!$F$4:$F$2311,7)</f>
        <v>2.67502295067413</v>
      </c>
      <c r="I250" s="12" t="n">
        <f aca="false">SUMIFS(Data!$H$4:$H$2311,Data!$B$4:$B$2311,"UCO",Data!$C$4:$C$2311,"Chile",Data!$E$4:$E$2311,2026,Data!$F$4:$F$2311,8)</f>
        <v>1.69083531982786</v>
      </c>
      <c r="J250" s="12"/>
      <c r="K250" s="12"/>
      <c r="L250" s="12"/>
      <c r="M250" s="12"/>
      <c r="N250" s="13" t="n">
        <f aca="false">SUM(B250:M250)</f>
        <v>7.34350976847748</v>
      </c>
    </row>
    <row r="251" customFormat="false" ht="15" hidden="false" customHeight="false" outlineLevel="0" collapsed="false">
      <c r="A251" s="11" t="s">
        <v>51</v>
      </c>
      <c r="B251" s="12" t="n">
        <f aca="false">SUMIFS(Data!$H$4:$H$2311,Data!$B$4:$B$2311,"UCO",Data!$C$4:$C$2311,"India",Data!$E$4:$E$2311,2026,Data!$F$4:$F$2311,1)</f>
        <v>0.225665171572566</v>
      </c>
      <c r="C251" s="12" t="n">
        <f aca="false">SUMIFS(Data!$H$4:$H$2311,Data!$B$4:$B$2311,"UCO",Data!$C$4:$C$2311,"India",Data!$E$4:$E$2311,2026,Data!$F$4:$F$2311,2)</f>
        <v>0.034480297805734</v>
      </c>
      <c r="D251" s="12" t="n">
        <f aca="false">SUMIFS(Data!$H$4:$H$2311,Data!$B$4:$B$2311,"UCO",Data!$C$4:$C$2311,"India",Data!$E$4:$E$2311,2026,Data!$F$4:$F$2311,3)</f>
        <v>0.257003882142164</v>
      </c>
      <c r="E251" s="12" t="n">
        <f aca="false">SUMIFS(Data!$H$4:$H$2311,Data!$B$4:$B$2311,"UCO",Data!$C$4:$C$2311,"India",Data!$E$4:$E$2311,2026,Data!$F$4:$F$2311,4)</f>
        <v>5.99645668643304</v>
      </c>
      <c r="F251" s="12" t="n">
        <f aca="false">SUMIFS(Data!$H$4:$H$2311,Data!$B$4:$B$2311,"UCO",Data!$C$4:$C$2311,"India",Data!$E$4:$E$2311,2026,Data!$F$4:$F$2311,5)</f>
        <v>0.190192793587</v>
      </c>
      <c r="G251" s="12" t="n">
        <f aca="false">SUMIFS(Data!$H$4:$H$2311,Data!$B$4:$B$2311,"UCO",Data!$C$4:$C$2311,"India",Data!$E$4:$E$2311,2026,Data!$F$4:$F$2311,6)</f>
        <v>0.139986922619609</v>
      </c>
      <c r="H251" s="12" t="n">
        <f aca="false">SUMIFS(Data!$H$4:$H$2311,Data!$B$4:$B$2311,"UCO",Data!$C$4:$C$2311,"India",Data!$E$4:$E$2311,2026,Data!$F$4:$F$2311,7)</f>
        <v>0.268481147511515</v>
      </c>
      <c r="I251" s="12" t="n">
        <f aca="false">SUMIFS(Data!$H$4:$H$2311,Data!$B$4:$B$2311,"UCO",Data!$C$4:$C$2311,"India",Data!$E$4:$E$2311,2026,Data!$F$4:$F$2311,8)</f>
        <v>0.00044092452437</v>
      </c>
      <c r="J251" s="12"/>
      <c r="K251" s="12"/>
      <c r="L251" s="12"/>
      <c r="M251" s="12"/>
      <c r="N251" s="13" t="n">
        <f aca="false">SUM(B251:M251)</f>
        <v>7.112707826196</v>
      </c>
    </row>
    <row r="252" customFormat="false" ht="15" hidden="false" customHeight="false" outlineLevel="0" collapsed="false">
      <c r="A252" s="11" t="s">
        <v>67</v>
      </c>
      <c r="B252" s="12" t="n">
        <f aca="false">SUMIFS(Data!$H$4:$H$2311,Data!$B$4:$B$2311,"UCO",Data!$C$4:$C$2311,"Japan",Data!$E$4:$E$2311,2026,Data!$F$4:$F$2311,1)</f>
        <v>0.0008333473510593</v>
      </c>
      <c r="C252" s="12" t="n">
        <f aca="false">SUMIFS(Data!$H$4:$H$2311,Data!$B$4:$B$2311,"UCO",Data!$C$4:$C$2311,"Japan",Data!$E$4:$E$2311,2026,Data!$F$4:$F$2311,2)</f>
        <v>0.009920801798325</v>
      </c>
      <c r="D252" s="12" t="n">
        <f aca="false">SUMIFS(Data!$H$4:$H$2311,Data!$B$4:$B$2311,"UCO",Data!$C$4:$C$2311,"Japan",Data!$E$4:$E$2311,2026,Data!$F$4:$F$2311,3)</f>
        <v>0.001587328287732</v>
      </c>
      <c r="E252" s="12" t="n">
        <f aca="false">SUMIFS(Data!$H$4:$H$2311,Data!$B$4:$B$2311,"UCO",Data!$C$4:$C$2311,"Japan",Data!$E$4:$E$2311,2026,Data!$F$4:$F$2311,4)</f>
        <v>0.0011111298014124</v>
      </c>
      <c r="F252" s="12" t="n">
        <f aca="false">SUMIFS(Data!$H$4:$H$2311,Data!$B$4:$B$2311,"UCO",Data!$C$4:$C$2311,"Japan",Data!$E$4:$E$2311,2026,Data!$F$4:$F$2311,5)</f>
        <v>0.003571488647397</v>
      </c>
      <c r="G252" s="12" t="n">
        <f aca="false">SUMIFS(Data!$H$4:$H$2311,Data!$B$4:$B$2311,"UCO",Data!$C$4:$C$2311,"Japan",Data!$E$4:$E$2311,2026,Data!$F$4:$F$2311,6)</f>
        <v>0</v>
      </c>
      <c r="H252" s="12" t="n">
        <f aca="false">SUMIFS(Data!$H$4:$H$2311,Data!$B$4:$B$2311,"UCO",Data!$C$4:$C$2311,"Japan",Data!$E$4:$E$2311,2026,Data!$F$4:$F$2311,7)</f>
        <v>6.9979969019359</v>
      </c>
      <c r="I252" s="12" t="n">
        <f aca="false">SUMIFS(Data!$H$4:$H$2311,Data!$B$4:$B$2311,"UCO",Data!$C$4:$C$2311,"Japan",Data!$E$4:$E$2311,2026,Data!$F$4:$F$2311,8)</f>
        <v>0.001190496215799</v>
      </c>
      <c r="J252" s="12"/>
      <c r="K252" s="12"/>
      <c r="L252" s="12"/>
      <c r="M252" s="12"/>
      <c r="N252" s="13" t="n">
        <f aca="false">SUM(B252:M252)</f>
        <v>7.01621149403763</v>
      </c>
    </row>
    <row r="253" customFormat="false" ht="15" hidden="false" customHeight="false" outlineLevel="0" collapsed="false">
      <c r="A253" s="11" t="s">
        <v>110</v>
      </c>
      <c r="B253" s="12" t="n">
        <f aca="false">SUMIFS(Data!$H$4:$H$2311,Data!$B$4:$B$2311,"UCO",Data!$C$4:$C$2311,"Honduras",Data!$E$4:$E$2311,2026,Data!$F$4:$F$2311,1)</f>
        <v>0</v>
      </c>
      <c r="C253" s="12" t="n">
        <f aca="false">SUMIFS(Data!$H$4:$H$2311,Data!$B$4:$B$2311,"UCO",Data!$C$4:$C$2311,"Honduras",Data!$E$4:$E$2311,2026,Data!$F$4:$F$2311,2)</f>
        <v>0</v>
      </c>
      <c r="D253" s="12" t="n">
        <f aca="false">SUMIFS(Data!$H$4:$H$2311,Data!$B$4:$B$2311,"UCO",Data!$C$4:$C$2311,"Honduras",Data!$E$4:$E$2311,2026,Data!$F$4:$F$2311,3)</f>
        <v>0</v>
      </c>
      <c r="E253" s="12" t="n">
        <f aca="false">SUMIFS(Data!$H$4:$H$2311,Data!$B$4:$B$2311,"UCO",Data!$C$4:$C$2311,"Honduras",Data!$E$4:$E$2311,2026,Data!$F$4:$F$2311,4)</f>
        <v>0</v>
      </c>
      <c r="F253" s="12" t="n">
        <f aca="false">SUMIFS(Data!$H$4:$H$2311,Data!$B$4:$B$2311,"UCO",Data!$C$4:$C$2311,"Honduras",Data!$E$4:$E$2311,2026,Data!$F$4:$F$2311,5)</f>
        <v>0.394539264406276</v>
      </c>
      <c r="G253" s="12" t="n">
        <f aca="false">SUMIFS(Data!$H$4:$H$2311,Data!$B$4:$B$2311,"UCO",Data!$C$4:$C$2311,"Honduras",Data!$E$4:$E$2311,2026,Data!$F$4:$F$2311,6)</f>
        <v>1.36262212699994</v>
      </c>
      <c r="H253" s="12" t="n">
        <f aca="false">SUMIFS(Data!$H$4:$H$2311,Data!$B$4:$B$2311,"UCO",Data!$C$4:$C$2311,"Honduras",Data!$E$4:$E$2311,2026,Data!$F$4:$F$2311,7)</f>
        <v>0.830679757686862</v>
      </c>
      <c r="I253" s="12" t="n">
        <f aca="false">SUMIFS(Data!$H$4:$H$2311,Data!$B$4:$B$2311,"UCO",Data!$C$4:$C$2311,"Honduras",Data!$E$4:$E$2311,2026,Data!$F$4:$F$2311,8)</f>
        <v>0.600076231441352</v>
      </c>
      <c r="J253" s="12"/>
      <c r="K253" s="12"/>
      <c r="L253" s="12"/>
      <c r="M253" s="12"/>
      <c r="N253" s="13" t="n">
        <f aca="false">SUM(B253:M253)</f>
        <v>3.18791738053443</v>
      </c>
    </row>
    <row r="254" customFormat="false" ht="15" hidden="false" customHeight="false" outlineLevel="0" collapsed="false">
      <c r="A254" s="11" t="s">
        <v>140</v>
      </c>
      <c r="B254" s="12" t="n">
        <f aca="false">SUMIFS(Data!$H$4:$H$2311,Data!$B$4:$B$2311,"UCO",Data!$C$4:$C$2311,"Lithuania",Data!$E$4:$E$2311,2026,Data!$F$4:$F$2311,1)</f>
        <v>0</v>
      </c>
      <c r="C254" s="12" t="n">
        <f aca="false">SUMIFS(Data!$H$4:$H$2311,Data!$B$4:$B$2311,"UCO",Data!$C$4:$C$2311,"Lithuania",Data!$E$4:$E$2311,2026,Data!$F$4:$F$2311,2)</f>
        <v>0</v>
      </c>
      <c r="D254" s="12" t="n">
        <f aca="false">SUMIFS(Data!$H$4:$H$2311,Data!$B$4:$B$2311,"UCO",Data!$C$4:$C$2311,"Lithuania",Data!$E$4:$E$2311,2026,Data!$F$4:$F$2311,3)</f>
        <v>0</v>
      </c>
      <c r="E254" s="12" t="n">
        <f aca="false">SUMIFS(Data!$H$4:$H$2311,Data!$B$4:$B$2311,"UCO",Data!$C$4:$C$2311,"Lithuania",Data!$E$4:$E$2311,2026,Data!$F$4:$F$2311,4)</f>
        <v>0</v>
      </c>
      <c r="F254" s="12" t="n">
        <f aca="false">SUMIFS(Data!$H$4:$H$2311,Data!$B$4:$B$2311,"UCO",Data!$C$4:$C$2311,"Lithuania",Data!$E$4:$E$2311,2026,Data!$F$4:$F$2311,5)</f>
        <v>0</v>
      </c>
      <c r="G254" s="12" t="n">
        <f aca="false">SUMIFS(Data!$H$4:$H$2311,Data!$B$4:$B$2311,"UCO",Data!$C$4:$C$2311,"Lithuania",Data!$E$4:$E$2311,2026,Data!$F$4:$F$2311,6)</f>
        <v>1.56024229419995</v>
      </c>
      <c r="H254" s="12" t="n">
        <f aca="false">SUMIFS(Data!$H$4:$H$2311,Data!$B$4:$B$2311,"UCO",Data!$C$4:$C$2311,"Lithuania",Data!$E$4:$E$2311,2026,Data!$F$4:$F$2311,7)</f>
        <v>0</v>
      </c>
      <c r="I254" s="12" t="n">
        <f aca="false">SUMIFS(Data!$H$4:$H$2311,Data!$B$4:$B$2311,"UCO",Data!$C$4:$C$2311,"Lithuania",Data!$E$4:$E$2311,2026,Data!$F$4:$F$2311,8)</f>
        <v>1.38467937633155</v>
      </c>
      <c r="J254" s="12"/>
      <c r="K254" s="12"/>
      <c r="L254" s="12"/>
      <c r="M254" s="12"/>
      <c r="N254" s="13" t="n">
        <f aca="false">SUM(B254:M254)</f>
        <v>2.9449216705315</v>
      </c>
    </row>
    <row r="255" customFormat="false" ht="15" hidden="false" customHeight="false" outlineLevel="0" collapsed="false">
      <c r="A255" s="11" t="s">
        <v>112</v>
      </c>
      <c r="B255" s="12" t="n">
        <f aca="false">SUMIFS(Data!$H$4:$H$2311,Data!$B$4:$B$2311,"UCO",Data!$C$4:$C$2311,"Costa Rica",Data!$E$4:$E$2311,2026,Data!$F$4:$F$2311,1)</f>
        <v>0</v>
      </c>
      <c r="C255" s="12" t="n">
        <f aca="false">SUMIFS(Data!$H$4:$H$2311,Data!$B$4:$B$2311,"UCO",Data!$C$4:$C$2311,"Costa Rica",Data!$E$4:$E$2311,2026,Data!$F$4:$F$2311,2)</f>
        <v>0</v>
      </c>
      <c r="D255" s="12" t="n">
        <f aca="false">SUMIFS(Data!$H$4:$H$2311,Data!$B$4:$B$2311,"UCO",Data!$C$4:$C$2311,"Costa Rica",Data!$E$4:$E$2311,2026,Data!$F$4:$F$2311,3)</f>
        <v>0</v>
      </c>
      <c r="E255" s="12" t="n">
        <f aca="false">SUMIFS(Data!$H$4:$H$2311,Data!$B$4:$B$2311,"UCO",Data!$C$4:$C$2311,"Costa Rica",Data!$E$4:$E$2311,2026,Data!$F$4:$F$2311,4)</f>
        <v>0</v>
      </c>
      <c r="F255" s="12" t="n">
        <f aca="false">SUMIFS(Data!$H$4:$H$2311,Data!$B$4:$B$2311,"UCO",Data!$C$4:$C$2311,"Costa Rica",Data!$E$4:$E$2311,2026,Data!$F$4:$F$2311,5)</f>
        <v>0</v>
      </c>
      <c r="G255" s="12" t="n">
        <f aca="false">SUMIFS(Data!$H$4:$H$2311,Data!$B$4:$B$2311,"UCO",Data!$C$4:$C$2311,"Costa Rica",Data!$E$4:$E$2311,2026,Data!$F$4:$F$2311,6)</f>
        <v>0.267993925912086</v>
      </c>
      <c r="H255" s="12" t="n">
        <f aca="false">SUMIFS(Data!$H$4:$H$2311,Data!$B$4:$B$2311,"UCO",Data!$C$4:$C$2311,"Costa Rica",Data!$E$4:$E$2311,2026,Data!$F$4:$F$2311,7)</f>
        <v>1.5105853742654</v>
      </c>
      <c r="I255" s="12" t="n">
        <f aca="false">SUMIFS(Data!$H$4:$H$2311,Data!$B$4:$B$2311,"UCO",Data!$C$4:$C$2311,"Costa Rica",Data!$E$4:$E$2311,2026,Data!$F$4:$F$2311,8)</f>
        <v>0.550163575282668</v>
      </c>
      <c r="J255" s="12"/>
      <c r="K255" s="12"/>
      <c r="L255" s="12"/>
      <c r="M255" s="12"/>
      <c r="N255" s="13" t="n">
        <f aca="false">SUM(B255:M255)</f>
        <v>2.32874287546016</v>
      </c>
    </row>
    <row r="256" customFormat="false" ht="15" hidden="false" customHeight="false" outlineLevel="0" collapsed="false">
      <c r="A256" s="11" t="s">
        <v>134</v>
      </c>
      <c r="B256" s="12" t="n">
        <f aca="false">SUMIFS(Data!$H$4:$H$2311,Data!$B$4:$B$2311,"UCO",Data!$C$4:$C$2311,"Denmark",Data!$E$4:$E$2311,2026,Data!$F$4:$F$2311,1)</f>
        <v>0</v>
      </c>
      <c r="C256" s="12" t="n">
        <f aca="false">SUMIFS(Data!$H$4:$H$2311,Data!$B$4:$B$2311,"UCO",Data!$C$4:$C$2311,"Denmark",Data!$E$4:$E$2311,2026,Data!$F$4:$F$2311,2)</f>
        <v>0</v>
      </c>
      <c r="D256" s="12" t="n">
        <f aca="false">SUMIFS(Data!$H$4:$H$2311,Data!$B$4:$B$2311,"UCO",Data!$C$4:$C$2311,"Denmark",Data!$E$4:$E$2311,2026,Data!$F$4:$F$2311,3)</f>
        <v>0</v>
      </c>
      <c r="E256" s="12" t="n">
        <f aca="false">SUMIFS(Data!$H$4:$H$2311,Data!$B$4:$B$2311,"UCO",Data!$C$4:$C$2311,"Denmark",Data!$E$4:$E$2311,2026,Data!$F$4:$F$2311,4)</f>
        <v>0</v>
      </c>
      <c r="F256" s="12" t="n">
        <f aca="false">SUMIFS(Data!$H$4:$H$2311,Data!$B$4:$B$2311,"UCO",Data!$C$4:$C$2311,"Denmark",Data!$E$4:$E$2311,2026,Data!$F$4:$F$2311,5)</f>
        <v>0</v>
      </c>
      <c r="G256" s="12" t="n">
        <f aca="false">SUMIFS(Data!$H$4:$H$2311,Data!$B$4:$B$2311,"UCO",Data!$C$4:$C$2311,"Denmark",Data!$E$4:$E$2311,2026,Data!$F$4:$F$2311,6)</f>
        <v>0.968201912215243</v>
      </c>
      <c r="H256" s="12" t="n">
        <f aca="false">SUMIFS(Data!$H$4:$H$2311,Data!$B$4:$B$2311,"UCO",Data!$C$4:$C$2311,"Denmark",Data!$E$4:$E$2311,2026,Data!$F$4:$F$2311,7)</f>
        <v>0</v>
      </c>
      <c r="I256" s="12" t="n">
        <f aca="false">SUMIFS(Data!$H$4:$H$2311,Data!$B$4:$B$2311,"UCO",Data!$C$4:$C$2311,"Denmark",Data!$E$4:$E$2311,2026,Data!$F$4:$F$2311,8)</f>
        <v>1.28053300367535</v>
      </c>
      <c r="J256" s="12"/>
      <c r="K256" s="12"/>
      <c r="L256" s="12"/>
      <c r="M256" s="12"/>
      <c r="N256" s="13" t="n">
        <f aca="false">SUM(B256:M256)</f>
        <v>2.2487349158906</v>
      </c>
    </row>
    <row r="257" customFormat="false" ht="15" hidden="false" customHeight="false" outlineLevel="0" collapsed="false">
      <c r="A257" s="11" t="s">
        <v>135</v>
      </c>
      <c r="B257" s="12" t="n">
        <f aca="false">SUMIFS(Data!$H$4:$H$2311,Data!$B$4:$B$2311,"UCO",Data!$C$4:$C$2311,"Austria",Data!$E$4:$E$2311,2026,Data!$F$4:$F$2311,1)</f>
        <v>0</v>
      </c>
      <c r="C257" s="12" t="n">
        <f aca="false">SUMIFS(Data!$H$4:$H$2311,Data!$B$4:$B$2311,"UCO",Data!$C$4:$C$2311,"Austria",Data!$E$4:$E$2311,2026,Data!$F$4:$F$2311,2)</f>
        <v>2.20462262185E-006</v>
      </c>
      <c r="D257" s="12" t="n">
        <f aca="false">SUMIFS(Data!$H$4:$H$2311,Data!$B$4:$B$2311,"UCO",Data!$C$4:$C$2311,"Austria",Data!$E$4:$E$2311,2026,Data!$F$4:$F$2311,3)</f>
        <v>0</v>
      </c>
      <c r="E257" s="12" t="n">
        <f aca="false">SUMIFS(Data!$H$4:$H$2311,Data!$B$4:$B$2311,"UCO",Data!$C$4:$C$2311,"Austria",Data!$E$4:$E$2311,2026,Data!$F$4:$F$2311,4)</f>
        <v>0</v>
      </c>
      <c r="F257" s="12" t="n">
        <f aca="false">SUMIFS(Data!$H$4:$H$2311,Data!$B$4:$B$2311,"UCO",Data!$C$4:$C$2311,"Austria",Data!$E$4:$E$2311,2026,Data!$F$4:$F$2311,5)</f>
        <v>0</v>
      </c>
      <c r="G257" s="12" t="n">
        <f aca="false">SUMIFS(Data!$H$4:$H$2311,Data!$B$4:$B$2311,"UCO",Data!$C$4:$C$2311,"Austria",Data!$E$4:$E$2311,2026,Data!$F$4:$F$2311,6)</f>
        <v>0.685417173133165</v>
      </c>
      <c r="H257" s="12" t="n">
        <f aca="false">SUMIFS(Data!$H$4:$H$2311,Data!$B$4:$B$2311,"UCO",Data!$C$4:$C$2311,"Austria",Data!$E$4:$E$2311,2026,Data!$F$4:$F$2311,7)</f>
        <v>0</v>
      </c>
      <c r="I257" s="12" t="n">
        <f aca="false">SUMIFS(Data!$H$4:$H$2311,Data!$B$4:$B$2311,"UCO",Data!$C$4:$C$2311,"Austria",Data!$E$4:$E$2311,2026,Data!$F$4:$F$2311,8)</f>
        <v>0.701863657892166</v>
      </c>
      <c r="J257" s="12"/>
      <c r="K257" s="12"/>
      <c r="L257" s="12"/>
      <c r="M257" s="12"/>
      <c r="N257" s="13" t="n">
        <f aca="false">SUM(B257:M257)</f>
        <v>1.38728303564795</v>
      </c>
    </row>
    <row r="258" customFormat="false" ht="15" hidden="false" customHeight="false" outlineLevel="0" collapsed="false">
      <c r="A258" s="11" t="s">
        <v>130</v>
      </c>
      <c r="B258" s="12" t="n">
        <f aca="false">SUMIFS(Data!$H$4:$H$2311,Data!$B$4:$B$2311,"UCO",Data!$C$4:$C$2311,"Ireland",Data!$E$4:$E$2311,2026,Data!$F$4:$F$2311,1)</f>
        <v>0</v>
      </c>
      <c r="C258" s="12" t="n">
        <f aca="false">SUMIFS(Data!$H$4:$H$2311,Data!$B$4:$B$2311,"UCO",Data!$C$4:$C$2311,"Ireland",Data!$E$4:$E$2311,2026,Data!$F$4:$F$2311,2)</f>
        <v>0</v>
      </c>
      <c r="D258" s="12" t="n">
        <f aca="false">SUMIFS(Data!$H$4:$H$2311,Data!$B$4:$B$2311,"UCO",Data!$C$4:$C$2311,"Ireland",Data!$E$4:$E$2311,2026,Data!$F$4:$F$2311,3)</f>
        <v>0</v>
      </c>
      <c r="E258" s="12" t="n">
        <f aca="false">SUMIFS(Data!$H$4:$H$2311,Data!$B$4:$B$2311,"UCO",Data!$C$4:$C$2311,"Ireland",Data!$E$4:$E$2311,2026,Data!$F$4:$F$2311,4)</f>
        <v>0</v>
      </c>
      <c r="F258" s="12" t="n">
        <f aca="false">SUMIFS(Data!$H$4:$H$2311,Data!$B$4:$B$2311,"UCO",Data!$C$4:$C$2311,"Ireland",Data!$E$4:$E$2311,2026,Data!$F$4:$F$2311,5)</f>
        <v>0</v>
      </c>
      <c r="G258" s="12" t="n">
        <f aca="false">SUMIFS(Data!$H$4:$H$2311,Data!$B$4:$B$2311,"UCO",Data!$C$4:$C$2311,"Ireland",Data!$E$4:$E$2311,2026,Data!$F$4:$F$2311,6)</f>
        <v>0.736837791165194</v>
      </c>
      <c r="H258" s="12" t="n">
        <f aca="false">SUMIFS(Data!$H$4:$H$2311,Data!$B$4:$B$2311,"UCO",Data!$C$4:$C$2311,"Ireland",Data!$E$4:$E$2311,2026,Data!$F$4:$F$2311,7)</f>
        <v>0</v>
      </c>
      <c r="I258" s="12" t="n">
        <f aca="false">SUMIFS(Data!$H$4:$H$2311,Data!$B$4:$B$2311,"UCO",Data!$C$4:$C$2311,"Ireland",Data!$E$4:$E$2311,2026,Data!$F$4:$F$2311,8)</f>
        <v>0.45371133557673</v>
      </c>
      <c r="J258" s="12"/>
      <c r="K258" s="12"/>
      <c r="L258" s="12"/>
      <c r="M258" s="12"/>
      <c r="N258" s="13" t="n">
        <f aca="false">SUM(B258:M258)</f>
        <v>1.19054912674192</v>
      </c>
    </row>
    <row r="259" customFormat="false" ht="15" hidden="false" customHeight="false" outlineLevel="0" collapsed="false">
      <c r="A259" s="11" t="s">
        <v>156</v>
      </c>
      <c r="B259" s="12" t="n">
        <f aca="false">SUMIFS(Data!$H$4:$H$2311,Data!$B$4:$B$2311,"UCO",Data!$C$4:$C$2311,"Turkey",Data!$E$4:$E$2311,2026,Data!$F$4:$F$2311,1)</f>
        <v>0</v>
      </c>
      <c r="C259" s="12" t="n">
        <f aca="false">SUMIFS(Data!$H$4:$H$2311,Data!$B$4:$B$2311,"UCO",Data!$C$4:$C$2311,"Turkey",Data!$E$4:$E$2311,2026,Data!$F$4:$F$2311,2)</f>
        <v>0</v>
      </c>
      <c r="D259" s="12" t="n">
        <f aca="false">SUMIFS(Data!$H$4:$H$2311,Data!$B$4:$B$2311,"UCO",Data!$C$4:$C$2311,"Turkey",Data!$E$4:$E$2311,2026,Data!$F$4:$F$2311,3)</f>
        <v>0</v>
      </c>
      <c r="E259" s="12" t="n">
        <f aca="false">SUMIFS(Data!$H$4:$H$2311,Data!$B$4:$B$2311,"UCO",Data!$C$4:$C$2311,"Turkey",Data!$E$4:$E$2311,2026,Data!$F$4:$F$2311,4)</f>
        <v>0</v>
      </c>
      <c r="F259" s="12" t="n">
        <f aca="false">SUMIFS(Data!$H$4:$H$2311,Data!$B$4:$B$2311,"UCO",Data!$C$4:$C$2311,"Turkey",Data!$E$4:$E$2311,2026,Data!$F$4:$F$2311,5)</f>
        <v>0</v>
      </c>
      <c r="G259" s="12" t="n">
        <f aca="false">SUMIFS(Data!$H$4:$H$2311,Data!$B$4:$B$2311,"UCO",Data!$C$4:$C$2311,"Turkey",Data!$E$4:$E$2311,2026,Data!$F$4:$F$2311,6)</f>
        <v>1.13606628788815</v>
      </c>
      <c r="H259" s="12" t="n">
        <f aca="false">SUMIFS(Data!$H$4:$H$2311,Data!$B$4:$B$2311,"UCO",Data!$C$4:$C$2311,"Turkey",Data!$E$4:$E$2311,2026,Data!$F$4:$F$2311,7)</f>
        <v>0</v>
      </c>
      <c r="I259" s="12" t="n">
        <f aca="false">SUMIFS(Data!$H$4:$H$2311,Data!$B$4:$B$2311,"UCO",Data!$C$4:$C$2311,"Turkey",Data!$E$4:$E$2311,2026,Data!$F$4:$F$2311,8)</f>
        <v>0.000396832071933</v>
      </c>
      <c r="J259" s="12"/>
      <c r="K259" s="12"/>
      <c r="L259" s="12"/>
      <c r="M259" s="12"/>
      <c r="N259" s="13" t="n">
        <f aca="false">SUM(B259:M259)</f>
        <v>1.13646311996008</v>
      </c>
    </row>
    <row r="260" customFormat="false" ht="15" hidden="false" customHeight="false" outlineLevel="0" collapsed="false">
      <c r="A260" s="11" t="s">
        <v>55</v>
      </c>
      <c r="B260" s="12" t="n">
        <f aca="false">SUMIFS(Data!$H$4:$H$2311,Data!$B$4:$B$2311,"UCO",Data!$C$4:$C$2311,"Aruba",Data!$E$4:$E$2311,2026,Data!$F$4:$F$2311,1)</f>
        <v>0.04188782981515</v>
      </c>
      <c r="C260" s="12" t="n">
        <f aca="false">SUMIFS(Data!$H$4:$H$2311,Data!$B$4:$B$2311,"UCO",Data!$C$4:$C$2311,"Aruba",Data!$E$4:$E$2311,2026,Data!$F$4:$F$2311,2)</f>
        <v>0.04188782981515</v>
      </c>
      <c r="D260" s="12" t="n">
        <f aca="false">SUMIFS(Data!$H$4:$H$2311,Data!$B$4:$B$2311,"UCO",Data!$C$4:$C$2311,"Aruba",Data!$E$4:$E$2311,2026,Data!$F$4:$F$2311,3)</f>
        <v>0.004188782981515</v>
      </c>
      <c r="E260" s="12" t="n">
        <f aca="false">SUMIFS(Data!$H$4:$H$2311,Data!$B$4:$B$2311,"UCO",Data!$C$4:$C$2311,"Aruba",Data!$E$4:$E$2311,2026,Data!$F$4:$F$2311,4)</f>
        <v>0.0460435434573373</v>
      </c>
      <c r="F260" s="12" t="n">
        <f aca="false">SUMIFS(Data!$H$4:$H$2311,Data!$B$4:$B$2311,"UCO",Data!$C$4:$C$2311,"Aruba",Data!$E$4:$E$2311,2026,Data!$F$4:$F$2311,5)</f>
        <v>0</v>
      </c>
      <c r="G260" s="12" t="n">
        <f aca="false">SUMIFS(Data!$H$4:$H$2311,Data!$B$4:$B$2311,"UCO",Data!$C$4:$C$2311,"Aruba",Data!$E$4:$E$2311,2026,Data!$F$4:$F$2311,6)</f>
        <v>0.12125424420175</v>
      </c>
      <c r="H260" s="12" t="n">
        <f aca="false">SUMIFS(Data!$H$4:$H$2311,Data!$B$4:$B$2311,"UCO",Data!$C$4:$C$2311,"Aruba",Data!$E$4:$E$2311,2026,Data!$F$4:$F$2311,7)</f>
        <v>0.0837756596303</v>
      </c>
      <c r="I260" s="12" t="n">
        <f aca="false">SUMIFS(Data!$H$4:$H$2311,Data!$B$4:$B$2311,"UCO",Data!$C$4:$C$2311,"Aruba",Data!$E$4:$E$2311,2026,Data!$F$4:$F$2311,8)</f>
        <v>0.13388673182495</v>
      </c>
      <c r="J260" s="12"/>
      <c r="K260" s="12"/>
      <c r="L260" s="12"/>
      <c r="M260" s="12"/>
      <c r="N260" s="13" t="n">
        <f aca="false">SUM(B260:M260)</f>
        <v>0.472924621726153</v>
      </c>
    </row>
    <row r="261" customFormat="false" ht="15" hidden="false" customHeight="false" outlineLevel="0" collapsed="false">
      <c r="A261" s="11" t="s">
        <v>94</v>
      </c>
      <c r="B261" s="12" t="n">
        <f aca="false">SUMIFS(Data!$H$4:$H$2311,Data!$B$4:$B$2311,"UCO",Data!$C$4:$C$2311,"Czech Republic",Data!$E$4:$E$2311,2026,Data!$F$4:$F$2311,1)</f>
        <v>0</v>
      </c>
      <c r="C261" s="12" t="n">
        <f aca="false">SUMIFS(Data!$H$4:$H$2311,Data!$B$4:$B$2311,"UCO",Data!$C$4:$C$2311,"Czech Republic",Data!$E$4:$E$2311,2026,Data!$F$4:$F$2311,2)</f>
        <v>0</v>
      </c>
      <c r="D261" s="12" t="n">
        <f aca="false">SUMIFS(Data!$H$4:$H$2311,Data!$B$4:$B$2311,"UCO",Data!$C$4:$C$2311,"Czech Republic",Data!$E$4:$E$2311,2026,Data!$F$4:$F$2311,3)</f>
        <v>0</v>
      </c>
      <c r="E261" s="12" t="n">
        <f aca="false">SUMIFS(Data!$H$4:$H$2311,Data!$B$4:$B$2311,"UCO",Data!$C$4:$C$2311,"Czech Republic",Data!$E$4:$E$2311,2026,Data!$F$4:$F$2311,4)</f>
        <v>0</v>
      </c>
      <c r="F261" s="12" t="n">
        <f aca="false">SUMIFS(Data!$H$4:$H$2311,Data!$B$4:$B$2311,"UCO",Data!$C$4:$C$2311,"Czech Republic",Data!$E$4:$E$2311,2026,Data!$F$4:$F$2311,5)</f>
        <v>0</v>
      </c>
      <c r="G261" s="12" t="n">
        <f aca="false">SUMIFS(Data!$H$4:$H$2311,Data!$B$4:$B$2311,"UCO",Data!$C$4:$C$2311,"Czech Republic",Data!$E$4:$E$2311,2026,Data!$F$4:$F$2311,6)</f>
        <v>0</v>
      </c>
      <c r="H261" s="12" t="n">
        <f aca="false">SUMIFS(Data!$H$4:$H$2311,Data!$B$4:$B$2311,"UCO",Data!$C$4:$C$2311,"Czech Republic",Data!$E$4:$E$2311,2026,Data!$F$4:$F$2311,7)</f>
        <v>0</v>
      </c>
      <c r="I261" s="12" t="n">
        <f aca="false">SUMIFS(Data!$H$4:$H$2311,Data!$B$4:$B$2311,"UCO",Data!$C$4:$C$2311,"Czech Republic",Data!$E$4:$E$2311,2026,Data!$F$4:$F$2311,8)</f>
        <v>0.380473772078873</v>
      </c>
      <c r="J261" s="12"/>
      <c r="K261" s="12"/>
      <c r="L261" s="12"/>
      <c r="M261" s="12"/>
      <c r="N261" s="13" t="n">
        <f aca="false">SUM(B261:M261)</f>
        <v>0.380473772078873</v>
      </c>
    </row>
    <row r="262" customFormat="false" ht="15" hidden="false" customHeight="false" outlineLevel="0" collapsed="false">
      <c r="A262" s="11" t="s">
        <v>129</v>
      </c>
      <c r="B262" s="12" t="n">
        <f aca="false">SUMIFS(Data!$H$4:$H$2311,Data!$B$4:$B$2311,"UCO",Data!$C$4:$C$2311,"Panama",Data!$E$4:$E$2311,2026,Data!$F$4:$F$2311,1)</f>
        <v>0.0950456904731972</v>
      </c>
      <c r="C262" s="12" t="n">
        <f aca="false">SUMIFS(Data!$H$4:$H$2311,Data!$B$4:$B$2311,"UCO",Data!$C$4:$C$2311,"Panama",Data!$E$4:$E$2311,2026,Data!$F$4:$F$2311,2)</f>
        <v>0</v>
      </c>
      <c r="D262" s="12" t="n">
        <f aca="false">SUMIFS(Data!$H$4:$H$2311,Data!$B$4:$B$2311,"UCO",Data!$C$4:$C$2311,"Panama",Data!$E$4:$E$2311,2026,Data!$F$4:$F$2311,3)</f>
        <v>0.0437330989496385</v>
      </c>
      <c r="E262" s="12" t="n">
        <f aca="false">SUMIFS(Data!$H$4:$H$2311,Data!$B$4:$B$2311,"UCO",Data!$C$4:$C$2311,"Panama",Data!$E$4:$E$2311,2026,Data!$F$4:$F$2311,4)</f>
        <v>0</v>
      </c>
      <c r="F262" s="12" t="n">
        <f aca="false">SUMIFS(Data!$H$4:$H$2311,Data!$B$4:$B$2311,"UCO",Data!$C$4:$C$2311,"Panama",Data!$E$4:$E$2311,2026,Data!$F$4:$F$2311,5)</f>
        <v>0</v>
      </c>
      <c r="G262" s="12" t="n">
        <f aca="false">SUMIFS(Data!$H$4:$H$2311,Data!$B$4:$B$2311,"UCO",Data!$C$4:$C$2311,"Panama",Data!$E$4:$E$2311,2026,Data!$F$4:$F$2311,6)</f>
        <v>0.110085625999458</v>
      </c>
      <c r="H262" s="12" t="n">
        <f aca="false">SUMIFS(Data!$H$4:$H$2311,Data!$B$4:$B$2311,"UCO",Data!$C$4:$C$2311,"Panama",Data!$E$4:$E$2311,2026,Data!$F$4:$F$2311,7)</f>
        <v>0.111540676929879</v>
      </c>
      <c r="I262" s="12" t="n">
        <f aca="false">SUMIFS(Data!$H$4:$H$2311,Data!$B$4:$B$2311,"UCO",Data!$C$4:$C$2311,"Panama",Data!$E$4:$E$2311,2026,Data!$F$4:$F$2311,8)</f>
        <v>0</v>
      </c>
      <c r="J262" s="12"/>
      <c r="K262" s="12"/>
      <c r="L262" s="12"/>
      <c r="M262" s="12"/>
      <c r="N262" s="13" t="n">
        <f aca="false">SUM(B262:M262)</f>
        <v>0.360405092352172</v>
      </c>
    </row>
    <row r="263" customFormat="false" ht="15" hidden="false" customHeight="false" outlineLevel="0" collapsed="false">
      <c r="A263" s="11" t="s">
        <v>70</v>
      </c>
      <c r="B263" s="12" t="n">
        <f aca="false">SUMIFS(Data!$H$4:$H$2311,Data!$B$4:$B$2311,"UCO",Data!$C$4:$C$2311,"Sweden",Data!$E$4:$E$2311,2026,Data!$F$4:$F$2311,1)</f>
        <v>0.0016931501735808</v>
      </c>
      <c r="C263" s="12" t="n">
        <f aca="false">SUMIFS(Data!$H$4:$H$2311,Data!$B$4:$B$2311,"UCO",Data!$C$4:$C$2311,"Sweden",Data!$E$4:$E$2311,2026,Data!$F$4:$F$2311,2)</f>
        <v>0.0016931501735808</v>
      </c>
      <c r="D263" s="12" t="n">
        <f aca="false">SUMIFS(Data!$H$4:$H$2311,Data!$B$4:$B$2311,"UCO",Data!$C$4:$C$2311,"Sweden",Data!$E$4:$E$2311,2026,Data!$F$4:$F$2311,3)</f>
        <v>0</v>
      </c>
      <c r="E263" s="12" t="n">
        <f aca="false">SUMIFS(Data!$H$4:$H$2311,Data!$B$4:$B$2311,"UCO",Data!$C$4:$C$2311,"Sweden",Data!$E$4:$E$2311,2026,Data!$F$4:$F$2311,4)</f>
        <v>0</v>
      </c>
      <c r="F263" s="12" t="n">
        <f aca="false">SUMIFS(Data!$H$4:$H$2311,Data!$B$4:$B$2311,"UCO",Data!$C$4:$C$2311,"Sweden",Data!$E$4:$E$2311,2026,Data!$F$4:$F$2311,5)</f>
        <v>0.004761984863196</v>
      </c>
      <c r="G263" s="12" t="n">
        <f aca="false">SUMIFS(Data!$H$4:$H$2311,Data!$B$4:$B$2311,"UCO",Data!$C$4:$C$2311,"Sweden",Data!$E$4:$E$2311,2026,Data!$F$4:$F$2311,6)</f>
        <v>0.0009523969726392</v>
      </c>
      <c r="H263" s="12" t="n">
        <f aca="false">SUMIFS(Data!$H$4:$H$2311,Data!$B$4:$B$2311,"UCO",Data!$C$4:$C$2311,"Sweden",Data!$E$4:$E$2311,2026,Data!$F$4:$F$2311,7)</f>
        <v>0.0031570195944892</v>
      </c>
      <c r="I263" s="12" t="n">
        <f aca="false">SUMIFS(Data!$H$4:$H$2311,Data!$B$4:$B$2311,"UCO",Data!$C$4:$C$2311,"Sweden",Data!$E$4:$E$2311,2026,Data!$F$4:$F$2311,8)</f>
        <v>0.217728530133906</v>
      </c>
      <c r="J263" s="12"/>
      <c r="K263" s="12"/>
      <c r="L263" s="12"/>
      <c r="M263" s="12"/>
      <c r="N263" s="13" t="n">
        <f aca="false">SUM(B263:M263)</f>
        <v>0.229986231911392</v>
      </c>
    </row>
    <row r="264" customFormat="false" ht="15" hidden="false" customHeight="false" outlineLevel="0" collapsed="false">
      <c r="A264" s="11" t="s">
        <v>49</v>
      </c>
      <c r="B264" s="12" t="n">
        <f aca="false">SUMIFS(Data!$H$4:$H$2311,Data!$B$4:$B$2311,"UCO",Data!$C$4:$C$2311,"Brazil",Data!$E$4:$E$2311,2026,Data!$F$4:$F$2311,1)</f>
        <v>0.044621561866244</v>
      </c>
      <c r="C264" s="12" t="n">
        <f aca="false">SUMIFS(Data!$H$4:$H$2311,Data!$B$4:$B$2311,"UCO",Data!$C$4:$C$2311,"Brazil",Data!$E$4:$E$2311,2026,Data!$F$4:$F$2311,2)</f>
        <v>0.020767545097827</v>
      </c>
      <c r="D264" s="12" t="n">
        <f aca="false">SUMIFS(Data!$H$4:$H$2311,Data!$B$4:$B$2311,"UCO",Data!$C$4:$C$2311,"Brazil",Data!$E$4:$E$2311,2026,Data!$F$4:$F$2311,3)</f>
        <v>0.053219590091459</v>
      </c>
      <c r="E264" s="12" t="n">
        <f aca="false">SUMIFS(Data!$H$4:$H$2311,Data!$B$4:$B$2311,"UCO",Data!$C$4:$C$2311,"Brazil",Data!$E$4:$E$2311,2026,Data!$F$4:$F$2311,4)</f>
        <v>0.008994860297148</v>
      </c>
      <c r="F264" s="12" t="n">
        <f aca="false">SUMIFS(Data!$H$4:$H$2311,Data!$B$4:$B$2311,"UCO",Data!$C$4:$C$2311,"Brazil",Data!$E$4:$E$2311,2026,Data!$F$4:$F$2311,5)</f>
        <v>0.0453512919540764</v>
      </c>
      <c r="G264" s="12" t="n">
        <f aca="false">SUMIFS(Data!$H$4:$H$2311,Data!$B$4:$B$2311,"UCO",Data!$C$4:$C$2311,"Brazil",Data!$E$4:$E$2311,2026,Data!$F$4:$F$2311,6)</f>
        <v>0.0002380992431598</v>
      </c>
      <c r="H264" s="12" t="n">
        <f aca="false">SUMIFS(Data!$H$4:$H$2311,Data!$B$4:$B$2311,"UCO",Data!$C$4:$C$2311,"Brazil",Data!$E$4:$E$2311,2026,Data!$F$4:$F$2311,7)</f>
        <v>0.0007010699937483</v>
      </c>
      <c r="I264" s="12" t="n">
        <f aca="false">SUMIFS(Data!$H$4:$H$2311,Data!$B$4:$B$2311,"UCO",Data!$C$4:$C$2311,"Brazil",Data!$E$4:$E$2311,2026,Data!$F$4:$F$2311,8)</f>
        <v>0.002028252812102</v>
      </c>
      <c r="J264" s="12"/>
      <c r="K264" s="12"/>
      <c r="L264" s="12"/>
      <c r="M264" s="12"/>
      <c r="N264" s="13" t="n">
        <f aca="false">SUM(B264:M264)</f>
        <v>0.175922271355764</v>
      </c>
    </row>
    <row r="265" customFormat="false" ht="15" hidden="false" customHeight="false" outlineLevel="0" collapsed="false">
      <c r="A265" s="11" t="s">
        <v>160</v>
      </c>
      <c r="B265" s="12" t="n">
        <f aca="false">SUMIFS(Data!$H$4:$H$2311,Data!$B$4:$B$2311,"UCO",Data!$C$4:$C$2311,"Romania",Data!$E$4:$E$2311,2026,Data!$F$4:$F$2311,1)</f>
        <v>0</v>
      </c>
      <c r="C265" s="12" t="n">
        <f aca="false">SUMIFS(Data!$H$4:$H$2311,Data!$B$4:$B$2311,"UCO",Data!$C$4:$C$2311,"Romania",Data!$E$4:$E$2311,2026,Data!$F$4:$F$2311,2)</f>
        <v>0</v>
      </c>
      <c r="D265" s="12" t="n">
        <f aca="false">SUMIFS(Data!$H$4:$H$2311,Data!$B$4:$B$2311,"UCO",Data!$C$4:$C$2311,"Romania",Data!$E$4:$E$2311,2026,Data!$F$4:$F$2311,3)</f>
        <v>0</v>
      </c>
      <c r="E265" s="12" t="n">
        <f aca="false">SUMIFS(Data!$H$4:$H$2311,Data!$B$4:$B$2311,"UCO",Data!$C$4:$C$2311,"Romania",Data!$E$4:$E$2311,2026,Data!$F$4:$F$2311,4)</f>
        <v>0</v>
      </c>
      <c r="F265" s="12" t="n">
        <f aca="false">SUMIFS(Data!$H$4:$H$2311,Data!$B$4:$B$2311,"UCO",Data!$C$4:$C$2311,"Romania",Data!$E$4:$E$2311,2026,Data!$F$4:$F$2311,5)</f>
        <v>0</v>
      </c>
      <c r="G265" s="12" t="n">
        <f aca="false">SUMIFS(Data!$H$4:$H$2311,Data!$B$4:$B$2311,"UCO",Data!$C$4:$C$2311,"Romania",Data!$E$4:$E$2311,2026,Data!$F$4:$F$2311,6)</f>
        <v>0</v>
      </c>
      <c r="H265" s="12" t="n">
        <f aca="false">SUMIFS(Data!$H$4:$H$2311,Data!$B$4:$B$2311,"UCO",Data!$C$4:$C$2311,"Romania",Data!$E$4:$E$2311,2026,Data!$F$4:$F$2311,7)</f>
        <v>0</v>
      </c>
      <c r="I265" s="12" t="n">
        <f aca="false">SUMIFS(Data!$H$4:$H$2311,Data!$B$4:$B$2311,"UCO",Data!$C$4:$C$2311,"Romania",Data!$E$4:$E$2311,2026,Data!$F$4:$F$2311,8)</f>
        <v>0.163455130429203</v>
      </c>
      <c r="J265" s="12"/>
      <c r="K265" s="12"/>
      <c r="L265" s="12"/>
      <c r="M265" s="12"/>
      <c r="N265" s="13" t="n">
        <f aca="false">SUM(B265:M265)</f>
        <v>0.163455130429203</v>
      </c>
    </row>
    <row r="266" customFormat="false" ht="15" hidden="false" customHeight="false" outlineLevel="0" collapsed="false">
      <c r="A266" s="11" t="s">
        <v>158</v>
      </c>
      <c r="B266" s="12" t="n">
        <f aca="false">SUMIFS(Data!$H$4:$H$2311,Data!$B$4:$B$2311,"UCO",Data!$C$4:$C$2311,"Serbia",Data!$E$4:$E$2311,2026,Data!$F$4:$F$2311,1)</f>
        <v>0</v>
      </c>
      <c r="C266" s="12" t="n">
        <f aca="false">SUMIFS(Data!$H$4:$H$2311,Data!$B$4:$B$2311,"UCO",Data!$C$4:$C$2311,"Serbia",Data!$E$4:$E$2311,2026,Data!$F$4:$F$2311,2)</f>
        <v>0</v>
      </c>
      <c r="D266" s="12" t="n">
        <f aca="false">SUMIFS(Data!$H$4:$H$2311,Data!$B$4:$B$2311,"UCO",Data!$C$4:$C$2311,"Serbia",Data!$E$4:$E$2311,2026,Data!$F$4:$F$2311,3)</f>
        <v>0</v>
      </c>
      <c r="E266" s="12" t="n">
        <f aca="false">SUMIFS(Data!$H$4:$H$2311,Data!$B$4:$B$2311,"UCO",Data!$C$4:$C$2311,"Serbia",Data!$E$4:$E$2311,2026,Data!$F$4:$F$2311,4)</f>
        <v>0</v>
      </c>
      <c r="F266" s="12" t="n">
        <f aca="false">SUMIFS(Data!$H$4:$H$2311,Data!$B$4:$B$2311,"UCO",Data!$C$4:$C$2311,"Serbia",Data!$E$4:$E$2311,2026,Data!$F$4:$F$2311,5)</f>
        <v>0</v>
      </c>
      <c r="G266" s="12" t="n">
        <f aca="false">SUMIFS(Data!$H$4:$H$2311,Data!$B$4:$B$2311,"UCO",Data!$C$4:$C$2311,"Serbia",Data!$E$4:$E$2311,2026,Data!$F$4:$F$2311,6)</f>
        <v>0.103132246250143</v>
      </c>
      <c r="H266" s="12" t="n">
        <f aca="false">SUMIFS(Data!$H$4:$H$2311,Data!$B$4:$B$2311,"UCO",Data!$C$4:$C$2311,"Serbia",Data!$E$4:$E$2311,2026,Data!$F$4:$F$2311,7)</f>
        <v>0</v>
      </c>
      <c r="I266" s="12" t="n">
        <f aca="false">SUMIFS(Data!$H$4:$H$2311,Data!$B$4:$B$2311,"UCO",Data!$C$4:$C$2311,"Serbia",Data!$E$4:$E$2311,2026,Data!$F$4:$F$2311,8)</f>
        <v>0</v>
      </c>
      <c r="J266" s="12"/>
      <c r="K266" s="12"/>
      <c r="L266" s="12"/>
      <c r="M266" s="12"/>
      <c r="N266" s="13" t="n">
        <f aca="false">SUM(B266:M266)</f>
        <v>0.103132246250143</v>
      </c>
    </row>
    <row r="267" customFormat="false" ht="15" hidden="false" customHeight="false" outlineLevel="0" collapsed="false">
      <c r="A267" s="11" t="s">
        <v>190</v>
      </c>
      <c r="B267" s="12" t="n">
        <f aca="false">SUMIFS(Data!$H$4:$H$2311,Data!$B$4:$B$2311,"UCO",Data!$C$4:$C$2311,"Uruguay",Data!$E$4:$E$2311,2026,Data!$F$4:$F$2311,1)</f>
        <v>0</v>
      </c>
      <c r="C267" s="12" t="n">
        <f aca="false">SUMIFS(Data!$H$4:$H$2311,Data!$B$4:$B$2311,"UCO",Data!$C$4:$C$2311,"Uruguay",Data!$E$4:$E$2311,2026,Data!$F$4:$F$2311,2)</f>
        <v>0</v>
      </c>
      <c r="D267" s="12" t="n">
        <f aca="false">SUMIFS(Data!$H$4:$H$2311,Data!$B$4:$B$2311,"UCO",Data!$C$4:$C$2311,"Uruguay",Data!$E$4:$E$2311,2026,Data!$F$4:$F$2311,3)</f>
        <v>0</v>
      </c>
      <c r="E267" s="12" t="n">
        <f aca="false">SUMIFS(Data!$H$4:$H$2311,Data!$B$4:$B$2311,"UCO",Data!$C$4:$C$2311,"Uruguay",Data!$E$4:$E$2311,2026,Data!$F$4:$F$2311,4)</f>
        <v>0</v>
      </c>
      <c r="F267" s="12" t="n">
        <f aca="false">SUMIFS(Data!$H$4:$H$2311,Data!$B$4:$B$2311,"UCO",Data!$C$4:$C$2311,"Uruguay",Data!$E$4:$E$2311,2026,Data!$F$4:$F$2311,5)</f>
        <v>0</v>
      </c>
      <c r="G267" s="12" t="n">
        <f aca="false">SUMIFS(Data!$H$4:$H$2311,Data!$B$4:$B$2311,"UCO",Data!$C$4:$C$2311,"Uruguay",Data!$E$4:$E$2311,2026,Data!$F$4:$F$2311,6)</f>
        <v>0</v>
      </c>
      <c r="H267" s="12" t="n">
        <f aca="false">SUMIFS(Data!$H$4:$H$2311,Data!$B$4:$B$2311,"UCO",Data!$C$4:$C$2311,"Uruguay",Data!$E$4:$E$2311,2026,Data!$F$4:$F$2311,7)</f>
        <v>0.092505965212826</v>
      </c>
      <c r="I267" s="12" t="n">
        <f aca="false">SUMIFS(Data!$H$4:$H$2311,Data!$B$4:$B$2311,"UCO",Data!$C$4:$C$2311,"Uruguay",Data!$E$4:$E$2311,2026,Data!$F$4:$F$2311,8)</f>
        <v>0</v>
      </c>
      <c r="J267" s="12"/>
      <c r="K267" s="12"/>
      <c r="L267" s="12"/>
      <c r="M267" s="12"/>
      <c r="N267" s="13" t="n">
        <f aca="false">SUM(B267:M267)</f>
        <v>0.092505965212826</v>
      </c>
    </row>
    <row r="268" customFormat="false" ht="15" hidden="false" customHeight="false" outlineLevel="0" collapsed="false">
      <c r="A268" s="11" t="s">
        <v>177</v>
      </c>
      <c r="B268" s="12" t="n">
        <f aca="false">SUMIFS(Data!$H$4:$H$2311,Data!$B$4:$B$2311,"UCO",Data!$C$4:$C$2311,"Nepal",Data!$E$4:$E$2311,2026,Data!$F$4:$F$2311,1)</f>
        <v>0.04188782981515</v>
      </c>
      <c r="C268" s="12" t="n">
        <f aca="false">SUMIFS(Data!$H$4:$H$2311,Data!$B$4:$B$2311,"UCO",Data!$C$4:$C$2311,"Nepal",Data!$E$4:$E$2311,2026,Data!$F$4:$F$2311,2)</f>
        <v>0</v>
      </c>
      <c r="D268" s="12" t="n">
        <f aca="false">SUMIFS(Data!$H$4:$H$2311,Data!$B$4:$B$2311,"UCO",Data!$C$4:$C$2311,"Nepal",Data!$E$4:$E$2311,2026,Data!$F$4:$F$2311,3)</f>
        <v>0</v>
      </c>
      <c r="E268" s="12" t="n">
        <f aca="false">SUMIFS(Data!$H$4:$H$2311,Data!$B$4:$B$2311,"UCO",Data!$C$4:$C$2311,"Nepal",Data!$E$4:$E$2311,2026,Data!$F$4:$F$2311,4)</f>
        <v>0</v>
      </c>
      <c r="F268" s="12" t="n">
        <f aca="false">SUMIFS(Data!$H$4:$H$2311,Data!$B$4:$B$2311,"UCO",Data!$C$4:$C$2311,"Nepal",Data!$E$4:$E$2311,2026,Data!$F$4:$F$2311,5)</f>
        <v>0</v>
      </c>
      <c r="G268" s="12" t="n">
        <f aca="false">SUMIFS(Data!$H$4:$H$2311,Data!$B$4:$B$2311,"UCO",Data!$C$4:$C$2311,"Nepal",Data!$E$4:$E$2311,2026,Data!$F$4:$F$2311,6)</f>
        <v>0</v>
      </c>
      <c r="H268" s="12" t="n">
        <f aca="false">SUMIFS(Data!$H$4:$H$2311,Data!$B$4:$B$2311,"UCO",Data!$C$4:$C$2311,"Nepal",Data!$E$4:$E$2311,2026,Data!$F$4:$F$2311,7)</f>
        <v>0</v>
      </c>
      <c r="I268" s="12" t="n">
        <f aca="false">SUMIFS(Data!$H$4:$H$2311,Data!$B$4:$B$2311,"UCO",Data!$C$4:$C$2311,"Nepal",Data!$E$4:$E$2311,2026,Data!$F$4:$F$2311,8)</f>
        <v>0</v>
      </c>
      <c r="J268" s="12"/>
      <c r="K268" s="12"/>
      <c r="L268" s="12"/>
      <c r="M268" s="12"/>
      <c r="N268" s="13" t="n">
        <f aca="false">SUM(B268:M268)</f>
        <v>0.04188782981515</v>
      </c>
    </row>
    <row r="269" customFormat="false" ht="15" hidden="false" customHeight="false" outlineLevel="0" collapsed="false">
      <c r="A269" s="11" t="s">
        <v>68</v>
      </c>
      <c r="B269" s="12" t="n">
        <f aca="false">SUMIFS(Data!$H$4:$H$2311,Data!$B$4:$B$2311,"UCO",Data!$C$4:$C$2311,"Argentina",Data!$E$4:$E$2311,2026,Data!$F$4:$F$2311,1)</f>
        <v>0</v>
      </c>
      <c r="C269" s="12" t="n">
        <f aca="false">SUMIFS(Data!$H$4:$H$2311,Data!$B$4:$B$2311,"UCO",Data!$C$4:$C$2311,"Argentina",Data!$E$4:$E$2311,2026,Data!$F$4:$F$2311,2)</f>
        <v>0</v>
      </c>
      <c r="D269" s="12" t="n">
        <f aca="false">SUMIFS(Data!$H$4:$H$2311,Data!$B$4:$B$2311,"UCO",Data!$C$4:$C$2311,"Argentina",Data!$E$4:$E$2311,2026,Data!$F$4:$F$2311,3)</f>
        <v>0</v>
      </c>
      <c r="E269" s="12" t="n">
        <f aca="false">SUMIFS(Data!$H$4:$H$2311,Data!$B$4:$B$2311,"UCO",Data!$C$4:$C$2311,"Argentina",Data!$E$4:$E$2311,2026,Data!$F$4:$F$2311,4)</f>
        <v>0</v>
      </c>
      <c r="F269" s="12" t="n">
        <f aca="false">SUMIFS(Data!$H$4:$H$2311,Data!$B$4:$B$2311,"UCO",Data!$C$4:$C$2311,"Argentina",Data!$E$4:$E$2311,2026,Data!$F$4:$F$2311,5)</f>
        <v>0.0395641575717201</v>
      </c>
      <c r="G269" s="12" t="n">
        <f aca="false">SUMIFS(Data!$H$4:$H$2311,Data!$B$4:$B$2311,"UCO",Data!$C$4:$C$2311,"Argentina",Data!$E$4:$E$2311,2026,Data!$F$4:$F$2311,6)</f>
        <v>0</v>
      </c>
      <c r="H269" s="12" t="n">
        <f aca="false">SUMIFS(Data!$H$4:$H$2311,Data!$B$4:$B$2311,"UCO",Data!$C$4:$C$2311,"Argentina",Data!$E$4:$E$2311,2026,Data!$F$4:$F$2311,7)</f>
        <v>0</v>
      </c>
      <c r="I269" s="12" t="n">
        <f aca="false">SUMIFS(Data!$H$4:$H$2311,Data!$B$4:$B$2311,"UCO",Data!$C$4:$C$2311,"Argentina",Data!$E$4:$E$2311,2026,Data!$F$4:$F$2311,8)</f>
        <v>0</v>
      </c>
      <c r="J269" s="12"/>
      <c r="K269" s="12"/>
      <c r="L269" s="12"/>
      <c r="M269" s="12"/>
      <c r="N269" s="13" t="n">
        <f aca="false">SUM(B269:M269)</f>
        <v>0.0395641575717201</v>
      </c>
    </row>
    <row r="270" customFormat="false" ht="15" hidden="false" customHeight="false" outlineLevel="0" collapsed="false">
      <c r="A270" s="11" t="s">
        <v>71</v>
      </c>
      <c r="B270" s="12" t="n">
        <f aca="false">SUMIFS(Data!$H$4:$H$2311,Data!$B$4:$B$2311,"UCO",Data!$C$4:$C$2311,"Ecuador",Data!$E$4:$E$2311,2026,Data!$F$4:$F$2311,1)</f>
        <v>0.0085715727537528</v>
      </c>
      <c r="C270" s="12" t="n">
        <f aca="false">SUMIFS(Data!$H$4:$H$2311,Data!$B$4:$B$2311,"UCO",Data!$C$4:$C$2311,"Ecuador",Data!$E$4:$E$2311,2026,Data!$F$4:$F$2311,2)</f>
        <v>0</v>
      </c>
      <c r="D270" s="12" t="n">
        <f aca="false">SUMIFS(Data!$H$4:$H$2311,Data!$B$4:$B$2311,"UCO",Data!$C$4:$C$2311,"Ecuador",Data!$E$4:$E$2311,2026,Data!$F$4:$F$2311,3)</f>
        <v>0</v>
      </c>
      <c r="E270" s="12" t="n">
        <f aca="false">SUMIFS(Data!$H$4:$H$2311,Data!$B$4:$B$2311,"UCO",Data!$C$4:$C$2311,"Ecuador",Data!$E$4:$E$2311,2026,Data!$F$4:$F$2311,4)</f>
        <v>0</v>
      </c>
      <c r="F270" s="12" t="n">
        <f aca="false">SUMIFS(Data!$H$4:$H$2311,Data!$B$4:$B$2311,"UCO",Data!$C$4:$C$2311,"Ecuador",Data!$E$4:$E$2311,2026,Data!$F$4:$F$2311,5)</f>
        <v>0</v>
      </c>
      <c r="G270" s="12" t="n">
        <f aca="false">SUMIFS(Data!$H$4:$H$2311,Data!$B$4:$B$2311,"UCO",Data!$C$4:$C$2311,"Ecuador",Data!$E$4:$E$2311,2026,Data!$F$4:$F$2311,6)</f>
        <v>0.0085715727537528</v>
      </c>
      <c r="H270" s="12" t="n">
        <f aca="false">SUMIFS(Data!$H$4:$H$2311,Data!$B$4:$B$2311,"UCO",Data!$C$4:$C$2311,"Ecuador",Data!$E$4:$E$2311,2026,Data!$F$4:$F$2311,7)</f>
        <v>0</v>
      </c>
      <c r="I270" s="12" t="n">
        <f aca="false">SUMIFS(Data!$H$4:$H$2311,Data!$B$4:$B$2311,"UCO",Data!$C$4:$C$2311,"Ecuador",Data!$E$4:$E$2311,2026,Data!$F$4:$F$2311,8)</f>
        <v>0</v>
      </c>
      <c r="J270" s="12"/>
      <c r="K270" s="12"/>
      <c r="L270" s="12"/>
      <c r="M270" s="12"/>
      <c r="N270" s="13" t="n">
        <f aca="false">SUM(B270:M270)</f>
        <v>0.0171431455075056</v>
      </c>
    </row>
    <row r="271" customFormat="false" ht="15" hidden="false" customHeight="false" outlineLevel="0" collapsed="false">
      <c r="A271" s="11" t="s">
        <v>79</v>
      </c>
      <c r="B271" s="12" t="n">
        <f aca="false">SUMIFS(Data!$H$4:$H$2311,Data!$B$4:$B$2311,"UCO",Data!$C$4:$C$2311,"Italy",Data!$E$4:$E$2311,2026,Data!$F$4:$F$2311,1)</f>
        <v>0</v>
      </c>
      <c r="C271" s="12" t="n">
        <f aca="false">SUMIFS(Data!$H$4:$H$2311,Data!$B$4:$B$2311,"UCO",Data!$C$4:$C$2311,"Italy",Data!$E$4:$E$2311,2026,Data!$F$4:$F$2311,2)</f>
        <v>0.0027645967677999</v>
      </c>
      <c r="D271" s="12" t="n">
        <f aca="false">SUMIFS(Data!$H$4:$H$2311,Data!$B$4:$B$2311,"UCO",Data!$C$4:$C$2311,"Italy",Data!$E$4:$E$2311,2026,Data!$F$4:$F$2311,3)</f>
        <v>0.00137347989341255</v>
      </c>
      <c r="E271" s="12" t="n">
        <f aca="false">SUMIFS(Data!$H$4:$H$2311,Data!$B$4:$B$2311,"UCO",Data!$C$4:$C$2311,"Italy",Data!$E$4:$E$2311,2026,Data!$F$4:$F$2311,4)</f>
        <v>0.00391761439902745</v>
      </c>
      <c r="F271" s="12" t="n">
        <f aca="false">SUMIFS(Data!$H$4:$H$2311,Data!$B$4:$B$2311,"UCO",Data!$C$4:$C$2311,"Italy",Data!$E$4:$E$2311,2026,Data!$F$4:$F$2311,5)</f>
        <v>0</v>
      </c>
      <c r="G271" s="12" t="n">
        <f aca="false">SUMIFS(Data!$H$4:$H$2311,Data!$B$4:$B$2311,"UCO",Data!$C$4:$C$2311,"Italy",Data!$E$4:$E$2311,2026,Data!$F$4:$F$2311,6)</f>
        <v>0.00132056895048815</v>
      </c>
      <c r="H271" s="12" t="n">
        <f aca="false">SUMIFS(Data!$H$4:$H$2311,Data!$B$4:$B$2311,"UCO",Data!$C$4:$C$2311,"Italy",Data!$E$4:$E$2311,2026,Data!$F$4:$F$2311,7)</f>
        <v>0.000220462262185</v>
      </c>
      <c r="I271" s="12" t="n">
        <f aca="false">SUMIFS(Data!$H$4:$H$2311,Data!$B$4:$B$2311,"UCO",Data!$C$4:$C$2311,"Italy",Data!$E$4:$E$2311,2026,Data!$F$4:$F$2311,8)</f>
        <v>0.00698203984339895</v>
      </c>
      <c r="J271" s="12"/>
      <c r="K271" s="12"/>
      <c r="L271" s="12"/>
      <c r="M271" s="12"/>
      <c r="N271" s="13" t="n">
        <f aca="false">SUM(B271:M271)</f>
        <v>0.016578762116312</v>
      </c>
    </row>
    <row r="272" customFormat="false" ht="15" hidden="false" customHeight="false" outlineLevel="0" collapsed="false">
      <c r="A272" s="11" t="s">
        <v>191</v>
      </c>
      <c r="B272" s="12" t="n">
        <f aca="false">SUMIFS(Data!$H$4:$H$2311,Data!$B$4:$B$2311,"UCO",Data!$C$4:$C$2311,"Pakistan",Data!$E$4:$E$2311,2026,Data!$F$4:$F$2311,1)</f>
        <v>0</v>
      </c>
      <c r="C272" s="12" t="n">
        <f aca="false">SUMIFS(Data!$H$4:$H$2311,Data!$B$4:$B$2311,"UCO",Data!$C$4:$C$2311,"Pakistan",Data!$E$4:$E$2311,2026,Data!$F$4:$F$2311,2)</f>
        <v>0</v>
      </c>
      <c r="D272" s="12" t="n">
        <f aca="false">SUMIFS(Data!$H$4:$H$2311,Data!$B$4:$B$2311,"UCO",Data!$C$4:$C$2311,"Pakistan",Data!$E$4:$E$2311,2026,Data!$F$4:$F$2311,3)</f>
        <v>0.0050044933515995</v>
      </c>
      <c r="E272" s="12" t="n">
        <f aca="false">SUMIFS(Data!$H$4:$H$2311,Data!$B$4:$B$2311,"UCO",Data!$C$4:$C$2311,"Pakistan",Data!$E$4:$E$2311,2026,Data!$F$4:$F$2311,4)</f>
        <v>0</v>
      </c>
      <c r="F272" s="12" t="n">
        <f aca="false">SUMIFS(Data!$H$4:$H$2311,Data!$B$4:$B$2311,"UCO",Data!$C$4:$C$2311,"Pakistan",Data!$E$4:$E$2311,2026,Data!$F$4:$F$2311,5)</f>
        <v>0</v>
      </c>
      <c r="G272" s="12" t="n">
        <f aca="false">SUMIFS(Data!$H$4:$H$2311,Data!$B$4:$B$2311,"UCO",Data!$C$4:$C$2311,"Pakistan",Data!$E$4:$E$2311,2026,Data!$F$4:$F$2311,6)</f>
        <v>0.0016534669663875</v>
      </c>
      <c r="H272" s="12" t="n">
        <f aca="false">SUMIFS(Data!$H$4:$H$2311,Data!$B$4:$B$2311,"UCO",Data!$C$4:$C$2311,"Pakistan",Data!$E$4:$E$2311,2026,Data!$F$4:$F$2311,7)</f>
        <v>0</v>
      </c>
      <c r="I272" s="12" t="n">
        <f aca="false">SUMIFS(Data!$H$4:$H$2311,Data!$B$4:$B$2311,"UCO",Data!$C$4:$C$2311,"Pakistan",Data!$E$4:$E$2311,2026,Data!$F$4:$F$2311,8)</f>
        <v>0</v>
      </c>
      <c r="J272" s="12"/>
      <c r="K272" s="12"/>
      <c r="L272" s="12"/>
      <c r="M272" s="12"/>
      <c r="N272" s="13" t="n">
        <f aca="false">SUM(B272:M272)</f>
        <v>0.006657960317987</v>
      </c>
    </row>
    <row r="273" customFormat="false" ht="15" hidden="false" customHeight="false" outlineLevel="0" collapsed="false">
      <c r="A273" s="11" t="s">
        <v>63</v>
      </c>
      <c r="B273" s="12" t="n">
        <f aca="false">SUMIFS(Data!$H$4:$H$2311,Data!$B$4:$B$2311,"UCO",Data!$C$4:$C$2311,"Peru",Data!$E$4:$E$2311,2026,Data!$F$4:$F$2311,1)</f>
        <v>0.00088184904874</v>
      </c>
      <c r="C273" s="12" t="n">
        <f aca="false">SUMIFS(Data!$H$4:$H$2311,Data!$B$4:$B$2311,"UCO",Data!$C$4:$C$2311,"Peru",Data!$E$4:$E$2311,2026,Data!$F$4:$F$2311,2)</f>
        <v>0</v>
      </c>
      <c r="D273" s="12" t="n">
        <f aca="false">SUMIFS(Data!$H$4:$H$2311,Data!$B$4:$B$2311,"UCO",Data!$C$4:$C$2311,"Peru",Data!$E$4:$E$2311,2026,Data!$F$4:$F$2311,3)</f>
        <v>0</v>
      </c>
      <c r="E273" s="12" t="n">
        <f aca="false">SUMIFS(Data!$H$4:$H$2311,Data!$B$4:$B$2311,"UCO",Data!$C$4:$C$2311,"Peru",Data!$E$4:$E$2311,2026,Data!$F$4:$F$2311,4)</f>
        <v>0</v>
      </c>
      <c r="F273" s="12" t="n">
        <f aca="false">SUMIFS(Data!$H$4:$H$2311,Data!$B$4:$B$2311,"UCO",Data!$C$4:$C$2311,"Peru",Data!$E$4:$E$2311,2026,Data!$F$4:$F$2311,5)</f>
        <v>0</v>
      </c>
      <c r="G273" s="12" t="n">
        <f aca="false">SUMIFS(Data!$H$4:$H$2311,Data!$B$4:$B$2311,"UCO",Data!$C$4:$C$2311,"Peru",Data!$E$4:$E$2311,2026,Data!$F$4:$F$2311,6)</f>
        <v>0</v>
      </c>
      <c r="H273" s="12" t="n">
        <f aca="false">SUMIFS(Data!$H$4:$H$2311,Data!$B$4:$B$2311,"UCO",Data!$C$4:$C$2311,"Peru",Data!$E$4:$E$2311,2026,Data!$F$4:$F$2311,7)</f>
        <v>0</v>
      </c>
      <c r="I273" s="12" t="n">
        <f aca="false">SUMIFS(Data!$H$4:$H$2311,Data!$B$4:$B$2311,"UCO",Data!$C$4:$C$2311,"Peru",Data!$E$4:$E$2311,2026,Data!$F$4:$F$2311,8)</f>
        <v>0</v>
      </c>
      <c r="J273" s="12"/>
      <c r="K273" s="12"/>
      <c r="L273" s="12"/>
      <c r="M273" s="12"/>
      <c r="N273" s="13" t="n">
        <f aca="false">SUM(B273:M273)</f>
        <v>0.00088184904874</v>
      </c>
    </row>
    <row r="274" customFormat="false" ht="15" hidden="false" customHeight="false" outlineLevel="0" collapsed="false">
      <c r="A274" s="11" t="s">
        <v>76</v>
      </c>
      <c r="B274" s="12" t="n">
        <f aca="false">SUMIFS(Data!$H$4:$H$2311,Data!$B$4:$B$2311,"UCO",Data!$C$4:$C$2311,"Switzerland",Data!$E$4:$E$2311,2026,Data!$F$4:$F$2311,1)</f>
        <v>0</v>
      </c>
      <c r="C274" s="12" t="n">
        <f aca="false">SUMIFS(Data!$H$4:$H$2311,Data!$B$4:$B$2311,"UCO",Data!$C$4:$C$2311,"Switzerland",Data!$E$4:$E$2311,2026,Data!$F$4:$F$2311,2)</f>
        <v>0</v>
      </c>
      <c r="D274" s="12" t="n">
        <f aca="false">SUMIFS(Data!$H$4:$H$2311,Data!$B$4:$B$2311,"UCO",Data!$C$4:$C$2311,"Switzerland",Data!$E$4:$E$2311,2026,Data!$F$4:$F$2311,3)</f>
        <v>2.20462262185E-006</v>
      </c>
      <c r="E274" s="12" t="n">
        <f aca="false">SUMIFS(Data!$H$4:$H$2311,Data!$B$4:$B$2311,"UCO",Data!$C$4:$C$2311,"Switzerland",Data!$E$4:$E$2311,2026,Data!$F$4:$F$2311,4)</f>
        <v>0</v>
      </c>
      <c r="F274" s="12" t="n">
        <f aca="false">SUMIFS(Data!$H$4:$H$2311,Data!$B$4:$B$2311,"UCO",Data!$C$4:$C$2311,"Switzerland",Data!$E$4:$E$2311,2026,Data!$F$4:$F$2311,5)</f>
        <v>0</v>
      </c>
      <c r="G274" s="12" t="n">
        <f aca="false">SUMIFS(Data!$H$4:$H$2311,Data!$B$4:$B$2311,"UCO",Data!$C$4:$C$2311,"Switzerland",Data!$E$4:$E$2311,2026,Data!$F$4:$F$2311,6)</f>
        <v>0</v>
      </c>
      <c r="H274" s="12" t="n">
        <f aca="false">SUMIFS(Data!$H$4:$H$2311,Data!$B$4:$B$2311,"UCO",Data!$C$4:$C$2311,"Switzerland",Data!$E$4:$E$2311,2026,Data!$F$4:$F$2311,7)</f>
        <v>0</v>
      </c>
      <c r="I274" s="12" t="n">
        <f aca="false">SUMIFS(Data!$H$4:$H$2311,Data!$B$4:$B$2311,"UCO",Data!$C$4:$C$2311,"Switzerland",Data!$E$4:$E$2311,2026,Data!$F$4:$F$2311,8)</f>
        <v>2.20462262185E-006</v>
      </c>
      <c r="J274" s="12"/>
      <c r="K274" s="12"/>
      <c r="L274" s="12"/>
      <c r="M274" s="12"/>
      <c r="N274" s="13" t="n">
        <f aca="false">SUM(B274:M274)</f>
        <v>4.4092452437E-006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8.5"/>
    <col collapsed="false" customWidth="true" hidden="false" outlineLevel="0" max="17" min="17" style="0" width="7"/>
  </cols>
  <sheetData>
    <row r="1" customFormat="false" ht="15" hidden="false" customHeight="false" outlineLevel="0" collapsed="false">
      <c r="A1" s="7" t="s">
        <v>192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15" hidden="false" customHeight="false" outlineLevel="0" collapsed="false">
      <c r="A3" s="8"/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Q3" s="6" t="s">
        <v>34</v>
      </c>
    </row>
    <row r="4" customFormat="false" ht="15" hidden="false" customHeight="false" outlineLevel="0" collapsed="false">
      <c r="A4" s="10" t="s">
        <v>35</v>
      </c>
      <c r="B4" s="10" t="n">
        <f aca="false">SUM(B5:B11)</f>
        <v>47.8574606535204</v>
      </c>
      <c r="C4" s="10" t="n">
        <f aca="false">SUM(C5:C11)</f>
        <v>26.5504267631457</v>
      </c>
      <c r="D4" s="10" t="n">
        <f aca="false">SUM(D5:D11)</f>
        <v>32.1197708859346</v>
      </c>
      <c r="E4" s="10" t="n">
        <f aca="false">SUM(E5:E11)</f>
        <v>38.5926597486852</v>
      </c>
      <c r="F4" s="10" t="n">
        <f aca="false">SUM(F5:F11)</f>
        <v>39.112529604521</v>
      </c>
      <c r="G4" s="10" t="n">
        <f aca="false">SUM(G5:G11)</f>
        <v>34.9964837371687</v>
      </c>
      <c r="H4" s="10" t="n">
        <f aca="false">SUM(H5:H11)</f>
        <v>45.7904527803489</v>
      </c>
      <c r="I4" s="10" t="n">
        <f aca="false">SUM(I5:I11)</f>
        <v>38.5426324521502</v>
      </c>
      <c r="J4" s="10" t="n">
        <f aca="false">SUM(J5:J11)</f>
        <v>84.5868990257074</v>
      </c>
      <c r="K4" s="10" t="n">
        <f aca="false">SUM(K5:K11)</f>
        <v>39.9608088645981</v>
      </c>
      <c r="L4" s="10" t="n">
        <f aca="false">SUM(L5:L11)</f>
        <v>43.2556173729529</v>
      </c>
      <c r="M4" s="10" t="n">
        <f aca="false">SUM(M5:M11)</f>
        <v>40.340722662531</v>
      </c>
      <c r="N4" s="10" t="n">
        <f aca="false">SUM(B4:M4)</f>
        <v>511.706464551264</v>
      </c>
      <c r="Q4" s="6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</row>
    <row r="5" customFormat="false" ht="15" hidden="false" customHeight="false" outlineLevel="0" collapsed="false">
      <c r="A5" s="11" t="s">
        <v>43</v>
      </c>
      <c r="B5" s="12" t="n">
        <f aca="false">SUMIFS(Data!$H$4:$H$2311,Data!$B$4:$B$2311,"Inedible Tallow",Data!$C$4:$C$2311,"Canada",Data!$E$4:$E$2311,2020,Data!$F$4:$F$2311,1)</f>
        <v>28.1816843612407</v>
      </c>
      <c r="C5" s="12" t="n">
        <f aca="false">SUMIFS(Data!$H$4:$H$2311,Data!$B$4:$B$2311,"Inedible Tallow",Data!$C$4:$C$2311,"Canada",Data!$E$4:$E$2311,2020,Data!$F$4:$F$2311,2)</f>
        <v>26.5504267631457</v>
      </c>
      <c r="D5" s="12" t="n">
        <f aca="false">SUMIFS(Data!$H$4:$H$2311,Data!$B$4:$B$2311,"Inedible Tallow",Data!$C$4:$C$2311,"Canada",Data!$E$4:$E$2311,2020,Data!$F$4:$F$2311,3)</f>
        <v>31.1462911071627</v>
      </c>
      <c r="E5" s="12" t="n">
        <f aca="false">SUMIFS(Data!$H$4:$H$2311,Data!$B$4:$B$2311,"Inedible Tallow",Data!$C$4:$C$2311,"Canada",Data!$E$4:$E$2311,2020,Data!$F$4:$F$2311,4)</f>
        <v>37.2668173408856</v>
      </c>
      <c r="F5" s="12" t="n">
        <f aca="false">SUMIFS(Data!$H$4:$H$2311,Data!$B$4:$B$2311,"Inedible Tallow",Data!$C$4:$C$2311,"Canada",Data!$E$4:$E$2311,2020,Data!$F$4:$F$2311,5)</f>
        <v>36.6833441224094</v>
      </c>
      <c r="G5" s="12" t="n">
        <f aca="false">SUMIFS(Data!$H$4:$H$2311,Data!$B$4:$B$2311,"Inedible Tallow",Data!$C$4:$C$2311,"Canada",Data!$E$4:$E$2311,2020,Data!$F$4:$F$2311,6)</f>
        <v>34.4012356292692</v>
      </c>
      <c r="H5" s="12" t="n">
        <f aca="false">SUMIFS(Data!$H$4:$H$2311,Data!$B$4:$B$2311,"Inedible Tallow",Data!$C$4:$C$2311,"Canada",Data!$E$4:$E$2311,2020,Data!$F$4:$F$2311,7)</f>
        <v>39.0726788460085</v>
      </c>
      <c r="I5" s="12" t="n">
        <f aca="false">SUMIFS(Data!$H$4:$H$2311,Data!$B$4:$B$2311,"Inedible Tallow",Data!$C$4:$C$2311,"Canada",Data!$E$4:$E$2311,2020,Data!$F$4:$F$2311,8)</f>
        <v>38.5134410440143</v>
      </c>
      <c r="J5" s="12" t="n">
        <f aca="false">SUMIFS(Data!$H$4:$H$2311,Data!$B$4:$B$2311,"Inedible Tallow",Data!$C$4:$C$2311,"Canada",Data!$E$4:$E$2311,2020,Data!$F$4:$F$2311,9)</f>
        <v>42.639879502406</v>
      </c>
      <c r="K5" s="12" t="n">
        <f aca="false">SUMIFS(Data!$H$4:$H$2311,Data!$B$4:$B$2311,"Inedible Tallow",Data!$C$4:$C$2311,"Canada",Data!$E$4:$E$2311,2020,Data!$F$4:$F$2311,10)</f>
        <v>39.0590300273566</v>
      </c>
      <c r="L5" s="12" t="n">
        <f aca="false">SUMIFS(Data!$H$4:$H$2311,Data!$B$4:$B$2311,"Inedible Tallow",Data!$C$4:$C$2311,"Canada",Data!$E$4:$E$2311,2020,Data!$F$4:$F$2311,11)</f>
        <v>43.2320124785408</v>
      </c>
      <c r="M5" s="12" t="n">
        <f aca="false">SUMIFS(Data!$H$4:$H$2311,Data!$B$4:$B$2311,"Inedible Tallow",Data!$C$4:$C$2311,"Canada",Data!$E$4:$E$2311,2020,Data!$F$4:$F$2311,12)</f>
        <v>39.410945117992</v>
      </c>
      <c r="N5" s="13" t="n">
        <f aca="false">SUM(B5:M5)</f>
        <v>436.157786340431</v>
      </c>
      <c r="Q5" s="4" t="s">
        <v>44</v>
      </c>
      <c r="R5" s="5" t="n">
        <f aca="false">SUMIFS(Data!$H$4:$H$2311,Data!$B$4:$B$2311,"Inedible Tallow",Data!$C$4:$C$2311,"World Total",Data!$E$4:$E$2311,2020,Data!$F$4:$F$2311,10)</f>
        <v>39.9608088645981</v>
      </c>
      <c r="S5" s="5" t="n">
        <f aca="false">SUMIFS(Data!$H$4:$H$2311,Data!$B$4:$B$2311,"Inedible Tallow",Data!$C$4:$C$2311,"World Total",Data!$E$4:$E$2311,2021,Data!$F$4:$F$2311,10)</f>
        <v>63.6754956879368</v>
      </c>
      <c r="T5" s="5" t="n">
        <f aca="false">SUMIFS(Data!$H$4:$H$2311,Data!$B$4:$B$2311,"Inedible Tallow",Data!$C$4:$C$2311,"World Total",Data!$E$4:$E$2311,2022,Data!$F$4:$F$2311,10)</f>
        <v>121.226763580769</v>
      </c>
      <c r="U5" s="5" t="n">
        <f aca="false">SUMIFS(Data!$H$4:$H$2311,Data!$B$4:$B$2311,"Inedible Tallow",Data!$C$4:$C$2311,"World Total",Data!$E$4:$E$2311,2023,Data!$F$4:$F$2311,10)</f>
        <v>166.254593303767</v>
      </c>
      <c r="V5" s="5" t="n">
        <f aca="false">SUMIFS(Data!$H$4:$H$2311,Data!$B$4:$B$2311,"Inedible Tallow",Data!$C$4:$C$2311,"World Total",Data!$E$4:$E$2311,2024,Data!$F$4:$F$2311,10)</f>
        <v>102.948625436592</v>
      </c>
      <c r="W5" s="5" t="n">
        <f aca="false">SUMIFS(Data!$H$4:$H$2311,Data!$B$4:$B$2311,"Inedible Tallow",Data!$C$4:$C$2311,"World Total",Data!$E$4:$E$2311,2025,Data!$F$4:$F$2311,10)</f>
        <v>219.129781658486</v>
      </c>
    </row>
    <row r="6" customFormat="false" ht="15" hidden="false" customHeight="false" outlineLevel="0" collapsed="false">
      <c r="A6" s="11" t="s">
        <v>109</v>
      </c>
      <c r="B6" s="12" t="n">
        <f aca="false">SUMIFS(Data!$H$4:$H$2311,Data!$B$4:$B$2311,"Inedible Tallow",Data!$C$4:$C$2311,"Australia",Data!$E$4:$E$2311,2020,Data!$F$4:$F$2311,1)</f>
        <v>19.5835789742339</v>
      </c>
      <c r="C6" s="12" t="n">
        <f aca="false">SUMIFS(Data!$H$4:$H$2311,Data!$B$4:$B$2311,"Inedible Tallow",Data!$C$4:$C$2311,"Australia",Data!$E$4:$E$2311,2020,Data!$F$4:$F$2311,2)</f>
        <v>0</v>
      </c>
      <c r="D6" s="12" t="n">
        <f aca="false">SUMIFS(Data!$H$4:$H$2311,Data!$B$4:$B$2311,"Inedible Tallow",Data!$C$4:$C$2311,"Australia",Data!$E$4:$E$2311,2020,Data!$F$4:$F$2311,3)</f>
        <v>0</v>
      </c>
      <c r="E6" s="12" t="n">
        <f aca="false">SUMIFS(Data!$H$4:$H$2311,Data!$B$4:$B$2311,"Inedible Tallow",Data!$C$4:$C$2311,"Australia",Data!$E$4:$E$2311,2020,Data!$F$4:$F$2311,4)</f>
        <v>0</v>
      </c>
      <c r="F6" s="12" t="n">
        <f aca="false">SUMIFS(Data!$H$4:$H$2311,Data!$B$4:$B$2311,"Inedible Tallow",Data!$C$4:$C$2311,"Australia",Data!$E$4:$E$2311,2020,Data!$F$4:$F$2311,5)</f>
        <v>0</v>
      </c>
      <c r="G6" s="12" t="n">
        <f aca="false">SUMIFS(Data!$H$4:$H$2311,Data!$B$4:$B$2311,"Inedible Tallow",Data!$C$4:$C$2311,"Australia",Data!$E$4:$E$2311,2020,Data!$F$4:$F$2311,6)</f>
        <v>0</v>
      </c>
      <c r="H6" s="12" t="n">
        <f aca="false">SUMIFS(Data!$H$4:$H$2311,Data!$B$4:$B$2311,"Inedible Tallow",Data!$C$4:$C$2311,"Australia",Data!$E$4:$E$2311,2020,Data!$F$4:$F$2311,7)</f>
        <v>0</v>
      </c>
      <c r="I6" s="12" t="n">
        <f aca="false">SUMIFS(Data!$H$4:$H$2311,Data!$B$4:$B$2311,"Inedible Tallow",Data!$C$4:$C$2311,"Australia",Data!$E$4:$E$2311,2020,Data!$F$4:$F$2311,8)</f>
        <v>0</v>
      </c>
      <c r="J6" s="12" t="n">
        <f aca="false">SUMIFS(Data!$H$4:$H$2311,Data!$B$4:$B$2311,"Inedible Tallow",Data!$C$4:$C$2311,"Australia",Data!$E$4:$E$2311,2020,Data!$F$4:$F$2311,9)</f>
        <v>41.9188775155335</v>
      </c>
      <c r="K6" s="12" t="n">
        <f aca="false">SUMIFS(Data!$H$4:$H$2311,Data!$B$4:$B$2311,"Inedible Tallow",Data!$C$4:$C$2311,"Australia",Data!$E$4:$E$2311,2020,Data!$F$4:$F$2311,10)</f>
        <v>0</v>
      </c>
      <c r="L6" s="12" t="n">
        <f aca="false">SUMIFS(Data!$H$4:$H$2311,Data!$B$4:$B$2311,"Inedible Tallow",Data!$C$4:$C$2311,"Australia",Data!$E$4:$E$2311,2020,Data!$F$4:$F$2311,11)</f>
        <v>0</v>
      </c>
      <c r="M6" s="12" t="n">
        <f aca="false">SUMIFS(Data!$H$4:$H$2311,Data!$B$4:$B$2311,"Inedible Tallow",Data!$C$4:$C$2311,"Australia",Data!$E$4:$E$2311,2020,Data!$F$4:$F$2311,12)</f>
        <v>0</v>
      </c>
      <c r="N6" s="13" t="n">
        <f aca="false">SUM(B6:M6)</f>
        <v>61.5024564897674</v>
      </c>
      <c r="Q6" s="4" t="s">
        <v>46</v>
      </c>
      <c r="R6" s="5" t="n">
        <f aca="false">SUMIFS(Data!$H$4:$H$2311,Data!$B$4:$B$2311,"Inedible Tallow",Data!$C$4:$C$2311,"World Total",Data!$E$4:$E$2311,2020,Data!$F$4:$F$2311,11)</f>
        <v>43.2556173729529</v>
      </c>
      <c r="S6" s="5" t="n">
        <f aca="false">SUMIFS(Data!$H$4:$H$2311,Data!$B$4:$B$2311,"Inedible Tallow",Data!$C$4:$C$2311,"World Total",Data!$E$4:$E$2311,2021,Data!$F$4:$F$2311,11)</f>
        <v>67.2934335293536</v>
      </c>
      <c r="T6" s="5" t="n">
        <f aca="false">SUMIFS(Data!$H$4:$H$2311,Data!$B$4:$B$2311,"Inedible Tallow",Data!$C$4:$C$2311,"World Total",Data!$E$4:$E$2311,2022,Data!$F$4:$F$2311,11)</f>
        <v>158.688266736145</v>
      </c>
      <c r="U6" s="5" t="n">
        <f aca="false">SUMIFS(Data!$H$4:$H$2311,Data!$B$4:$B$2311,"Inedible Tallow",Data!$C$4:$C$2311,"World Total",Data!$E$4:$E$2311,2023,Data!$F$4:$F$2311,11)</f>
        <v>264.017187943586</v>
      </c>
      <c r="V6" s="5" t="n">
        <f aca="false">SUMIFS(Data!$H$4:$H$2311,Data!$B$4:$B$2311,"Inedible Tallow",Data!$C$4:$C$2311,"World Total",Data!$E$4:$E$2311,2024,Data!$F$4:$F$2311,11)</f>
        <v>228.669379954644</v>
      </c>
      <c r="W6" s="5" t="n">
        <f aca="false">SUMIFS(Data!$H$4:$H$2311,Data!$B$4:$B$2311,"Inedible Tallow",Data!$C$4:$C$2311,"World Total",Data!$E$4:$E$2311,2025,Data!$F$4:$F$2311,11)</f>
        <v>123.499061503242</v>
      </c>
    </row>
    <row r="7" customFormat="false" ht="15" hidden="false" customHeight="false" outlineLevel="0" collapsed="false">
      <c r="A7" s="11" t="s">
        <v>92</v>
      </c>
      <c r="B7" s="12" t="n">
        <f aca="false">SUMIFS(Data!$H$4:$H$2311,Data!$B$4:$B$2311,"Inedible Tallow",Data!$C$4:$C$2311,"Colombia",Data!$E$4:$E$2311,2020,Data!$F$4:$F$2311,1)</f>
        <v>0</v>
      </c>
      <c r="C7" s="12" t="n">
        <f aca="false">SUMIFS(Data!$H$4:$H$2311,Data!$B$4:$B$2311,"Inedible Tallow",Data!$C$4:$C$2311,"Colombia",Data!$E$4:$E$2311,2020,Data!$F$4:$F$2311,2)</f>
        <v>0</v>
      </c>
      <c r="D7" s="12" t="n">
        <f aca="false">SUMIFS(Data!$H$4:$H$2311,Data!$B$4:$B$2311,"Inedible Tallow",Data!$C$4:$C$2311,"Colombia",Data!$E$4:$E$2311,2020,Data!$F$4:$F$2311,3)</f>
        <v>0.973142471510809</v>
      </c>
      <c r="E7" s="12" t="n">
        <f aca="false">SUMIFS(Data!$H$4:$H$2311,Data!$B$4:$B$2311,"Inedible Tallow",Data!$C$4:$C$2311,"Colombia",Data!$E$4:$E$2311,2020,Data!$F$4:$F$2311,4)</f>
        <v>0.726092460506298</v>
      </c>
      <c r="F7" s="12" t="n">
        <f aca="false">SUMIFS(Data!$H$4:$H$2311,Data!$B$4:$B$2311,"Inedible Tallow",Data!$C$4:$C$2311,"Colombia",Data!$E$4:$E$2311,2020,Data!$F$4:$F$2311,5)</f>
        <v>1.31752657127</v>
      </c>
      <c r="G7" s="12" t="n">
        <f aca="false">SUMIFS(Data!$H$4:$H$2311,Data!$B$4:$B$2311,"Inedible Tallow",Data!$C$4:$C$2311,"Colombia",Data!$E$4:$E$2311,2020,Data!$F$4:$F$2311,6)</f>
        <v>0</v>
      </c>
      <c r="H7" s="12" t="n">
        <f aca="false">SUMIFS(Data!$H$4:$H$2311,Data!$B$4:$B$2311,"Inedible Tallow",Data!$C$4:$C$2311,"Colombia",Data!$E$4:$E$2311,2020,Data!$F$4:$F$2311,7)</f>
        <v>6.71777393434041</v>
      </c>
      <c r="I7" s="12" t="n">
        <f aca="false">SUMIFS(Data!$H$4:$H$2311,Data!$B$4:$B$2311,"Inedible Tallow",Data!$C$4:$C$2311,"Colombia",Data!$E$4:$E$2311,2020,Data!$F$4:$F$2311,8)</f>
        <v>0</v>
      </c>
      <c r="J7" s="12" t="n">
        <f aca="false">SUMIFS(Data!$H$4:$H$2311,Data!$B$4:$B$2311,"Inedible Tallow",Data!$C$4:$C$2311,"Colombia",Data!$E$4:$E$2311,2020,Data!$F$4:$F$2311,9)</f>
        <v>0</v>
      </c>
      <c r="K7" s="12" t="n">
        <f aca="false">SUMIFS(Data!$H$4:$H$2311,Data!$B$4:$B$2311,"Inedible Tallow",Data!$C$4:$C$2311,"Colombia",Data!$E$4:$E$2311,2020,Data!$F$4:$F$2311,10)</f>
        <v>0</v>
      </c>
      <c r="L7" s="12" t="n">
        <f aca="false">SUMIFS(Data!$H$4:$H$2311,Data!$B$4:$B$2311,"Inedible Tallow",Data!$C$4:$C$2311,"Colombia",Data!$E$4:$E$2311,2020,Data!$F$4:$F$2311,11)</f>
        <v>0</v>
      </c>
      <c r="M7" s="12" t="n">
        <f aca="false">SUMIFS(Data!$H$4:$H$2311,Data!$B$4:$B$2311,"Inedible Tallow",Data!$C$4:$C$2311,"Colombia",Data!$E$4:$E$2311,2020,Data!$F$4:$F$2311,12)</f>
        <v>0</v>
      </c>
      <c r="N7" s="13" t="n">
        <f aca="false">SUM(B7:M7)</f>
        <v>9.73453543762752</v>
      </c>
      <c r="Q7" s="4" t="s">
        <v>48</v>
      </c>
      <c r="R7" s="5" t="n">
        <f aca="false">SUMIFS(Data!$H$4:$H$2311,Data!$B$4:$B$2311,"Inedible Tallow",Data!$C$4:$C$2311,"World Total",Data!$E$4:$E$2311,2020,Data!$F$4:$F$2311,12)</f>
        <v>40.340722662531</v>
      </c>
      <c r="S7" s="5" t="n">
        <f aca="false">SUMIFS(Data!$H$4:$H$2311,Data!$B$4:$B$2311,"Inedible Tallow",Data!$C$4:$C$2311,"World Total",Data!$E$4:$E$2311,2021,Data!$F$4:$F$2311,12)</f>
        <v>77.2555764110835</v>
      </c>
      <c r="T7" s="5" t="n">
        <f aca="false">SUMIFS(Data!$H$4:$H$2311,Data!$B$4:$B$2311,"Inedible Tallow",Data!$C$4:$C$2311,"World Total",Data!$E$4:$E$2311,2022,Data!$F$4:$F$2311,12)</f>
        <v>135.887411421921</v>
      </c>
      <c r="U7" s="5" t="n">
        <f aca="false">SUMIFS(Data!$H$4:$H$2311,Data!$B$4:$B$2311,"Inedible Tallow",Data!$C$4:$C$2311,"World Total",Data!$E$4:$E$2311,2023,Data!$F$4:$F$2311,12)</f>
        <v>197.243075319035</v>
      </c>
      <c r="V7" s="5" t="n">
        <f aca="false">SUMIFS(Data!$H$4:$H$2311,Data!$B$4:$B$2311,"Inedible Tallow",Data!$C$4:$C$2311,"World Total",Data!$E$4:$E$2311,2024,Data!$F$4:$F$2311,12)</f>
        <v>178.404297232877</v>
      </c>
      <c r="W7" s="5" t="n">
        <f aca="false">SUMIFS(Data!$H$4:$H$2311,Data!$B$4:$B$2311,"Inedible Tallow",Data!$C$4:$C$2311,"World Total",Data!$E$4:$E$2311,2025,Data!$F$4:$F$2311,12)</f>
        <v>216.041727068854</v>
      </c>
    </row>
    <row r="8" customFormat="false" ht="15" hidden="false" customHeight="false" outlineLevel="0" collapsed="false">
      <c r="A8" s="11" t="s">
        <v>68</v>
      </c>
      <c r="B8" s="12" t="n">
        <f aca="false">SUMIFS(Data!$H$4:$H$2311,Data!$B$4:$B$2311,"Inedible Tallow",Data!$C$4:$C$2311,"Argentina",Data!$E$4:$E$2311,2020,Data!$F$4:$F$2311,1)</f>
        <v>0.092197318045767</v>
      </c>
      <c r="C8" s="12" t="n">
        <f aca="false">SUMIFS(Data!$H$4:$H$2311,Data!$B$4:$B$2311,"Inedible Tallow",Data!$C$4:$C$2311,"Argentina",Data!$E$4:$E$2311,2020,Data!$F$4:$F$2311,2)</f>
        <v>0</v>
      </c>
      <c r="D8" s="12" t="n">
        <f aca="false">SUMIFS(Data!$H$4:$H$2311,Data!$B$4:$B$2311,"Inedible Tallow",Data!$C$4:$C$2311,"Argentina",Data!$E$4:$E$2311,2020,Data!$F$4:$F$2311,3)</f>
        <v>0</v>
      </c>
      <c r="E8" s="12" t="n">
        <f aca="false">SUMIFS(Data!$H$4:$H$2311,Data!$B$4:$B$2311,"Inedible Tallow",Data!$C$4:$C$2311,"Argentina",Data!$E$4:$E$2311,2020,Data!$F$4:$F$2311,4)</f>
        <v>0.558607279924353</v>
      </c>
      <c r="F8" s="12" t="n">
        <f aca="false">SUMIFS(Data!$H$4:$H$2311,Data!$B$4:$B$2311,"Inedible Tallow",Data!$C$4:$C$2311,"Argentina",Data!$E$4:$E$2311,2020,Data!$F$4:$F$2311,5)</f>
        <v>1.11165891084164</v>
      </c>
      <c r="G8" s="12" t="n">
        <f aca="false">SUMIFS(Data!$H$4:$H$2311,Data!$B$4:$B$2311,"Inedible Tallow",Data!$C$4:$C$2311,"Argentina",Data!$E$4:$E$2311,2020,Data!$F$4:$F$2311,6)</f>
        <v>0.554947606372082</v>
      </c>
      <c r="H8" s="12" t="n">
        <f aca="false">SUMIFS(Data!$H$4:$H$2311,Data!$B$4:$B$2311,"Inedible Tallow",Data!$C$4:$C$2311,"Argentina",Data!$E$4:$E$2311,2020,Data!$F$4:$F$2311,7)</f>
        <v>0</v>
      </c>
      <c r="I8" s="12" t="n">
        <f aca="false">SUMIFS(Data!$H$4:$H$2311,Data!$B$4:$B$2311,"Inedible Tallow",Data!$C$4:$C$2311,"Argentina",Data!$E$4:$E$2311,2020,Data!$F$4:$F$2311,8)</f>
        <v>0</v>
      </c>
      <c r="J8" s="12" t="n">
        <f aca="false">SUMIFS(Data!$H$4:$H$2311,Data!$B$4:$B$2311,"Inedible Tallow",Data!$C$4:$C$2311,"Argentina",Data!$E$4:$E$2311,2020,Data!$F$4:$F$2311,9)</f>
        <v>0</v>
      </c>
      <c r="K8" s="12" t="n">
        <f aca="false">SUMIFS(Data!$H$4:$H$2311,Data!$B$4:$B$2311,"Inedible Tallow",Data!$C$4:$C$2311,"Argentina",Data!$E$4:$E$2311,2020,Data!$F$4:$F$2311,10)</f>
        <v>0.901778837241524</v>
      </c>
      <c r="L8" s="12" t="n">
        <f aca="false">SUMIFS(Data!$H$4:$H$2311,Data!$B$4:$B$2311,"Inedible Tallow",Data!$C$4:$C$2311,"Argentina",Data!$E$4:$E$2311,2020,Data!$F$4:$F$2311,11)</f>
        <v>0</v>
      </c>
      <c r="M8" s="12" t="n">
        <f aca="false">SUMIFS(Data!$H$4:$H$2311,Data!$B$4:$B$2311,"Inedible Tallow",Data!$C$4:$C$2311,"Argentina",Data!$E$4:$E$2311,2020,Data!$F$4:$F$2311,12)</f>
        <v>0.929777544539019</v>
      </c>
      <c r="N8" s="13" t="n">
        <f aca="false">SUM(B8:M8)</f>
        <v>4.14896749696439</v>
      </c>
      <c r="Q8" s="4" t="s">
        <v>50</v>
      </c>
      <c r="R8" s="5" t="n">
        <f aca="false">SUMIFS(Data!$H$4:$H$2311,Data!$B$4:$B$2311,"Inedible Tallow",Data!$C$4:$C$2311,"World Total",Data!$E$4:$E$2311,2021,Data!$F$4:$F$2311,1)</f>
        <v>35.7867196928577</v>
      </c>
      <c r="S8" s="5" t="n">
        <f aca="false">SUMIFS(Data!$H$4:$H$2311,Data!$B$4:$B$2311,"Inedible Tallow",Data!$C$4:$C$2311,"World Total",Data!$E$4:$E$2311,2022,Data!$F$4:$F$2311,1)</f>
        <v>71.8608935155106</v>
      </c>
      <c r="T8" s="5" t="n">
        <f aca="false">SUMIFS(Data!$H$4:$H$2311,Data!$B$4:$B$2311,"Inedible Tallow",Data!$C$4:$C$2311,"World Total",Data!$E$4:$E$2311,2023,Data!$F$4:$F$2311,1)</f>
        <v>103.966371832988</v>
      </c>
      <c r="U8" s="5" t="n">
        <f aca="false">SUMIFS(Data!$H$4:$H$2311,Data!$B$4:$B$2311,"Inedible Tallow",Data!$C$4:$C$2311,"World Total",Data!$E$4:$E$2311,2024,Data!$F$4:$F$2311,1)</f>
        <v>216.560124236778</v>
      </c>
      <c r="V8" s="5" t="n">
        <f aca="false">SUMIFS(Data!$H$4:$H$2311,Data!$B$4:$B$2311,"Inedible Tallow",Data!$C$4:$C$2311,"World Total",Data!$E$4:$E$2311,2025,Data!$F$4:$F$2311,1)</f>
        <v>175.644671889089</v>
      </c>
      <c r="W8" s="5" t="n">
        <f aca="false">SUMIFS(Data!$H$4:$H$2311,Data!$B$4:$B$2311,"Inedible Tallow",Data!$C$4:$C$2311,"World Total",Data!$E$4:$E$2311,2026,Data!$F$4:$F$2311,1)</f>
        <v>100.083213480917</v>
      </c>
    </row>
    <row r="9" customFormat="false" ht="15" hidden="false" customHeight="false" outlineLevel="0" collapsed="false">
      <c r="A9" s="11" t="s">
        <v>78</v>
      </c>
      <c r="B9" s="12" t="n">
        <f aca="false">SUMIFS(Data!$H$4:$H$2311,Data!$B$4:$B$2311,"Inedible Tallow",Data!$C$4:$C$2311,"New Zealand",Data!$E$4:$E$2311,2020,Data!$F$4:$F$2311,1)</f>
        <v>0</v>
      </c>
      <c r="C9" s="12" t="n">
        <f aca="false">SUMIFS(Data!$H$4:$H$2311,Data!$B$4:$B$2311,"Inedible Tallow",Data!$C$4:$C$2311,"New Zealand",Data!$E$4:$E$2311,2020,Data!$F$4:$F$2311,2)</f>
        <v>0</v>
      </c>
      <c r="D9" s="12" t="n">
        <f aca="false">SUMIFS(Data!$H$4:$H$2311,Data!$B$4:$B$2311,"Inedible Tallow",Data!$C$4:$C$2311,"New Zealand",Data!$E$4:$E$2311,2020,Data!$F$4:$F$2311,3)</f>
        <v>0</v>
      </c>
      <c r="E9" s="12" t="n">
        <f aca="false">SUMIFS(Data!$H$4:$H$2311,Data!$B$4:$B$2311,"Inedible Tallow",Data!$C$4:$C$2311,"New Zealand",Data!$E$4:$E$2311,2020,Data!$F$4:$F$2311,4)</f>
        <v>0.0411426673689647</v>
      </c>
      <c r="F9" s="12" t="n">
        <f aca="false">SUMIFS(Data!$H$4:$H$2311,Data!$B$4:$B$2311,"Inedible Tallow",Data!$C$4:$C$2311,"New Zealand",Data!$E$4:$E$2311,2020,Data!$F$4:$F$2311,5)</f>
        <v>0</v>
      </c>
      <c r="G9" s="12" t="n">
        <f aca="false">SUMIFS(Data!$H$4:$H$2311,Data!$B$4:$B$2311,"Inedible Tallow",Data!$C$4:$C$2311,"New Zealand",Data!$E$4:$E$2311,2020,Data!$F$4:$F$2311,6)</f>
        <v>0.040300501527418</v>
      </c>
      <c r="H9" s="12" t="n">
        <f aca="false">SUMIFS(Data!$H$4:$H$2311,Data!$B$4:$B$2311,"Inedible Tallow",Data!$C$4:$C$2311,"New Zealand",Data!$E$4:$E$2311,2020,Data!$F$4:$F$2311,7)</f>
        <v>0</v>
      </c>
      <c r="I9" s="12" t="n">
        <f aca="false">SUMIFS(Data!$H$4:$H$2311,Data!$B$4:$B$2311,"Inedible Tallow",Data!$C$4:$C$2311,"New Zealand",Data!$E$4:$E$2311,2020,Data!$F$4:$F$2311,8)</f>
        <v>0.0291914081359159</v>
      </c>
      <c r="J9" s="12" t="n">
        <f aca="false">SUMIFS(Data!$H$4:$H$2311,Data!$B$4:$B$2311,"Inedible Tallow",Data!$C$4:$C$2311,"New Zealand",Data!$E$4:$E$2311,2020,Data!$F$4:$F$2311,9)</f>
        <v>0.0281353939000497</v>
      </c>
      <c r="K9" s="12" t="n">
        <f aca="false">SUMIFS(Data!$H$4:$H$2311,Data!$B$4:$B$2311,"Inedible Tallow",Data!$C$4:$C$2311,"New Zealand",Data!$E$4:$E$2311,2020,Data!$F$4:$F$2311,10)</f>
        <v>0</v>
      </c>
      <c r="L9" s="12" t="n">
        <f aca="false">SUMIFS(Data!$H$4:$H$2311,Data!$B$4:$B$2311,"Inedible Tallow",Data!$C$4:$C$2311,"New Zealand",Data!$E$4:$E$2311,2020,Data!$F$4:$F$2311,11)</f>
        <v>0.023604894412148</v>
      </c>
      <c r="M9" s="12" t="n">
        <f aca="false">SUMIFS(Data!$H$4:$H$2311,Data!$B$4:$B$2311,"Inedible Tallow",Data!$C$4:$C$2311,"New Zealand",Data!$E$4:$E$2311,2020,Data!$F$4:$F$2311,12)</f>
        <v>0</v>
      </c>
      <c r="N9" s="13" t="n">
        <f aca="false">SUM(B9:M9)</f>
        <v>0.162374865344496</v>
      </c>
      <c r="Q9" s="4" t="s">
        <v>52</v>
      </c>
      <c r="R9" s="5" t="n">
        <f aca="false">SUMIFS(Data!$H$4:$H$2311,Data!$B$4:$B$2311,"Inedible Tallow",Data!$C$4:$C$2311,"World Total",Data!$E$4:$E$2311,2021,Data!$F$4:$F$2311,2)</f>
        <v>30.984383621814</v>
      </c>
      <c r="S9" s="5" t="n">
        <f aca="false">SUMIFS(Data!$H$4:$H$2311,Data!$B$4:$B$2311,"Inedible Tallow",Data!$C$4:$C$2311,"World Total",Data!$E$4:$E$2311,2022,Data!$F$4:$F$2311,2)</f>
        <v>30.7510595912531</v>
      </c>
      <c r="T9" s="5" t="n">
        <f aca="false">SUMIFS(Data!$H$4:$H$2311,Data!$B$4:$B$2311,"Inedible Tallow",Data!$C$4:$C$2311,"World Total",Data!$E$4:$E$2311,2023,Data!$F$4:$F$2311,2)</f>
        <v>62.7848920827654</v>
      </c>
      <c r="U9" s="5" t="n">
        <f aca="false">SUMIFS(Data!$H$4:$H$2311,Data!$B$4:$B$2311,"Inedible Tallow",Data!$C$4:$C$2311,"World Total",Data!$E$4:$E$2311,2024,Data!$F$4:$F$2311,2)</f>
        <v>164.072530585207</v>
      </c>
      <c r="V9" s="5" t="n">
        <f aca="false">SUMIFS(Data!$H$4:$H$2311,Data!$B$4:$B$2311,"Inedible Tallow",Data!$C$4:$C$2311,"World Total",Data!$E$4:$E$2311,2025,Data!$F$4:$F$2311,2)</f>
        <v>131.335489616003</v>
      </c>
      <c r="W9" s="5" t="n">
        <f aca="false">SUMIFS(Data!$H$4:$H$2311,Data!$B$4:$B$2311,"Inedible Tallow",Data!$C$4:$C$2311,"World Total",Data!$E$4:$E$2311,2026,Data!$F$4:$F$2311,2)</f>
        <v>144.17394410765</v>
      </c>
    </row>
    <row r="10" customFormat="false" ht="15" hidden="false" customHeight="false" outlineLevel="0" collapsed="false">
      <c r="A10" s="11" t="s">
        <v>70</v>
      </c>
      <c r="B10" s="12" t="n">
        <f aca="false">SUMIFS(Data!$H$4:$H$2311,Data!$B$4:$B$2311,"Inedible Tallow",Data!$C$4:$C$2311,"Sweden",Data!$E$4:$E$2311,2020,Data!$F$4:$F$2311,1)</f>
        <v>0</v>
      </c>
      <c r="C10" s="12" t="n">
        <f aca="false">SUMIFS(Data!$H$4:$H$2311,Data!$B$4:$B$2311,"Inedible Tallow",Data!$C$4:$C$2311,"Sweden",Data!$E$4:$E$2311,2020,Data!$F$4:$F$2311,2)</f>
        <v>0</v>
      </c>
      <c r="D10" s="12" t="n">
        <f aca="false">SUMIFS(Data!$H$4:$H$2311,Data!$B$4:$B$2311,"Inedible Tallow",Data!$C$4:$C$2311,"Sweden",Data!$E$4:$E$2311,2020,Data!$F$4:$F$2311,3)</f>
        <v>0.00033730726114305</v>
      </c>
      <c r="E10" s="12" t="n">
        <f aca="false">SUMIFS(Data!$H$4:$H$2311,Data!$B$4:$B$2311,"Inedible Tallow",Data!$C$4:$C$2311,"Sweden",Data!$E$4:$E$2311,2020,Data!$F$4:$F$2311,4)</f>
        <v>0</v>
      </c>
      <c r="F10" s="12" t="n">
        <f aca="false">SUMIFS(Data!$H$4:$H$2311,Data!$B$4:$B$2311,"Inedible Tallow",Data!$C$4:$C$2311,"Sweden",Data!$E$4:$E$2311,2020,Data!$F$4:$F$2311,5)</f>
        <v>0</v>
      </c>
      <c r="G10" s="12" t="n">
        <f aca="false">SUMIFS(Data!$H$4:$H$2311,Data!$B$4:$B$2311,"Inedible Tallow",Data!$C$4:$C$2311,"Sweden",Data!$E$4:$E$2311,2020,Data!$F$4:$F$2311,6)</f>
        <v>0</v>
      </c>
      <c r="H10" s="12" t="n">
        <f aca="false">SUMIFS(Data!$H$4:$H$2311,Data!$B$4:$B$2311,"Inedible Tallow",Data!$C$4:$C$2311,"Sweden",Data!$E$4:$E$2311,2020,Data!$F$4:$F$2311,7)</f>
        <v>0</v>
      </c>
      <c r="I10" s="12" t="n">
        <f aca="false">SUMIFS(Data!$H$4:$H$2311,Data!$B$4:$B$2311,"Inedible Tallow",Data!$C$4:$C$2311,"Sweden",Data!$E$4:$E$2311,2020,Data!$F$4:$F$2311,8)</f>
        <v>0</v>
      </c>
      <c r="J10" s="12" t="n">
        <f aca="false">SUMIFS(Data!$H$4:$H$2311,Data!$B$4:$B$2311,"Inedible Tallow",Data!$C$4:$C$2311,"Sweden",Data!$E$4:$E$2311,2020,Data!$F$4:$F$2311,9)</f>
        <v>0</v>
      </c>
      <c r="K10" s="12" t="n">
        <f aca="false">SUMIFS(Data!$H$4:$H$2311,Data!$B$4:$B$2311,"Inedible Tallow",Data!$C$4:$C$2311,"Sweden",Data!$E$4:$E$2311,2020,Data!$F$4:$F$2311,10)</f>
        <v>0</v>
      </c>
      <c r="L10" s="12" t="n">
        <f aca="false">SUMIFS(Data!$H$4:$H$2311,Data!$B$4:$B$2311,"Inedible Tallow",Data!$C$4:$C$2311,"Sweden",Data!$E$4:$E$2311,2020,Data!$F$4:$F$2311,11)</f>
        <v>0</v>
      </c>
      <c r="M10" s="12" t="n">
        <f aca="false">SUMIFS(Data!$H$4:$H$2311,Data!$B$4:$B$2311,"Inedible Tallow",Data!$C$4:$C$2311,"Sweden",Data!$E$4:$E$2311,2020,Data!$F$4:$F$2311,12)</f>
        <v>0</v>
      </c>
      <c r="N10" s="13" t="n">
        <f aca="false">SUM(B10:M10)</f>
        <v>0.00033730726114305</v>
      </c>
      <c r="Q10" s="4" t="s">
        <v>54</v>
      </c>
      <c r="R10" s="5" t="n">
        <f aca="false">SUMIFS(Data!$H$4:$H$2311,Data!$B$4:$B$2311,"Inedible Tallow",Data!$C$4:$C$2311,"World Total",Data!$E$4:$E$2311,2021,Data!$F$4:$F$2311,3)</f>
        <v>35.1394954020255</v>
      </c>
      <c r="S10" s="5" t="n">
        <f aca="false">SUMIFS(Data!$H$4:$H$2311,Data!$B$4:$B$2311,"Inedible Tallow",Data!$C$4:$C$2311,"World Total",Data!$E$4:$E$2311,2022,Data!$F$4:$F$2311,3)</f>
        <v>76.3179967070858</v>
      </c>
      <c r="T10" s="5" t="n">
        <f aca="false">SUMIFS(Data!$H$4:$H$2311,Data!$B$4:$B$2311,"Inedible Tallow",Data!$C$4:$C$2311,"World Total",Data!$E$4:$E$2311,2023,Data!$F$4:$F$2311,3)</f>
        <v>140.569231797341</v>
      </c>
      <c r="U10" s="5" t="n">
        <f aca="false">SUMIFS(Data!$H$4:$H$2311,Data!$B$4:$B$2311,"Inedible Tallow",Data!$C$4:$C$2311,"World Total",Data!$E$4:$E$2311,2024,Data!$F$4:$F$2311,3)</f>
        <v>131.5541793616</v>
      </c>
      <c r="V10" s="5" t="n">
        <f aca="false">SUMIFS(Data!$H$4:$H$2311,Data!$B$4:$B$2311,"Inedible Tallow",Data!$C$4:$C$2311,"World Total",Data!$E$4:$E$2311,2025,Data!$F$4:$F$2311,3)</f>
        <v>165.390826569772</v>
      </c>
      <c r="W10" s="5" t="n">
        <f aca="false">SUMIFS(Data!$H$4:$H$2311,Data!$B$4:$B$2311,"Inedible Tallow",Data!$C$4:$C$2311,"World Total",Data!$E$4:$E$2311,2026,Data!$F$4:$F$2311,3)</f>
        <v>99.8848437420258</v>
      </c>
    </row>
    <row r="11" customFormat="false" ht="15" hidden="false" customHeight="false" outlineLevel="0" collapsed="false">
      <c r="A11" s="11" t="s">
        <v>53</v>
      </c>
      <c r="B11" s="12" t="n">
        <f aca="false">SUMIFS(Data!$H$4:$H$2311,Data!$B$4:$B$2311,"Inedible Tallow",Data!$C$4:$C$2311,"France",Data!$E$4:$E$2311,2020,Data!$F$4:$F$2311,1)</f>
        <v>0</v>
      </c>
      <c r="C11" s="12" t="n">
        <f aca="false">SUMIFS(Data!$H$4:$H$2311,Data!$B$4:$B$2311,"Inedible Tallow",Data!$C$4:$C$2311,"France",Data!$E$4:$E$2311,2020,Data!$F$4:$F$2311,2)</f>
        <v>0</v>
      </c>
      <c r="D11" s="12" t="n">
        <f aca="false">SUMIFS(Data!$H$4:$H$2311,Data!$B$4:$B$2311,"Inedible Tallow",Data!$C$4:$C$2311,"France",Data!$E$4:$E$2311,2020,Data!$F$4:$F$2311,3)</f>
        <v>0</v>
      </c>
      <c r="E11" s="12" t="n">
        <f aca="false">SUMIFS(Data!$H$4:$H$2311,Data!$B$4:$B$2311,"Inedible Tallow",Data!$C$4:$C$2311,"France",Data!$E$4:$E$2311,2020,Data!$F$4:$F$2311,4)</f>
        <v>0</v>
      </c>
      <c r="F11" s="12" t="n">
        <f aca="false">SUMIFS(Data!$H$4:$H$2311,Data!$B$4:$B$2311,"Inedible Tallow",Data!$C$4:$C$2311,"France",Data!$E$4:$E$2311,2020,Data!$F$4:$F$2311,5)</f>
        <v>0</v>
      </c>
      <c r="G11" s="12" t="n">
        <f aca="false">SUMIFS(Data!$H$4:$H$2311,Data!$B$4:$B$2311,"Inedible Tallow",Data!$C$4:$C$2311,"France",Data!$E$4:$E$2311,2020,Data!$F$4:$F$2311,6)</f>
        <v>0</v>
      </c>
      <c r="H11" s="12" t="n">
        <f aca="false">SUMIFS(Data!$H$4:$H$2311,Data!$B$4:$B$2311,"Inedible Tallow",Data!$C$4:$C$2311,"France",Data!$E$4:$E$2311,2020,Data!$F$4:$F$2311,7)</f>
        <v>0</v>
      </c>
      <c r="I11" s="12" t="n">
        <f aca="false">SUMIFS(Data!$H$4:$H$2311,Data!$B$4:$B$2311,"Inedible Tallow",Data!$C$4:$C$2311,"France",Data!$E$4:$E$2311,2020,Data!$F$4:$F$2311,8)</f>
        <v>0</v>
      </c>
      <c r="J11" s="12" t="n">
        <f aca="false">SUMIFS(Data!$H$4:$H$2311,Data!$B$4:$B$2311,"Inedible Tallow",Data!$C$4:$C$2311,"France",Data!$E$4:$E$2311,2020,Data!$F$4:$F$2311,9)</f>
        <v>6.61386786555E-006</v>
      </c>
      <c r="K11" s="12" t="n">
        <f aca="false">SUMIFS(Data!$H$4:$H$2311,Data!$B$4:$B$2311,"Inedible Tallow",Data!$C$4:$C$2311,"France",Data!$E$4:$E$2311,2020,Data!$F$4:$F$2311,10)</f>
        <v>0</v>
      </c>
      <c r="L11" s="12" t="n">
        <f aca="false">SUMIFS(Data!$H$4:$H$2311,Data!$B$4:$B$2311,"Inedible Tallow",Data!$C$4:$C$2311,"France",Data!$E$4:$E$2311,2020,Data!$F$4:$F$2311,11)</f>
        <v>0</v>
      </c>
      <c r="M11" s="12" t="n">
        <f aca="false">SUMIFS(Data!$H$4:$H$2311,Data!$B$4:$B$2311,"Inedible Tallow",Data!$C$4:$C$2311,"France",Data!$E$4:$E$2311,2020,Data!$F$4:$F$2311,12)</f>
        <v>0</v>
      </c>
      <c r="N11" s="13" t="n">
        <f aca="false">SUM(B11:M11)</f>
        <v>6.61386786555E-006</v>
      </c>
      <c r="Q11" s="4" t="s">
        <v>56</v>
      </c>
      <c r="R11" s="5" t="n">
        <f aca="false">SUMIFS(Data!$H$4:$H$2311,Data!$B$4:$B$2311,"Inedible Tallow",Data!$C$4:$C$2311,"World Total",Data!$E$4:$E$2311,2021,Data!$F$4:$F$2311,4)</f>
        <v>43.7617303836284</v>
      </c>
      <c r="S11" s="5" t="n">
        <f aca="false">SUMIFS(Data!$H$4:$H$2311,Data!$B$4:$B$2311,"Inedible Tallow",Data!$C$4:$C$2311,"World Total",Data!$E$4:$E$2311,2022,Data!$F$4:$F$2311,4)</f>
        <v>116.678666795099</v>
      </c>
      <c r="T11" s="5" t="n">
        <f aca="false">SUMIFS(Data!$H$4:$H$2311,Data!$B$4:$B$2311,"Inedible Tallow",Data!$C$4:$C$2311,"World Total",Data!$E$4:$E$2311,2023,Data!$F$4:$F$2311,4)</f>
        <v>135.70062036104</v>
      </c>
      <c r="U11" s="5" t="n">
        <f aca="false">SUMIFS(Data!$H$4:$H$2311,Data!$B$4:$B$2311,"Inedible Tallow",Data!$C$4:$C$2311,"World Total",Data!$E$4:$E$2311,2024,Data!$F$4:$F$2311,4)</f>
        <v>117.915418198127</v>
      </c>
      <c r="V11" s="5" t="n">
        <f aca="false">SUMIFS(Data!$H$4:$H$2311,Data!$B$4:$B$2311,"Inedible Tallow",Data!$C$4:$C$2311,"World Total",Data!$E$4:$E$2311,2025,Data!$F$4:$F$2311,4)</f>
        <v>245.557349212161</v>
      </c>
      <c r="W11" s="5" t="n">
        <f aca="false">SUMIFS(Data!$H$4:$H$2311,Data!$B$4:$B$2311,"Inedible Tallow",Data!$C$4:$C$2311,"World Total",Data!$E$4:$E$2311,2026,Data!$F$4:$F$2311,4)</f>
        <v>198.474989780031</v>
      </c>
    </row>
    <row r="12" customFormat="false" ht="15" hidden="false" customHeight="false" outlineLevel="0" collapsed="false">
      <c r="Q12" s="4" t="s">
        <v>58</v>
      </c>
      <c r="R12" s="5" t="n">
        <f aca="false">SUMIFS(Data!$H$4:$H$2311,Data!$B$4:$B$2311,"Inedible Tallow",Data!$C$4:$C$2311,"World Total",Data!$E$4:$E$2311,2021,Data!$F$4:$F$2311,5)</f>
        <v>54.2607694217027</v>
      </c>
      <c r="S12" s="5" t="n">
        <f aca="false">SUMIFS(Data!$H$4:$H$2311,Data!$B$4:$B$2311,"Inedible Tallow",Data!$C$4:$C$2311,"World Total",Data!$E$4:$E$2311,2022,Data!$F$4:$F$2311,5)</f>
        <v>69.7092149059244</v>
      </c>
      <c r="T12" s="5" t="n">
        <f aca="false">SUMIFS(Data!$H$4:$H$2311,Data!$B$4:$B$2311,"Inedible Tallow",Data!$C$4:$C$2311,"World Total",Data!$E$4:$E$2311,2023,Data!$F$4:$F$2311,5)</f>
        <v>93.2088231555206</v>
      </c>
      <c r="U12" s="5" t="n">
        <f aca="false">SUMIFS(Data!$H$4:$H$2311,Data!$B$4:$B$2311,"Inedible Tallow",Data!$C$4:$C$2311,"World Total",Data!$E$4:$E$2311,2024,Data!$F$4:$F$2311,5)</f>
        <v>189.486295812356</v>
      </c>
      <c r="V12" s="5" t="n">
        <f aca="false">SUMIFS(Data!$H$4:$H$2311,Data!$B$4:$B$2311,"Inedible Tallow",Data!$C$4:$C$2311,"World Total",Data!$E$4:$E$2311,2025,Data!$F$4:$F$2311,5)</f>
        <v>209.513259669806</v>
      </c>
      <c r="W12" s="5" t="n">
        <f aca="false">SUMIFS(Data!$H$4:$H$2311,Data!$B$4:$B$2311,"Inedible Tallow",Data!$C$4:$C$2311,"World Total",Data!$E$4:$E$2311,2026,Data!$F$4:$F$2311,5)</f>
        <v>203.081184985654</v>
      </c>
    </row>
    <row r="13" customFormat="false" ht="15" hidden="false" customHeight="false" outlineLevel="0" collapsed="false">
      <c r="A13" s="8"/>
      <c r="B13" s="9" t="s">
        <v>80</v>
      </c>
      <c r="C13" s="9" t="s">
        <v>81</v>
      </c>
      <c r="D13" s="9" t="s">
        <v>82</v>
      </c>
      <c r="E13" s="9" t="s">
        <v>83</v>
      </c>
      <c r="F13" s="9" t="s">
        <v>84</v>
      </c>
      <c r="G13" s="9" t="s">
        <v>85</v>
      </c>
      <c r="H13" s="9" t="s">
        <v>86</v>
      </c>
      <c r="I13" s="9" t="s">
        <v>87</v>
      </c>
      <c r="J13" s="9" t="s">
        <v>88</v>
      </c>
      <c r="K13" s="9" t="s">
        <v>89</v>
      </c>
      <c r="L13" s="9" t="s">
        <v>90</v>
      </c>
      <c r="M13" s="9" t="s">
        <v>91</v>
      </c>
      <c r="N13" s="9" t="s">
        <v>33</v>
      </c>
      <c r="Q13" s="4" t="s">
        <v>60</v>
      </c>
      <c r="R13" s="5" t="n">
        <f aca="false">SUMIFS(Data!$H$4:$H$2311,Data!$B$4:$B$2311,"Inedible Tallow",Data!$C$4:$C$2311,"World Total",Data!$E$4:$E$2311,2021,Data!$F$4:$F$2311,6)</f>
        <v>71.898488945081</v>
      </c>
      <c r="S13" s="5" t="n">
        <f aca="false">SUMIFS(Data!$H$4:$H$2311,Data!$B$4:$B$2311,"Inedible Tallow",Data!$C$4:$C$2311,"World Total",Data!$E$4:$E$2311,2022,Data!$F$4:$F$2311,6)</f>
        <v>107.935424487028</v>
      </c>
      <c r="T13" s="5" t="n">
        <f aca="false">SUMIFS(Data!$H$4:$H$2311,Data!$B$4:$B$2311,"Inedible Tallow",Data!$C$4:$C$2311,"World Total",Data!$E$4:$E$2311,2023,Data!$F$4:$F$2311,6)</f>
        <v>132.718286244615</v>
      </c>
      <c r="U13" s="5" t="n">
        <f aca="false">SUMIFS(Data!$H$4:$H$2311,Data!$B$4:$B$2311,"Inedible Tallow",Data!$C$4:$C$2311,"World Total",Data!$E$4:$E$2311,2024,Data!$F$4:$F$2311,6)</f>
        <v>81.442315707428</v>
      </c>
      <c r="V13" s="5" t="n">
        <f aca="false">SUMIFS(Data!$H$4:$H$2311,Data!$B$4:$B$2311,"Inedible Tallow",Data!$C$4:$C$2311,"World Total",Data!$E$4:$E$2311,2025,Data!$F$4:$F$2311,6)</f>
        <v>143.797015368747</v>
      </c>
      <c r="W13" s="5" t="n">
        <f aca="false">SUMIFS(Data!$H$4:$H$2311,Data!$B$4:$B$2311,"Inedible Tallow",Data!$C$4:$C$2311,"World Total",Data!$E$4:$E$2311,2026,Data!$F$4:$F$2311,6)</f>
        <v>153.985553152137</v>
      </c>
    </row>
    <row r="14" customFormat="false" ht="15" hidden="false" customHeight="false" outlineLevel="0" collapsed="false">
      <c r="A14" s="10" t="s">
        <v>35</v>
      </c>
      <c r="B14" s="10" t="n">
        <f aca="false">SUM(B15:B22)</f>
        <v>35.7867196928577</v>
      </c>
      <c r="C14" s="10" t="n">
        <f aca="false">SUM(C15:C22)</f>
        <v>30.984383621814</v>
      </c>
      <c r="D14" s="10" t="n">
        <f aca="false">SUM(D15:D22)</f>
        <v>35.1394954020255</v>
      </c>
      <c r="E14" s="10" t="n">
        <f aca="false">SUM(E15:E22)</f>
        <v>43.7617303836284</v>
      </c>
      <c r="F14" s="10" t="n">
        <f aca="false">SUM(F15:F22)</f>
        <v>54.2607694217027</v>
      </c>
      <c r="G14" s="10" t="n">
        <f aca="false">SUM(G15:G22)</f>
        <v>71.898488945081</v>
      </c>
      <c r="H14" s="10" t="n">
        <f aca="false">SUM(H15:H22)</f>
        <v>43.048318912443</v>
      </c>
      <c r="I14" s="10" t="n">
        <f aca="false">SUM(I15:I22)</f>
        <v>67.4247166018621</v>
      </c>
      <c r="J14" s="10" t="n">
        <f aca="false">SUM(J15:J22)</f>
        <v>111.9123740993</v>
      </c>
      <c r="K14" s="10" t="n">
        <f aca="false">SUM(K15:K22)</f>
        <v>63.6754956879368</v>
      </c>
      <c r="L14" s="10" t="n">
        <f aca="false">SUM(L15:L22)</f>
        <v>67.2934335293536</v>
      </c>
      <c r="M14" s="10" t="n">
        <f aca="false">SUM(M15:M22)</f>
        <v>77.2555764110835</v>
      </c>
      <c r="N14" s="10" t="n">
        <f aca="false">SUM(B14:M14)</f>
        <v>702.441502709089</v>
      </c>
      <c r="Q14" s="4" t="s">
        <v>62</v>
      </c>
      <c r="R14" s="5" t="n">
        <f aca="false">SUMIFS(Data!$H$4:$H$2311,Data!$B$4:$B$2311,"Inedible Tallow",Data!$C$4:$C$2311,"World Total",Data!$E$4:$E$2311,2021,Data!$F$4:$F$2311,7)</f>
        <v>43.048318912443</v>
      </c>
      <c r="S14" s="5" t="n">
        <f aca="false">SUMIFS(Data!$H$4:$H$2311,Data!$B$4:$B$2311,"Inedible Tallow",Data!$C$4:$C$2311,"World Total",Data!$E$4:$E$2311,2022,Data!$F$4:$F$2311,7)</f>
        <v>75.7085442156337</v>
      </c>
      <c r="T14" s="5" t="n">
        <f aca="false">SUMIFS(Data!$H$4:$H$2311,Data!$B$4:$B$2311,"Inedible Tallow",Data!$C$4:$C$2311,"World Total",Data!$E$4:$E$2311,2023,Data!$F$4:$F$2311,7)</f>
        <v>132.69662141811</v>
      </c>
      <c r="U14" s="5" t="n">
        <f aca="false">SUMIFS(Data!$H$4:$H$2311,Data!$B$4:$B$2311,"Inedible Tallow",Data!$C$4:$C$2311,"World Total",Data!$E$4:$E$2311,2024,Data!$F$4:$F$2311,7)</f>
        <v>189.767142688154</v>
      </c>
      <c r="V14" s="5" t="n">
        <f aca="false">SUMIFS(Data!$H$4:$H$2311,Data!$B$4:$B$2311,"Inedible Tallow",Data!$C$4:$C$2311,"World Total",Data!$E$4:$E$2311,2025,Data!$F$4:$F$2311,7)</f>
        <v>354.467441769555</v>
      </c>
      <c r="W14" s="5" t="n">
        <f aca="false">SUMIFS(Data!$H$4:$H$2311,Data!$B$4:$B$2311,"Inedible Tallow",Data!$C$4:$C$2311,"World Total",Data!$E$4:$E$2311,2026,Data!$F$4:$F$2311,7)</f>
        <v>270.562813920499</v>
      </c>
    </row>
    <row r="15" customFormat="false" ht="15" hidden="false" customHeight="false" outlineLevel="0" collapsed="false">
      <c r="A15" s="11" t="s">
        <v>43</v>
      </c>
      <c r="B15" s="12" t="n">
        <f aca="false">SUMIFS(Data!$H$4:$H$2311,Data!$B$4:$B$2311,"Inedible Tallow",Data!$C$4:$C$2311,"Canada",Data!$E$4:$E$2311,2021,Data!$F$4:$F$2311,1)</f>
        <v>34.8901525834943</v>
      </c>
      <c r="C15" s="12" t="n">
        <f aca="false">SUMIFS(Data!$H$4:$H$2311,Data!$B$4:$B$2311,"Inedible Tallow",Data!$C$4:$C$2311,"Canada",Data!$E$4:$E$2311,2021,Data!$F$4:$F$2311,2)</f>
        <v>30.6334407697548</v>
      </c>
      <c r="D15" s="12" t="n">
        <f aca="false">SUMIFS(Data!$H$4:$H$2311,Data!$B$4:$B$2311,"Inedible Tallow",Data!$C$4:$C$2311,"Canada",Data!$E$4:$E$2311,2021,Data!$F$4:$F$2311,3)</f>
        <v>34.9614192143682</v>
      </c>
      <c r="E15" s="12" t="n">
        <f aca="false">SUMIFS(Data!$H$4:$H$2311,Data!$B$4:$B$2311,"Inedible Tallow",Data!$C$4:$C$2311,"Canada",Data!$E$4:$E$2311,2021,Data!$F$4:$F$2311,4)</f>
        <v>31.1332000580341</v>
      </c>
      <c r="F15" s="12" t="n">
        <f aca="false">SUMIFS(Data!$H$4:$H$2311,Data!$B$4:$B$2311,"Inedible Tallow",Data!$C$4:$C$2311,"Canada",Data!$E$4:$E$2311,2021,Data!$F$4:$F$2311,5)</f>
        <v>32.0827707044721</v>
      </c>
      <c r="G15" s="12" t="n">
        <f aca="false">SUMIFS(Data!$H$4:$H$2311,Data!$B$4:$B$2311,"Inedible Tallow",Data!$C$4:$C$2311,"Canada",Data!$E$4:$E$2311,2021,Data!$F$4:$F$2311,6)</f>
        <v>40.4646312723695</v>
      </c>
      <c r="H15" s="12" t="n">
        <f aca="false">SUMIFS(Data!$H$4:$H$2311,Data!$B$4:$B$2311,"Inedible Tallow",Data!$C$4:$C$2311,"Canada",Data!$E$4:$E$2311,2021,Data!$F$4:$F$2311,7)</f>
        <v>37.2157693040766</v>
      </c>
      <c r="I15" s="12" t="n">
        <f aca="false">SUMIFS(Data!$H$4:$H$2311,Data!$B$4:$B$2311,"Inedible Tallow",Data!$C$4:$C$2311,"Canada",Data!$E$4:$E$2311,2021,Data!$F$4:$F$2311,8)</f>
        <v>36.5625175749963</v>
      </c>
      <c r="J15" s="12" t="n">
        <f aca="false">SUMIFS(Data!$H$4:$H$2311,Data!$B$4:$B$2311,"Inedible Tallow",Data!$C$4:$C$2311,"Canada",Data!$E$4:$E$2311,2021,Data!$F$4:$F$2311,9)</f>
        <v>42.4041171592253</v>
      </c>
      <c r="K15" s="12" t="n">
        <f aca="false">SUMIFS(Data!$H$4:$H$2311,Data!$B$4:$B$2311,"Inedible Tallow",Data!$C$4:$C$2311,"Canada",Data!$E$4:$E$2311,2021,Data!$F$4:$F$2311,10)</f>
        <v>21.7454451449558</v>
      </c>
      <c r="L15" s="12" t="n">
        <f aca="false">SUMIFS(Data!$H$4:$H$2311,Data!$B$4:$B$2311,"Inedible Tallow",Data!$C$4:$C$2311,"Canada",Data!$E$4:$E$2311,2021,Data!$F$4:$F$2311,11)</f>
        <v>27.3331714111657</v>
      </c>
      <c r="M15" s="12" t="n">
        <f aca="false">SUMIFS(Data!$H$4:$H$2311,Data!$B$4:$B$2311,"Inedible Tallow",Data!$C$4:$C$2311,"Canada",Data!$E$4:$E$2311,2021,Data!$F$4:$F$2311,12)</f>
        <v>35.7941911589232</v>
      </c>
      <c r="N15" s="13" t="n">
        <f aca="false">SUM(B15:M15)</f>
        <v>405.220826355836</v>
      </c>
      <c r="Q15" s="4" t="s">
        <v>64</v>
      </c>
      <c r="R15" s="5" t="n">
        <f aca="false">SUMIFS(Data!$H$4:$H$2311,Data!$B$4:$B$2311,"Inedible Tallow",Data!$C$4:$C$2311,"World Total",Data!$E$4:$E$2311,2021,Data!$F$4:$F$2311,8)</f>
        <v>67.4247166018621</v>
      </c>
      <c r="S15" s="5" t="n">
        <f aca="false">SUMIFS(Data!$H$4:$H$2311,Data!$B$4:$B$2311,"Inedible Tallow",Data!$C$4:$C$2311,"World Total",Data!$E$4:$E$2311,2022,Data!$F$4:$F$2311,8)</f>
        <v>73.3685401278211</v>
      </c>
      <c r="T15" s="5" t="n">
        <f aca="false">SUMIFS(Data!$H$4:$H$2311,Data!$B$4:$B$2311,"Inedible Tallow",Data!$C$4:$C$2311,"World Total",Data!$E$4:$E$2311,2023,Data!$F$4:$F$2311,8)</f>
        <v>116.094576282289</v>
      </c>
      <c r="U15" s="5" t="n">
        <f aca="false">SUMIFS(Data!$H$4:$H$2311,Data!$B$4:$B$2311,"Inedible Tallow",Data!$C$4:$C$2311,"World Total",Data!$E$4:$E$2311,2024,Data!$F$4:$F$2311,8)</f>
        <v>124.631218995221</v>
      </c>
      <c r="V15" s="5" t="n">
        <f aca="false">SUMIFS(Data!$H$4:$H$2311,Data!$B$4:$B$2311,"Inedible Tallow",Data!$C$4:$C$2311,"World Total",Data!$E$4:$E$2311,2025,Data!$F$4:$F$2311,8)</f>
        <v>38.87888590368</v>
      </c>
      <c r="W15" s="5" t="n">
        <f aca="false">SUMIFS(Data!$H$4:$H$2311,Data!$B$4:$B$2311,"Inedible Tallow",Data!$C$4:$C$2311,"World Total",Data!$E$4:$E$2311,2026,Data!$F$4:$F$2311,8)</f>
        <v>249.720737145695</v>
      </c>
    </row>
    <row r="16" customFormat="false" ht="15" hidden="false" customHeight="false" outlineLevel="0" collapsed="false">
      <c r="A16" s="11" t="s">
        <v>109</v>
      </c>
      <c r="B16" s="12" t="n">
        <f aca="false">SUMIFS(Data!$H$4:$H$2311,Data!$B$4:$B$2311,"Inedible Tallow",Data!$C$4:$C$2311,"Australia",Data!$E$4:$E$2311,2021,Data!$F$4:$F$2311,1)</f>
        <v>0</v>
      </c>
      <c r="C16" s="12" t="n">
        <f aca="false">SUMIFS(Data!$H$4:$H$2311,Data!$B$4:$B$2311,"Inedible Tallow",Data!$C$4:$C$2311,"Australia",Data!$E$4:$E$2311,2021,Data!$F$4:$F$2311,2)</f>
        <v>0</v>
      </c>
      <c r="D16" s="12" t="n">
        <f aca="false">SUMIFS(Data!$H$4:$H$2311,Data!$B$4:$B$2311,"Inedible Tallow",Data!$C$4:$C$2311,"Australia",Data!$E$4:$E$2311,2021,Data!$F$4:$F$2311,3)</f>
        <v>0</v>
      </c>
      <c r="E16" s="12" t="n">
        <f aca="false">SUMIFS(Data!$H$4:$H$2311,Data!$B$4:$B$2311,"Inedible Tallow",Data!$C$4:$C$2311,"Australia",Data!$E$4:$E$2311,2021,Data!$F$4:$F$2311,4)</f>
        <v>11.0240941663167</v>
      </c>
      <c r="F16" s="12" t="n">
        <f aca="false">SUMIFS(Data!$H$4:$H$2311,Data!$B$4:$B$2311,"Inedible Tallow",Data!$C$4:$C$2311,"Australia",Data!$E$4:$E$2311,2021,Data!$F$4:$F$2311,5)</f>
        <v>22.0870359878531</v>
      </c>
      <c r="G16" s="12" t="n">
        <f aca="false">SUMIFS(Data!$H$4:$H$2311,Data!$B$4:$B$2311,"Inedible Tallow",Data!$C$4:$C$2311,"Australia",Data!$E$4:$E$2311,2021,Data!$F$4:$F$2311,6)</f>
        <v>16.661799227364</v>
      </c>
      <c r="H16" s="12" t="n">
        <f aca="false">SUMIFS(Data!$H$4:$H$2311,Data!$B$4:$B$2311,"Inedible Tallow",Data!$C$4:$C$2311,"Australia",Data!$E$4:$E$2311,2021,Data!$F$4:$F$2311,7)</f>
        <v>0</v>
      </c>
      <c r="I16" s="12" t="n">
        <f aca="false">SUMIFS(Data!$H$4:$H$2311,Data!$B$4:$B$2311,"Inedible Tallow",Data!$C$4:$C$2311,"Australia",Data!$E$4:$E$2311,2021,Data!$F$4:$F$2311,8)</f>
        <v>14.2943806572487</v>
      </c>
      <c r="J16" s="12" t="n">
        <f aca="false">SUMIFS(Data!$H$4:$H$2311,Data!$B$4:$B$2311,"Inedible Tallow",Data!$C$4:$C$2311,"Australia",Data!$E$4:$E$2311,2021,Data!$F$4:$F$2311,9)</f>
        <v>48.1400227257176</v>
      </c>
      <c r="K16" s="12" t="n">
        <f aca="false">SUMIFS(Data!$H$4:$H$2311,Data!$B$4:$B$2311,"Inedible Tallow",Data!$C$4:$C$2311,"Australia",Data!$E$4:$E$2311,2021,Data!$F$4:$F$2311,10)</f>
        <v>18.7505049963797</v>
      </c>
      <c r="L16" s="12" t="n">
        <f aca="false">SUMIFS(Data!$H$4:$H$2311,Data!$B$4:$B$2311,"Inedible Tallow",Data!$C$4:$C$2311,"Australia",Data!$E$4:$E$2311,2021,Data!$F$4:$F$2311,11)</f>
        <v>20.327553128826</v>
      </c>
      <c r="M16" s="12" t="n">
        <f aca="false">SUMIFS(Data!$H$4:$H$2311,Data!$B$4:$B$2311,"Inedible Tallow",Data!$C$4:$C$2311,"Australia",Data!$E$4:$E$2311,2021,Data!$F$4:$F$2311,12)</f>
        <v>20.252964131661</v>
      </c>
      <c r="N16" s="13" t="n">
        <f aca="false">SUM(B16:M16)</f>
        <v>171.538355021367</v>
      </c>
      <c r="Q16" s="4" t="s">
        <v>66</v>
      </c>
      <c r="R16" s="5" t="n">
        <f aca="false">SUMIFS(Data!$H$4:$H$2311,Data!$B$4:$B$2311,"Inedible Tallow",Data!$C$4:$C$2311,"World Total",Data!$E$4:$E$2311,2021,Data!$F$4:$F$2311,9)</f>
        <v>111.9123740993</v>
      </c>
      <c r="S16" s="5" t="n">
        <f aca="false">SUMIFS(Data!$H$4:$H$2311,Data!$B$4:$B$2311,"Inedible Tallow",Data!$C$4:$C$2311,"World Total",Data!$E$4:$E$2311,2022,Data!$F$4:$F$2311,9)</f>
        <v>110.549884249658</v>
      </c>
      <c r="T16" s="5" t="n">
        <f aca="false">SUMIFS(Data!$H$4:$H$2311,Data!$B$4:$B$2311,"Inedible Tallow",Data!$C$4:$C$2311,"World Total",Data!$E$4:$E$2311,2023,Data!$F$4:$F$2311,9)</f>
        <v>153.10216748143</v>
      </c>
      <c r="U16" s="5" t="n">
        <f aca="false">SUMIFS(Data!$H$4:$H$2311,Data!$B$4:$B$2311,"Inedible Tallow",Data!$C$4:$C$2311,"World Total",Data!$E$4:$E$2311,2024,Data!$F$4:$F$2311,9)</f>
        <v>205.087179927766</v>
      </c>
      <c r="V16" s="5" t="n">
        <f aca="false">SUMIFS(Data!$H$4:$H$2311,Data!$B$4:$B$2311,"Inedible Tallow",Data!$C$4:$C$2311,"World Total",Data!$E$4:$E$2311,2025,Data!$F$4:$F$2311,9)</f>
        <v>218.013986875606</v>
      </c>
    </row>
    <row r="17" customFormat="false" ht="15" hidden="false" customHeight="false" outlineLevel="0" collapsed="false">
      <c r="A17" s="11" t="s">
        <v>78</v>
      </c>
      <c r="B17" s="12" t="n">
        <f aca="false">SUMIFS(Data!$H$4:$H$2311,Data!$B$4:$B$2311,"Inedible Tallow",Data!$C$4:$C$2311,"New Zealand",Data!$E$4:$E$2311,2021,Data!$F$4:$F$2311,1)</f>
        <v>0.15376360938355</v>
      </c>
      <c r="C17" s="12" t="n">
        <f aca="false">SUMIFS(Data!$H$4:$H$2311,Data!$B$4:$B$2311,"Inedible Tallow",Data!$C$4:$C$2311,"New Zealand",Data!$E$4:$E$2311,2021,Data!$F$4:$F$2311,2)</f>
        <v>0</v>
      </c>
      <c r="D17" s="12" t="n">
        <f aca="false">SUMIFS(Data!$H$4:$H$2311,Data!$B$4:$B$2311,"Inedible Tallow",Data!$C$4:$C$2311,"New Zealand",Data!$E$4:$E$2311,2021,Data!$F$4:$F$2311,3)</f>
        <v>0.178076187657312</v>
      </c>
      <c r="E17" s="12" t="n">
        <f aca="false">SUMIFS(Data!$H$4:$H$2311,Data!$B$4:$B$2311,"Inedible Tallow",Data!$C$4:$C$2311,"New Zealand",Data!$E$4:$E$2311,2021,Data!$F$4:$F$2311,4)</f>
        <v>0</v>
      </c>
      <c r="F17" s="12" t="n">
        <f aca="false">SUMIFS(Data!$H$4:$H$2311,Data!$B$4:$B$2311,"Inedible Tallow",Data!$C$4:$C$2311,"New Zealand",Data!$E$4:$E$2311,2021,Data!$F$4:$F$2311,5)</f>
        <v>0</v>
      </c>
      <c r="G17" s="12" t="n">
        <f aca="false">SUMIFS(Data!$H$4:$H$2311,Data!$B$4:$B$2311,"Inedible Tallow",Data!$C$4:$C$2311,"New Zealand",Data!$E$4:$E$2311,2021,Data!$F$4:$F$2311,6)</f>
        <v>14.1249796596084</v>
      </c>
      <c r="H17" s="12" t="n">
        <f aca="false">SUMIFS(Data!$H$4:$H$2311,Data!$B$4:$B$2311,"Inedible Tallow",Data!$C$4:$C$2311,"New Zealand",Data!$E$4:$E$2311,2021,Data!$F$4:$F$2311,7)</f>
        <v>0</v>
      </c>
      <c r="I17" s="12" t="n">
        <f aca="false">SUMIFS(Data!$H$4:$H$2311,Data!$B$4:$B$2311,"Inedible Tallow",Data!$C$4:$C$2311,"New Zealand",Data!$E$4:$E$2311,2021,Data!$F$4:$F$2311,8)</f>
        <v>16.5678183696171</v>
      </c>
      <c r="J17" s="12" t="n">
        <f aca="false">SUMIFS(Data!$H$4:$H$2311,Data!$B$4:$B$2311,"Inedible Tallow",Data!$C$4:$C$2311,"New Zealand",Data!$E$4:$E$2311,2021,Data!$F$4:$F$2311,9)</f>
        <v>21.3682342143572</v>
      </c>
      <c r="K17" s="12" t="n">
        <f aca="false">SUMIFS(Data!$H$4:$H$2311,Data!$B$4:$B$2311,"Inedible Tallow",Data!$C$4:$C$2311,"New Zealand",Data!$E$4:$E$2311,2021,Data!$F$4:$F$2311,10)</f>
        <v>12.1359206284776</v>
      </c>
      <c r="L17" s="12" t="n">
        <f aca="false">SUMIFS(Data!$H$4:$H$2311,Data!$B$4:$B$2311,"Inedible Tallow",Data!$C$4:$C$2311,"New Zealand",Data!$E$4:$E$2311,2021,Data!$F$4:$F$2311,11)</f>
        <v>10.7913786115995</v>
      </c>
      <c r="M17" s="12" t="n">
        <f aca="false">SUMIFS(Data!$H$4:$H$2311,Data!$B$4:$B$2311,"Inedible Tallow",Data!$C$4:$C$2311,"New Zealand",Data!$E$4:$E$2311,2021,Data!$F$4:$F$2311,12)</f>
        <v>10.7373653573642</v>
      </c>
      <c r="N17" s="13" t="n">
        <f aca="false">SUM(B17:M17)</f>
        <v>86.0575366380649</v>
      </c>
    </row>
    <row r="18" customFormat="false" ht="15" hidden="false" customHeight="false" outlineLevel="0" collapsed="false">
      <c r="A18" s="11" t="s">
        <v>49</v>
      </c>
      <c r="B18" s="12" t="n">
        <f aca="false">SUMIFS(Data!$H$4:$H$2311,Data!$B$4:$B$2311,"Inedible Tallow",Data!$C$4:$C$2311,"Brazil",Data!$E$4:$E$2311,2021,Data!$F$4:$F$2311,1)</f>
        <v>0</v>
      </c>
      <c r="C18" s="12" t="n">
        <f aca="false">SUMIFS(Data!$H$4:$H$2311,Data!$B$4:$B$2311,"Inedible Tallow",Data!$C$4:$C$2311,"Brazil",Data!$E$4:$E$2311,2021,Data!$F$4:$F$2311,2)</f>
        <v>0</v>
      </c>
      <c r="D18" s="12" t="n">
        <f aca="false">SUMIFS(Data!$H$4:$H$2311,Data!$B$4:$B$2311,"Inedible Tallow",Data!$C$4:$C$2311,"Brazil",Data!$E$4:$E$2311,2021,Data!$F$4:$F$2311,3)</f>
        <v>0</v>
      </c>
      <c r="E18" s="12" t="n">
        <f aca="false">SUMIFS(Data!$H$4:$H$2311,Data!$B$4:$B$2311,"Inedible Tallow",Data!$C$4:$C$2311,"Brazil",Data!$E$4:$E$2311,2021,Data!$F$4:$F$2311,4)</f>
        <v>0</v>
      </c>
      <c r="F18" s="12" t="n">
        <f aca="false">SUMIFS(Data!$H$4:$H$2311,Data!$B$4:$B$2311,"Inedible Tallow",Data!$C$4:$C$2311,"Brazil",Data!$E$4:$E$2311,2021,Data!$F$4:$F$2311,5)</f>
        <v>0</v>
      </c>
      <c r="G18" s="12" t="n">
        <f aca="false">SUMIFS(Data!$H$4:$H$2311,Data!$B$4:$B$2311,"Inedible Tallow",Data!$C$4:$C$2311,"Brazil",Data!$E$4:$E$2311,2021,Data!$F$4:$F$2311,6)</f>
        <v>0</v>
      </c>
      <c r="H18" s="12" t="n">
        <f aca="false">SUMIFS(Data!$H$4:$H$2311,Data!$B$4:$B$2311,"Inedible Tallow",Data!$C$4:$C$2311,"Brazil",Data!$E$4:$E$2311,2021,Data!$F$4:$F$2311,7)</f>
        <v>0</v>
      </c>
      <c r="I18" s="12" t="n">
        <f aca="false">SUMIFS(Data!$H$4:$H$2311,Data!$B$4:$B$2311,"Inedible Tallow",Data!$C$4:$C$2311,"Brazil",Data!$E$4:$E$2311,2021,Data!$F$4:$F$2311,8)</f>
        <v>0</v>
      </c>
      <c r="J18" s="12" t="n">
        <f aca="false">SUMIFS(Data!$H$4:$H$2311,Data!$B$4:$B$2311,"Inedible Tallow",Data!$C$4:$C$2311,"Brazil",Data!$E$4:$E$2311,2021,Data!$F$4:$F$2311,9)</f>
        <v>0</v>
      </c>
      <c r="K18" s="12" t="n">
        <f aca="false">SUMIFS(Data!$H$4:$H$2311,Data!$B$4:$B$2311,"Inedible Tallow",Data!$C$4:$C$2311,"Brazil",Data!$E$4:$E$2311,2021,Data!$F$4:$F$2311,10)</f>
        <v>11.0436249181237</v>
      </c>
      <c r="L18" s="12" t="n">
        <f aca="false">SUMIFS(Data!$H$4:$H$2311,Data!$B$4:$B$2311,"Inedible Tallow",Data!$C$4:$C$2311,"Brazil",Data!$E$4:$E$2311,2021,Data!$F$4:$F$2311,11)</f>
        <v>0</v>
      </c>
      <c r="M18" s="12" t="n">
        <f aca="false">SUMIFS(Data!$H$4:$H$2311,Data!$B$4:$B$2311,"Inedible Tallow",Data!$C$4:$C$2311,"Brazil",Data!$E$4:$E$2311,2021,Data!$F$4:$F$2311,12)</f>
        <v>10.4710557631352</v>
      </c>
      <c r="N18" s="13" t="n">
        <f aca="false">SUM(B18:M18)</f>
        <v>21.5146806812589</v>
      </c>
    </row>
    <row r="19" customFormat="false" ht="15" hidden="false" customHeight="false" outlineLevel="0" collapsed="false">
      <c r="A19" s="11" t="s">
        <v>190</v>
      </c>
      <c r="B19" s="12" t="n">
        <f aca="false">SUMIFS(Data!$H$4:$H$2311,Data!$B$4:$B$2311,"Inedible Tallow",Data!$C$4:$C$2311,"Uruguay",Data!$E$4:$E$2311,2021,Data!$F$4:$F$2311,1)</f>
        <v>0</v>
      </c>
      <c r="C19" s="12" t="n">
        <f aca="false">SUMIFS(Data!$H$4:$H$2311,Data!$B$4:$B$2311,"Inedible Tallow",Data!$C$4:$C$2311,"Uruguay",Data!$E$4:$E$2311,2021,Data!$F$4:$F$2311,2)</f>
        <v>0</v>
      </c>
      <c r="D19" s="12" t="n">
        <f aca="false">SUMIFS(Data!$H$4:$H$2311,Data!$B$4:$B$2311,"Inedible Tallow",Data!$C$4:$C$2311,"Uruguay",Data!$E$4:$E$2311,2021,Data!$F$4:$F$2311,3)</f>
        <v>0</v>
      </c>
      <c r="E19" s="12" t="n">
        <f aca="false">SUMIFS(Data!$H$4:$H$2311,Data!$B$4:$B$2311,"Inedible Tallow",Data!$C$4:$C$2311,"Uruguay",Data!$E$4:$E$2311,2021,Data!$F$4:$F$2311,4)</f>
        <v>0</v>
      </c>
      <c r="F19" s="12" t="n">
        <f aca="false">SUMIFS(Data!$H$4:$H$2311,Data!$B$4:$B$2311,"Inedible Tallow",Data!$C$4:$C$2311,"Uruguay",Data!$E$4:$E$2311,2021,Data!$F$4:$F$2311,5)</f>
        <v>0</v>
      </c>
      <c r="G19" s="12" t="n">
        <f aca="false">SUMIFS(Data!$H$4:$H$2311,Data!$B$4:$B$2311,"Inedible Tallow",Data!$C$4:$C$2311,"Uruguay",Data!$E$4:$E$2311,2021,Data!$F$4:$F$2311,6)</f>
        <v>0</v>
      </c>
      <c r="H19" s="12" t="n">
        <f aca="false">SUMIFS(Data!$H$4:$H$2311,Data!$B$4:$B$2311,"Inedible Tallow",Data!$C$4:$C$2311,"Uruguay",Data!$E$4:$E$2311,2021,Data!$F$4:$F$2311,7)</f>
        <v>5.74222621954917</v>
      </c>
      <c r="I19" s="12" t="n">
        <f aca="false">SUMIFS(Data!$H$4:$H$2311,Data!$B$4:$B$2311,"Inedible Tallow",Data!$C$4:$C$2311,"Uruguay",Data!$E$4:$E$2311,2021,Data!$F$4:$F$2311,8)</f>
        <v>0</v>
      </c>
      <c r="J19" s="12" t="n">
        <f aca="false">SUMIFS(Data!$H$4:$H$2311,Data!$B$4:$B$2311,"Inedible Tallow",Data!$C$4:$C$2311,"Uruguay",Data!$E$4:$E$2311,2021,Data!$F$4:$F$2311,9)</f>
        <v>0</v>
      </c>
      <c r="K19" s="12" t="n">
        <f aca="false">SUMIFS(Data!$H$4:$H$2311,Data!$B$4:$B$2311,"Inedible Tallow",Data!$C$4:$C$2311,"Uruguay",Data!$E$4:$E$2311,2021,Data!$F$4:$F$2311,10)</f>
        <v>0</v>
      </c>
      <c r="L19" s="12" t="n">
        <f aca="false">SUMIFS(Data!$H$4:$H$2311,Data!$B$4:$B$2311,"Inedible Tallow",Data!$C$4:$C$2311,"Uruguay",Data!$E$4:$E$2311,2021,Data!$F$4:$F$2311,11)</f>
        <v>8.84133037776237</v>
      </c>
      <c r="M19" s="12" t="n">
        <f aca="false">SUMIFS(Data!$H$4:$H$2311,Data!$B$4:$B$2311,"Inedible Tallow",Data!$C$4:$C$2311,"Uruguay",Data!$E$4:$E$2311,2021,Data!$F$4:$F$2311,12)</f>
        <v>0</v>
      </c>
      <c r="N19" s="13" t="n">
        <f aca="false">SUM(B19:M19)</f>
        <v>14.5835565973115</v>
      </c>
    </row>
    <row r="20" customFormat="false" ht="15" hidden="false" customHeight="false" outlineLevel="0" collapsed="false">
      <c r="A20" s="11" t="s">
        <v>68</v>
      </c>
      <c r="B20" s="12" t="n">
        <f aca="false">SUMIFS(Data!$H$4:$H$2311,Data!$B$4:$B$2311,"Inedible Tallow",Data!$C$4:$C$2311,"Argentina",Data!$E$4:$E$2311,2021,Data!$F$4:$F$2311,1)</f>
        <v>0</v>
      </c>
      <c r="C20" s="12" t="n">
        <f aca="false">SUMIFS(Data!$H$4:$H$2311,Data!$B$4:$B$2311,"Inedible Tallow",Data!$C$4:$C$2311,"Argentina",Data!$E$4:$E$2311,2021,Data!$F$4:$F$2311,2)</f>
        <v>0</v>
      </c>
      <c r="D20" s="12" t="n">
        <f aca="false">SUMIFS(Data!$H$4:$H$2311,Data!$B$4:$B$2311,"Inedible Tallow",Data!$C$4:$C$2311,"Argentina",Data!$E$4:$E$2311,2021,Data!$F$4:$F$2311,3)</f>
        <v>0</v>
      </c>
      <c r="E20" s="12" t="n">
        <f aca="false">SUMIFS(Data!$H$4:$H$2311,Data!$B$4:$B$2311,"Inedible Tallow",Data!$C$4:$C$2311,"Argentina",Data!$E$4:$E$2311,2021,Data!$F$4:$F$2311,4)</f>
        <v>1.60443615927756</v>
      </c>
      <c r="F20" s="12" t="n">
        <f aca="false">SUMIFS(Data!$H$4:$H$2311,Data!$B$4:$B$2311,"Inedible Tallow",Data!$C$4:$C$2311,"Argentina",Data!$E$4:$E$2311,2021,Data!$F$4:$F$2311,5)</f>
        <v>0.090962729377531</v>
      </c>
      <c r="G20" s="12" t="n">
        <f aca="false">SUMIFS(Data!$H$4:$H$2311,Data!$B$4:$B$2311,"Inedible Tallow",Data!$C$4:$C$2311,"Argentina",Data!$E$4:$E$2311,2021,Data!$F$4:$F$2311,6)</f>
        <v>0.647078785739194</v>
      </c>
      <c r="H20" s="12" t="n">
        <f aca="false">SUMIFS(Data!$H$4:$H$2311,Data!$B$4:$B$2311,"Inedible Tallow",Data!$C$4:$C$2311,"Argentina",Data!$E$4:$E$2311,2021,Data!$F$4:$F$2311,7)</f>
        <v>0</v>
      </c>
      <c r="I20" s="12" t="n">
        <f aca="false">SUMIFS(Data!$H$4:$H$2311,Data!$B$4:$B$2311,"Inedible Tallow",Data!$C$4:$C$2311,"Argentina",Data!$E$4:$E$2311,2021,Data!$F$4:$F$2311,8)</f>
        <v>0</v>
      </c>
      <c r="J20" s="12" t="n">
        <f aca="false">SUMIFS(Data!$H$4:$H$2311,Data!$B$4:$B$2311,"Inedible Tallow",Data!$C$4:$C$2311,"Argentina",Data!$E$4:$E$2311,2021,Data!$F$4:$F$2311,9)</f>
        <v>0</v>
      </c>
      <c r="K20" s="12" t="n">
        <f aca="false">SUMIFS(Data!$H$4:$H$2311,Data!$B$4:$B$2311,"Inedible Tallow",Data!$C$4:$C$2311,"Argentina",Data!$E$4:$E$2311,2021,Data!$F$4:$F$2311,10)</f>
        <v>0</v>
      </c>
      <c r="L20" s="12" t="n">
        <f aca="false">SUMIFS(Data!$H$4:$H$2311,Data!$B$4:$B$2311,"Inedible Tallow",Data!$C$4:$C$2311,"Argentina",Data!$E$4:$E$2311,2021,Data!$F$4:$F$2311,11)</f>
        <v>0</v>
      </c>
      <c r="M20" s="12" t="n">
        <f aca="false">SUMIFS(Data!$H$4:$H$2311,Data!$B$4:$B$2311,"Inedible Tallow",Data!$C$4:$C$2311,"Argentina",Data!$E$4:$E$2311,2021,Data!$F$4:$F$2311,12)</f>
        <v>0</v>
      </c>
      <c r="N20" s="13" t="n">
        <f aca="false">SUM(B20:M20)</f>
        <v>2.34247767439428</v>
      </c>
    </row>
    <row r="21" customFormat="false" ht="15" hidden="false" customHeight="false" outlineLevel="0" collapsed="false">
      <c r="A21" s="11" t="s">
        <v>51</v>
      </c>
      <c r="B21" s="12" t="n">
        <f aca="false">SUMIFS(Data!$H$4:$H$2311,Data!$B$4:$B$2311,"Inedible Tallow",Data!$C$4:$C$2311,"India",Data!$E$4:$E$2311,2021,Data!$F$4:$F$2311,1)</f>
        <v>0.742803499979921</v>
      </c>
      <c r="C21" s="12" t="n">
        <f aca="false">SUMIFS(Data!$H$4:$H$2311,Data!$B$4:$B$2311,"Inedible Tallow",Data!$C$4:$C$2311,"India",Data!$E$4:$E$2311,2021,Data!$F$4:$F$2311,2)</f>
        <v>0.350942852059192</v>
      </c>
      <c r="D21" s="12" t="n">
        <f aca="false">SUMIFS(Data!$H$4:$H$2311,Data!$B$4:$B$2311,"Inedible Tallow",Data!$C$4:$C$2311,"India",Data!$E$4:$E$2311,2021,Data!$F$4:$F$2311,3)</f>
        <v>0</v>
      </c>
      <c r="E21" s="12" t="n">
        <f aca="false">SUMIFS(Data!$H$4:$H$2311,Data!$B$4:$B$2311,"Inedible Tallow",Data!$C$4:$C$2311,"India",Data!$E$4:$E$2311,2021,Data!$F$4:$F$2311,4)</f>
        <v>0</v>
      </c>
      <c r="F21" s="12" t="n">
        <f aca="false">SUMIFS(Data!$H$4:$H$2311,Data!$B$4:$B$2311,"Inedible Tallow",Data!$C$4:$C$2311,"India",Data!$E$4:$E$2311,2021,Data!$F$4:$F$2311,5)</f>
        <v>0</v>
      </c>
      <c r="G21" s="12" t="n">
        <f aca="false">SUMIFS(Data!$H$4:$H$2311,Data!$B$4:$B$2311,"Inedible Tallow",Data!$C$4:$C$2311,"India",Data!$E$4:$E$2311,2021,Data!$F$4:$F$2311,6)</f>
        <v>0</v>
      </c>
      <c r="H21" s="12" t="n">
        <f aca="false">SUMIFS(Data!$H$4:$H$2311,Data!$B$4:$B$2311,"Inedible Tallow",Data!$C$4:$C$2311,"India",Data!$E$4:$E$2311,2021,Data!$F$4:$F$2311,7)</f>
        <v>0</v>
      </c>
      <c r="I21" s="12" t="n">
        <f aca="false">SUMIFS(Data!$H$4:$H$2311,Data!$B$4:$B$2311,"Inedible Tallow",Data!$C$4:$C$2311,"India",Data!$E$4:$E$2311,2021,Data!$F$4:$F$2311,8)</f>
        <v>0</v>
      </c>
      <c r="J21" s="12" t="n">
        <f aca="false">SUMIFS(Data!$H$4:$H$2311,Data!$B$4:$B$2311,"Inedible Tallow",Data!$C$4:$C$2311,"India",Data!$E$4:$E$2311,2021,Data!$F$4:$F$2311,9)</f>
        <v>0</v>
      </c>
      <c r="K21" s="12" t="n">
        <f aca="false">SUMIFS(Data!$H$4:$H$2311,Data!$B$4:$B$2311,"Inedible Tallow",Data!$C$4:$C$2311,"India",Data!$E$4:$E$2311,2021,Data!$F$4:$F$2311,10)</f>
        <v>0</v>
      </c>
      <c r="L21" s="12" t="n">
        <f aca="false">SUMIFS(Data!$H$4:$H$2311,Data!$B$4:$B$2311,"Inedible Tallow",Data!$C$4:$C$2311,"India",Data!$E$4:$E$2311,2021,Data!$F$4:$F$2311,11)</f>
        <v>0</v>
      </c>
      <c r="M21" s="12" t="n">
        <f aca="false">SUMIFS(Data!$H$4:$H$2311,Data!$B$4:$B$2311,"Inedible Tallow",Data!$C$4:$C$2311,"India",Data!$E$4:$E$2311,2021,Data!$F$4:$F$2311,12)</f>
        <v>0</v>
      </c>
      <c r="N21" s="13" t="n">
        <f aca="false">SUM(B21:M21)</f>
        <v>1.09374635203911</v>
      </c>
    </row>
    <row r="22" customFormat="false" ht="15" hidden="false" customHeight="false" outlineLevel="0" collapsed="false">
      <c r="A22" s="11" t="s">
        <v>63</v>
      </c>
      <c r="B22" s="12" t="n">
        <f aca="false">SUMIFS(Data!$H$4:$H$2311,Data!$B$4:$B$2311,"Inedible Tallow",Data!$C$4:$C$2311,"Peru",Data!$E$4:$E$2311,2021,Data!$F$4:$F$2311,1)</f>
        <v>0</v>
      </c>
      <c r="C22" s="12" t="n">
        <f aca="false">SUMIFS(Data!$H$4:$H$2311,Data!$B$4:$B$2311,"Inedible Tallow",Data!$C$4:$C$2311,"Peru",Data!$E$4:$E$2311,2021,Data!$F$4:$F$2311,2)</f>
        <v>0</v>
      </c>
      <c r="D22" s="12" t="n">
        <f aca="false">SUMIFS(Data!$H$4:$H$2311,Data!$B$4:$B$2311,"Inedible Tallow",Data!$C$4:$C$2311,"Peru",Data!$E$4:$E$2311,2021,Data!$F$4:$F$2311,3)</f>
        <v>0</v>
      </c>
      <c r="E22" s="12" t="n">
        <f aca="false">SUMIFS(Data!$H$4:$H$2311,Data!$B$4:$B$2311,"Inedible Tallow",Data!$C$4:$C$2311,"Peru",Data!$E$4:$E$2311,2021,Data!$F$4:$F$2311,4)</f>
        <v>0</v>
      </c>
      <c r="F22" s="12" t="n">
        <f aca="false">SUMIFS(Data!$H$4:$H$2311,Data!$B$4:$B$2311,"Inedible Tallow",Data!$C$4:$C$2311,"Peru",Data!$E$4:$E$2311,2021,Data!$F$4:$F$2311,5)</f>
        <v>0</v>
      </c>
      <c r="G22" s="12" t="n">
        <f aca="false">SUMIFS(Data!$H$4:$H$2311,Data!$B$4:$B$2311,"Inedible Tallow",Data!$C$4:$C$2311,"Peru",Data!$E$4:$E$2311,2021,Data!$F$4:$F$2311,6)</f>
        <v>0</v>
      </c>
      <c r="H22" s="12" t="n">
        <f aca="false">SUMIFS(Data!$H$4:$H$2311,Data!$B$4:$B$2311,"Inedible Tallow",Data!$C$4:$C$2311,"Peru",Data!$E$4:$E$2311,2021,Data!$F$4:$F$2311,7)</f>
        <v>0.0903233888171945</v>
      </c>
      <c r="I22" s="12" t="n">
        <f aca="false">SUMIFS(Data!$H$4:$H$2311,Data!$B$4:$B$2311,"Inedible Tallow",Data!$C$4:$C$2311,"Peru",Data!$E$4:$E$2311,2021,Data!$F$4:$F$2311,8)</f>
        <v>0</v>
      </c>
      <c r="J22" s="12" t="n">
        <f aca="false">SUMIFS(Data!$H$4:$H$2311,Data!$B$4:$B$2311,"Inedible Tallow",Data!$C$4:$C$2311,"Peru",Data!$E$4:$E$2311,2021,Data!$F$4:$F$2311,9)</f>
        <v>0</v>
      </c>
      <c r="K22" s="12" t="n">
        <f aca="false">SUMIFS(Data!$H$4:$H$2311,Data!$B$4:$B$2311,"Inedible Tallow",Data!$C$4:$C$2311,"Peru",Data!$E$4:$E$2311,2021,Data!$F$4:$F$2311,10)</f>
        <v>0</v>
      </c>
      <c r="L22" s="12" t="n">
        <f aca="false">SUMIFS(Data!$H$4:$H$2311,Data!$B$4:$B$2311,"Inedible Tallow",Data!$C$4:$C$2311,"Peru",Data!$E$4:$E$2311,2021,Data!$F$4:$F$2311,11)</f>
        <v>0</v>
      </c>
      <c r="M22" s="12" t="n">
        <f aca="false">SUMIFS(Data!$H$4:$H$2311,Data!$B$4:$B$2311,"Inedible Tallow",Data!$C$4:$C$2311,"Peru",Data!$E$4:$E$2311,2021,Data!$F$4:$F$2311,12)</f>
        <v>0</v>
      </c>
      <c r="N22" s="13" t="n">
        <f aca="false">SUM(B22:M22)</f>
        <v>0.0903233888171945</v>
      </c>
    </row>
    <row r="24" customFormat="false" ht="15" hidden="false" customHeight="false" outlineLevel="0" collapsed="false">
      <c r="A24" s="8"/>
      <c r="B24" s="9" t="s">
        <v>97</v>
      </c>
      <c r="C24" s="9" t="s">
        <v>98</v>
      </c>
      <c r="D24" s="9" t="s">
        <v>99</v>
      </c>
      <c r="E24" s="9" t="s">
        <v>100</v>
      </c>
      <c r="F24" s="9" t="s">
        <v>101</v>
      </c>
      <c r="G24" s="9" t="s">
        <v>102</v>
      </c>
      <c r="H24" s="9" t="s">
        <v>103</v>
      </c>
      <c r="I24" s="9" t="s">
        <v>104</v>
      </c>
      <c r="J24" s="9" t="s">
        <v>105</v>
      </c>
      <c r="K24" s="9" t="s">
        <v>106</v>
      </c>
      <c r="L24" s="9" t="s">
        <v>107</v>
      </c>
      <c r="M24" s="9" t="s">
        <v>108</v>
      </c>
      <c r="N24" s="9" t="s">
        <v>33</v>
      </c>
    </row>
    <row r="25" customFormat="false" ht="15" hidden="false" customHeight="false" outlineLevel="0" collapsed="false">
      <c r="A25" s="10" t="s">
        <v>35</v>
      </c>
      <c r="B25" s="10" t="n">
        <f aca="false">SUM(B26:B33)</f>
        <v>71.8608935155106</v>
      </c>
      <c r="C25" s="10" t="n">
        <f aca="false">SUM(C26:C33)</f>
        <v>30.7510595912531</v>
      </c>
      <c r="D25" s="10" t="n">
        <f aca="false">SUM(D26:D33)</f>
        <v>76.3179967070858</v>
      </c>
      <c r="E25" s="10" t="n">
        <f aca="false">SUM(E26:E33)</f>
        <v>116.678666795099</v>
      </c>
      <c r="F25" s="10" t="n">
        <f aca="false">SUM(F26:F33)</f>
        <v>69.7092149059244</v>
      </c>
      <c r="G25" s="10" t="n">
        <f aca="false">SUM(G26:G33)</f>
        <v>107.935424487028</v>
      </c>
      <c r="H25" s="10" t="n">
        <f aca="false">SUM(H26:H33)</f>
        <v>75.7085442156337</v>
      </c>
      <c r="I25" s="10" t="n">
        <f aca="false">SUM(I26:I33)</f>
        <v>73.3685401278211</v>
      </c>
      <c r="J25" s="10" t="n">
        <f aca="false">SUM(J26:J33)</f>
        <v>110.549884249658</v>
      </c>
      <c r="K25" s="10" t="n">
        <f aca="false">SUM(K26:K33)</f>
        <v>121.226763580769</v>
      </c>
      <c r="L25" s="10" t="n">
        <f aca="false">SUM(L26:L33)</f>
        <v>158.688266736145</v>
      </c>
      <c r="M25" s="10" t="n">
        <f aca="false">SUM(M26:M33)</f>
        <v>135.887411421921</v>
      </c>
      <c r="N25" s="10" t="n">
        <f aca="false">SUM(B25:M25)</f>
        <v>1148.68266633385</v>
      </c>
    </row>
    <row r="26" customFormat="false" ht="15" hidden="false" customHeight="false" outlineLevel="0" collapsed="false">
      <c r="A26" s="11" t="s">
        <v>43</v>
      </c>
      <c r="B26" s="12" t="n">
        <f aca="false">SUMIFS(Data!$H$4:$H$2311,Data!$B$4:$B$2311,"Inedible Tallow",Data!$C$4:$C$2311,"Canada",Data!$E$4:$E$2311,2022,Data!$F$4:$F$2311,1)</f>
        <v>34.9122296744295</v>
      </c>
      <c r="C26" s="12" t="n">
        <f aca="false">SUMIFS(Data!$H$4:$H$2311,Data!$B$4:$B$2311,"Inedible Tallow",Data!$C$4:$C$2311,"Canada",Data!$E$4:$E$2311,2022,Data!$F$4:$F$2311,2)</f>
        <v>30.7296086131425</v>
      </c>
      <c r="D26" s="12" t="n">
        <f aca="false">SUMIFS(Data!$H$4:$H$2311,Data!$B$4:$B$2311,"Inedible Tallow",Data!$C$4:$C$2311,"Canada",Data!$E$4:$E$2311,2022,Data!$F$4:$F$2311,3)</f>
        <v>43.2174112629163</v>
      </c>
      <c r="E26" s="12" t="n">
        <f aca="false">SUMIFS(Data!$H$4:$H$2311,Data!$B$4:$B$2311,"Inedible Tallow",Data!$C$4:$C$2311,"Canada",Data!$E$4:$E$2311,2022,Data!$F$4:$F$2311,4)</f>
        <v>34.5588154404112</v>
      </c>
      <c r="F26" s="12" t="n">
        <f aca="false">SUMIFS(Data!$H$4:$H$2311,Data!$B$4:$B$2311,"Inedible Tallow",Data!$C$4:$C$2311,"Canada",Data!$E$4:$E$2311,2022,Data!$F$4:$F$2311,5)</f>
        <v>38.6993723020732</v>
      </c>
      <c r="G26" s="12" t="n">
        <f aca="false">SUMIFS(Data!$H$4:$H$2311,Data!$B$4:$B$2311,"Inedible Tallow",Data!$C$4:$C$2311,"Canada",Data!$E$4:$E$2311,2022,Data!$F$4:$F$2311,6)</f>
        <v>39.2928853719693</v>
      </c>
      <c r="H26" s="12" t="n">
        <f aca="false">SUMIFS(Data!$H$4:$H$2311,Data!$B$4:$B$2311,"Inedible Tallow",Data!$C$4:$C$2311,"Canada",Data!$E$4:$E$2311,2022,Data!$F$4:$F$2311,7)</f>
        <v>34.9900484437355</v>
      </c>
      <c r="I26" s="12" t="n">
        <f aca="false">SUMIFS(Data!$H$4:$H$2311,Data!$B$4:$B$2311,"Inedible Tallow",Data!$C$4:$C$2311,"Canada",Data!$E$4:$E$2311,2022,Data!$F$4:$F$2311,8)</f>
        <v>33.2585135856857</v>
      </c>
      <c r="J26" s="12" t="n">
        <f aca="false">SUMIFS(Data!$H$4:$H$2311,Data!$B$4:$B$2311,"Inedible Tallow",Data!$C$4:$C$2311,"Canada",Data!$E$4:$E$2311,2022,Data!$F$4:$F$2311,9)</f>
        <v>44.9371337529582</v>
      </c>
      <c r="K26" s="12" t="n">
        <f aca="false">SUMIFS(Data!$H$4:$H$2311,Data!$B$4:$B$2311,"Inedible Tallow",Data!$C$4:$C$2311,"Canada",Data!$E$4:$E$2311,2022,Data!$F$4:$F$2311,10)</f>
        <v>49.1627758200879</v>
      </c>
      <c r="L26" s="12" t="n">
        <f aca="false">SUMIFS(Data!$H$4:$H$2311,Data!$B$4:$B$2311,"Inedible Tallow",Data!$C$4:$C$2311,"Canada",Data!$E$4:$E$2311,2022,Data!$F$4:$F$2311,11)</f>
        <v>42.3570925587013</v>
      </c>
      <c r="M26" s="12" t="n">
        <f aca="false">SUMIFS(Data!$H$4:$H$2311,Data!$B$4:$B$2311,"Inedible Tallow",Data!$C$4:$C$2311,"Canada",Data!$E$4:$E$2311,2022,Data!$F$4:$F$2311,12)</f>
        <v>35.5942362963666</v>
      </c>
      <c r="N26" s="13" t="n">
        <f aca="false">SUM(B26:M26)</f>
        <v>461.710123122477</v>
      </c>
    </row>
    <row r="27" customFormat="false" ht="15" hidden="false" customHeight="false" outlineLevel="0" collapsed="false">
      <c r="A27" s="11" t="s">
        <v>109</v>
      </c>
      <c r="B27" s="12" t="n">
        <f aca="false">SUMIFS(Data!$H$4:$H$2311,Data!$B$4:$B$2311,"Inedible Tallow",Data!$C$4:$C$2311,"Australia",Data!$E$4:$E$2311,2022,Data!$F$4:$F$2311,1)</f>
        <v>24.9206440575847</v>
      </c>
      <c r="C27" s="12" t="n">
        <f aca="false">SUMIFS(Data!$H$4:$H$2311,Data!$B$4:$B$2311,"Inedible Tallow",Data!$C$4:$C$2311,"Australia",Data!$E$4:$E$2311,2022,Data!$F$4:$F$2311,2)</f>
        <v>0</v>
      </c>
      <c r="D27" s="12" t="n">
        <f aca="false">SUMIFS(Data!$H$4:$H$2311,Data!$B$4:$B$2311,"Inedible Tallow",Data!$C$4:$C$2311,"Australia",Data!$E$4:$E$2311,2022,Data!$F$4:$F$2311,3)</f>
        <v>0</v>
      </c>
      <c r="E27" s="12" t="n">
        <f aca="false">SUMIFS(Data!$H$4:$H$2311,Data!$B$4:$B$2311,"Inedible Tallow",Data!$C$4:$C$2311,"Australia",Data!$E$4:$E$2311,2022,Data!$F$4:$F$2311,4)</f>
        <v>47.7971598155675</v>
      </c>
      <c r="F27" s="12" t="n">
        <f aca="false">SUMIFS(Data!$H$4:$H$2311,Data!$B$4:$B$2311,"Inedible Tallow",Data!$C$4:$C$2311,"Australia",Data!$E$4:$E$2311,2022,Data!$F$4:$F$2311,5)</f>
        <v>17.2169540682625</v>
      </c>
      <c r="G27" s="12" t="n">
        <f aca="false">SUMIFS(Data!$H$4:$H$2311,Data!$B$4:$B$2311,"Inedible Tallow",Data!$C$4:$C$2311,"Australia",Data!$E$4:$E$2311,2022,Data!$F$4:$F$2311,6)</f>
        <v>45.7591295021376</v>
      </c>
      <c r="H27" s="12" t="n">
        <f aca="false">SUMIFS(Data!$H$4:$H$2311,Data!$B$4:$B$2311,"Inedible Tallow",Data!$C$4:$C$2311,"Australia",Data!$E$4:$E$2311,2022,Data!$F$4:$F$2311,7)</f>
        <v>31.8440982594306</v>
      </c>
      <c r="I27" s="12" t="n">
        <f aca="false">SUMIFS(Data!$H$4:$H$2311,Data!$B$4:$B$2311,"Inedible Tallow",Data!$C$4:$C$2311,"Australia",Data!$E$4:$E$2311,2022,Data!$F$4:$F$2311,8)</f>
        <v>14.7120927100333</v>
      </c>
      <c r="J27" s="12" t="n">
        <f aca="false">SUMIFS(Data!$H$4:$H$2311,Data!$B$4:$B$2311,"Inedible Tallow",Data!$C$4:$C$2311,"Australia",Data!$E$4:$E$2311,2022,Data!$F$4:$F$2311,9)</f>
        <v>20.0761291465398</v>
      </c>
      <c r="K27" s="12" t="n">
        <f aca="false">SUMIFS(Data!$H$4:$H$2311,Data!$B$4:$B$2311,"Inedible Tallow",Data!$C$4:$C$2311,"Australia",Data!$E$4:$E$2311,2022,Data!$F$4:$F$2311,10)</f>
        <v>55.0561509665911</v>
      </c>
      <c r="L27" s="12" t="n">
        <f aca="false">SUMIFS(Data!$H$4:$H$2311,Data!$B$4:$B$2311,"Inedible Tallow",Data!$C$4:$C$2311,"Australia",Data!$E$4:$E$2311,2022,Data!$F$4:$F$2311,11)</f>
        <v>2.56297300591861</v>
      </c>
      <c r="M27" s="12" t="n">
        <f aca="false">SUMIFS(Data!$H$4:$H$2311,Data!$B$4:$B$2311,"Inedible Tallow",Data!$C$4:$C$2311,"Australia",Data!$E$4:$E$2311,2022,Data!$F$4:$F$2311,12)</f>
        <v>39.5685117013983</v>
      </c>
      <c r="N27" s="13" t="n">
        <f aca="false">SUM(B27:M27)</f>
        <v>299.513843233464</v>
      </c>
    </row>
    <row r="28" customFormat="false" ht="15" hidden="false" customHeight="false" outlineLevel="0" collapsed="false">
      <c r="A28" s="11" t="s">
        <v>49</v>
      </c>
      <c r="B28" s="12" t="n">
        <f aca="false">SUMIFS(Data!$H$4:$H$2311,Data!$B$4:$B$2311,"Inedible Tallow",Data!$C$4:$C$2311,"Brazil",Data!$E$4:$E$2311,2022,Data!$F$4:$F$2311,1)</f>
        <v>0</v>
      </c>
      <c r="C28" s="12" t="n">
        <f aca="false">SUMIFS(Data!$H$4:$H$2311,Data!$B$4:$B$2311,"Inedible Tallow",Data!$C$4:$C$2311,"Brazil",Data!$E$4:$E$2311,2022,Data!$F$4:$F$2311,2)</f>
        <v>0</v>
      </c>
      <c r="D28" s="12" t="n">
        <f aca="false">SUMIFS(Data!$H$4:$H$2311,Data!$B$4:$B$2311,"Inedible Tallow",Data!$C$4:$C$2311,"Brazil",Data!$E$4:$E$2311,2022,Data!$F$4:$F$2311,3)</f>
        <v>22.670015370862</v>
      </c>
      <c r="E28" s="12" t="n">
        <f aca="false">SUMIFS(Data!$H$4:$H$2311,Data!$B$4:$B$2311,"Inedible Tallow",Data!$C$4:$C$2311,"Brazil",Data!$E$4:$E$2311,2022,Data!$F$4:$F$2311,4)</f>
        <v>12.1902932362003</v>
      </c>
      <c r="F28" s="12" t="n">
        <f aca="false">SUMIFS(Data!$H$4:$H$2311,Data!$B$4:$B$2311,"Inedible Tallow",Data!$C$4:$C$2311,"Brazil",Data!$E$4:$E$2311,2022,Data!$F$4:$F$2311,5)</f>
        <v>0</v>
      </c>
      <c r="G28" s="12" t="n">
        <f aca="false">SUMIFS(Data!$H$4:$H$2311,Data!$B$4:$B$2311,"Inedible Tallow",Data!$C$4:$C$2311,"Brazil",Data!$E$4:$E$2311,2022,Data!$F$4:$F$2311,6)</f>
        <v>8.82831869504821</v>
      </c>
      <c r="H28" s="12" t="n">
        <f aca="false">SUMIFS(Data!$H$4:$H$2311,Data!$B$4:$B$2311,"Inedible Tallow",Data!$C$4:$C$2311,"Brazil",Data!$E$4:$E$2311,2022,Data!$F$4:$F$2311,7)</f>
        <v>0</v>
      </c>
      <c r="I28" s="12" t="n">
        <f aca="false">SUMIFS(Data!$H$4:$H$2311,Data!$B$4:$B$2311,"Inedible Tallow",Data!$C$4:$C$2311,"Brazil",Data!$E$4:$E$2311,2022,Data!$F$4:$F$2311,8)</f>
        <v>12.1500258040122</v>
      </c>
      <c r="J28" s="12" t="n">
        <f aca="false">SUMIFS(Data!$H$4:$H$2311,Data!$B$4:$B$2311,"Inedible Tallow",Data!$C$4:$C$2311,"Brazil",Data!$E$4:$E$2311,2022,Data!$F$4:$F$2311,9)</f>
        <v>12.737092557362</v>
      </c>
      <c r="K28" s="12" t="n">
        <f aca="false">SUMIFS(Data!$H$4:$H$2311,Data!$B$4:$B$2311,"Inedible Tallow",Data!$C$4:$C$2311,"Brazil",Data!$E$4:$E$2311,2022,Data!$F$4:$F$2311,10)</f>
        <v>0</v>
      </c>
      <c r="L28" s="12" t="n">
        <f aca="false">SUMIFS(Data!$H$4:$H$2311,Data!$B$4:$B$2311,"Inedible Tallow",Data!$C$4:$C$2311,"Brazil",Data!$E$4:$E$2311,2022,Data!$F$4:$F$2311,11)</f>
        <v>44.7740335667712</v>
      </c>
      <c r="M28" s="12" t="n">
        <f aca="false">SUMIFS(Data!$H$4:$H$2311,Data!$B$4:$B$2311,"Inedible Tallow",Data!$C$4:$C$2311,"Brazil",Data!$E$4:$E$2311,2022,Data!$F$4:$F$2311,12)</f>
        <v>12.6845321494345</v>
      </c>
      <c r="N28" s="13" t="n">
        <f aca="false">SUM(B28:M28)</f>
        <v>126.03431137969</v>
      </c>
    </row>
    <row r="29" customFormat="false" ht="15" hidden="false" customHeight="false" outlineLevel="0" collapsed="false">
      <c r="A29" s="11" t="s">
        <v>190</v>
      </c>
      <c r="B29" s="12" t="n">
        <f aca="false">SUMIFS(Data!$H$4:$H$2311,Data!$B$4:$B$2311,"Inedible Tallow",Data!$C$4:$C$2311,"Uruguay",Data!$E$4:$E$2311,2022,Data!$F$4:$F$2311,1)</f>
        <v>8.86403799076742</v>
      </c>
      <c r="C29" s="12" t="n">
        <f aca="false">SUMIFS(Data!$H$4:$H$2311,Data!$B$4:$B$2311,"Inedible Tallow",Data!$C$4:$C$2311,"Uruguay",Data!$E$4:$E$2311,2022,Data!$F$4:$F$2311,2)</f>
        <v>0</v>
      </c>
      <c r="D29" s="12" t="n">
        <f aca="false">SUMIFS(Data!$H$4:$H$2311,Data!$B$4:$B$2311,"Inedible Tallow",Data!$C$4:$C$2311,"Uruguay",Data!$E$4:$E$2311,2022,Data!$F$4:$F$2311,3)</f>
        <v>10.4305700733075</v>
      </c>
      <c r="E29" s="12" t="n">
        <f aca="false">SUMIFS(Data!$H$4:$H$2311,Data!$B$4:$B$2311,"Inedible Tallow",Data!$C$4:$C$2311,"Uruguay",Data!$E$4:$E$2311,2022,Data!$F$4:$F$2311,4)</f>
        <v>0</v>
      </c>
      <c r="F29" s="12" t="n">
        <f aca="false">SUMIFS(Data!$H$4:$H$2311,Data!$B$4:$B$2311,"Inedible Tallow",Data!$C$4:$C$2311,"Uruguay",Data!$E$4:$E$2311,2022,Data!$F$4:$F$2311,5)</f>
        <v>0</v>
      </c>
      <c r="G29" s="12" t="n">
        <f aca="false">SUMIFS(Data!$H$4:$H$2311,Data!$B$4:$B$2311,"Inedible Tallow",Data!$C$4:$C$2311,"Uruguay",Data!$E$4:$E$2311,2022,Data!$F$4:$F$2311,6)</f>
        <v>8.84177571153198</v>
      </c>
      <c r="H29" s="12" t="n">
        <f aca="false">SUMIFS(Data!$H$4:$H$2311,Data!$B$4:$B$2311,"Inedible Tallow",Data!$C$4:$C$2311,"Uruguay",Data!$E$4:$E$2311,2022,Data!$F$4:$F$2311,7)</f>
        <v>0</v>
      </c>
      <c r="I29" s="12" t="n">
        <f aca="false">SUMIFS(Data!$H$4:$H$2311,Data!$B$4:$B$2311,"Inedible Tallow",Data!$C$4:$C$2311,"Uruguay",Data!$E$4:$E$2311,2022,Data!$F$4:$F$2311,8)</f>
        <v>13.2479080280899</v>
      </c>
      <c r="J29" s="12" t="n">
        <f aca="false">SUMIFS(Data!$H$4:$H$2311,Data!$B$4:$B$2311,"Inedible Tallow",Data!$C$4:$C$2311,"Uruguay",Data!$E$4:$E$2311,2022,Data!$F$4:$F$2311,9)</f>
        <v>11.707802756918</v>
      </c>
      <c r="K29" s="12" t="n">
        <f aca="false">SUMIFS(Data!$H$4:$H$2311,Data!$B$4:$B$2311,"Inedible Tallow",Data!$C$4:$C$2311,"Uruguay",Data!$E$4:$E$2311,2022,Data!$F$4:$F$2311,10)</f>
        <v>0</v>
      </c>
      <c r="L29" s="12" t="n">
        <f aca="false">SUMIFS(Data!$H$4:$H$2311,Data!$B$4:$B$2311,"Inedible Tallow",Data!$C$4:$C$2311,"Uruguay",Data!$E$4:$E$2311,2022,Data!$F$4:$F$2311,11)</f>
        <v>40.5252076881501</v>
      </c>
      <c r="M29" s="12" t="n">
        <f aca="false">SUMIFS(Data!$H$4:$H$2311,Data!$B$4:$B$2311,"Inedible Tallow",Data!$C$4:$C$2311,"Uruguay",Data!$E$4:$E$2311,2022,Data!$F$4:$F$2311,12)</f>
        <v>16.0543948303276</v>
      </c>
      <c r="N29" s="13" t="n">
        <f aca="false">SUM(B29:M29)</f>
        <v>109.671697079092</v>
      </c>
    </row>
    <row r="30" customFormat="false" ht="15" hidden="false" customHeight="false" outlineLevel="0" collapsed="false">
      <c r="A30" s="11" t="s">
        <v>78</v>
      </c>
      <c r="B30" s="12" t="n">
        <f aca="false">SUMIFS(Data!$H$4:$H$2311,Data!$B$4:$B$2311,"Inedible Tallow",Data!$C$4:$C$2311,"New Zealand",Data!$E$4:$E$2311,2022,Data!$F$4:$F$2311,1)</f>
        <v>3.163981792729</v>
      </c>
      <c r="C30" s="12" t="n">
        <f aca="false">SUMIFS(Data!$H$4:$H$2311,Data!$B$4:$B$2311,"Inedible Tallow",Data!$C$4:$C$2311,"New Zealand",Data!$E$4:$E$2311,2022,Data!$F$4:$F$2311,2)</f>
        <v>0.0214509781106005</v>
      </c>
      <c r="D30" s="12" t="n">
        <f aca="false">SUMIFS(Data!$H$4:$H$2311,Data!$B$4:$B$2311,"Inedible Tallow",Data!$C$4:$C$2311,"New Zealand",Data!$E$4:$E$2311,2022,Data!$F$4:$F$2311,3)</f>
        <v>0</v>
      </c>
      <c r="E30" s="12" t="n">
        <f aca="false">SUMIFS(Data!$H$4:$H$2311,Data!$B$4:$B$2311,"Inedible Tallow",Data!$C$4:$C$2311,"New Zealand",Data!$E$4:$E$2311,2022,Data!$F$4:$F$2311,4)</f>
        <v>22.1322792532987</v>
      </c>
      <c r="F30" s="12" t="n">
        <f aca="false">SUMIFS(Data!$H$4:$H$2311,Data!$B$4:$B$2311,"Inedible Tallow",Data!$C$4:$C$2311,"New Zealand",Data!$E$4:$E$2311,2022,Data!$F$4:$F$2311,5)</f>
        <v>13.7928885355886</v>
      </c>
      <c r="G30" s="12" t="n">
        <f aca="false">SUMIFS(Data!$H$4:$H$2311,Data!$B$4:$B$2311,"Inedible Tallow",Data!$C$4:$C$2311,"New Zealand",Data!$E$4:$E$2311,2022,Data!$F$4:$F$2311,6)</f>
        <v>5.21331520634113</v>
      </c>
      <c r="H30" s="12" t="n">
        <f aca="false">SUMIFS(Data!$H$4:$H$2311,Data!$B$4:$B$2311,"Inedible Tallow",Data!$C$4:$C$2311,"New Zealand",Data!$E$4:$E$2311,2022,Data!$F$4:$F$2311,7)</f>
        <v>8.87439751246749</v>
      </c>
      <c r="I30" s="12" t="n">
        <f aca="false">SUMIFS(Data!$H$4:$H$2311,Data!$B$4:$B$2311,"Inedible Tallow",Data!$C$4:$C$2311,"New Zealand",Data!$E$4:$E$2311,2022,Data!$F$4:$F$2311,8)</f>
        <v>0</v>
      </c>
      <c r="J30" s="12" t="n">
        <f aca="false">SUMIFS(Data!$H$4:$H$2311,Data!$B$4:$B$2311,"Inedible Tallow",Data!$C$4:$C$2311,"New Zealand",Data!$E$4:$E$2311,2022,Data!$F$4:$F$2311,9)</f>
        <v>13.2336838029338</v>
      </c>
      <c r="K30" s="12" t="n">
        <f aca="false">SUMIFS(Data!$H$4:$H$2311,Data!$B$4:$B$2311,"Inedible Tallow",Data!$C$4:$C$2311,"New Zealand",Data!$E$4:$E$2311,2022,Data!$F$4:$F$2311,10)</f>
        <v>15.0945330054908</v>
      </c>
      <c r="L30" s="12" t="n">
        <f aca="false">SUMIFS(Data!$H$4:$H$2311,Data!$B$4:$B$2311,"Inedible Tallow",Data!$C$4:$C$2311,"New Zealand",Data!$E$4:$E$2311,2022,Data!$F$4:$F$2311,11)</f>
        <v>4.7014657676036</v>
      </c>
      <c r="M30" s="12" t="n">
        <f aca="false">SUMIFS(Data!$H$4:$H$2311,Data!$B$4:$B$2311,"Inedible Tallow",Data!$C$4:$C$2311,"New Zealand",Data!$E$4:$E$2311,2022,Data!$F$4:$F$2311,12)</f>
        <v>22.7066716311955</v>
      </c>
      <c r="N30" s="13" t="n">
        <f aca="false">SUM(B30:M30)</f>
        <v>108.934667485759</v>
      </c>
    </row>
    <row r="31" customFormat="false" ht="15" hidden="false" customHeight="false" outlineLevel="0" collapsed="false">
      <c r="A31" s="11" t="s">
        <v>68</v>
      </c>
      <c r="B31" s="12" t="n">
        <f aca="false">SUMIFS(Data!$H$4:$H$2311,Data!$B$4:$B$2311,"Inedible Tallow",Data!$C$4:$C$2311,"Argentina",Data!$E$4:$E$2311,2022,Data!$F$4:$F$2311,1)</f>
        <v>0</v>
      </c>
      <c r="C31" s="12" t="n">
        <f aca="false">SUMIFS(Data!$H$4:$H$2311,Data!$B$4:$B$2311,"Inedible Tallow",Data!$C$4:$C$2311,"Argentina",Data!$E$4:$E$2311,2022,Data!$F$4:$F$2311,2)</f>
        <v>0</v>
      </c>
      <c r="D31" s="12" t="n">
        <f aca="false">SUMIFS(Data!$H$4:$H$2311,Data!$B$4:$B$2311,"Inedible Tallow",Data!$C$4:$C$2311,"Argentina",Data!$E$4:$E$2311,2022,Data!$F$4:$F$2311,3)</f>
        <v>0</v>
      </c>
      <c r="E31" s="12" t="n">
        <f aca="false">SUMIFS(Data!$H$4:$H$2311,Data!$B$4:$B$2311,"Inedible Tallow",Data!$C$4:$C$2311,"Argentina",Data!$E$4:$E$2311,2022,Data!$F$4:$F$2311,4)</f>
        <v>0</v>
      </c>
      <c r="F31" s="12" t="n">
        <f aca="false">SUMIFS(Data!$H$4:$H$2311,Data!$B$4:$B$2311,"Inedible Tallow",Data!$C$4:$C$2311,"Argentina",Data!$E$4:$E$2311,2022,Data!$F$4:$F$2311,5)</f>
        <v>0</v>
      </c>
      <c r="G31" s="12" t="n">
        <f aca="false">SUMIFS(Data!$H$4:$H$2311,Data!$B$4:$B$2311,"Inedible Tallow",Data!$C$4:$C$2311,"Argentina",Data!$E$4:$E$2311,2022,Data!$F$4:$F$2311,6)</f>
        <v>0</v>
      </c>
      <c r="H31" s="12" t="n">
        <f aca="false">SUMIFS(Data!$H$4:$H$2311,Data!$B$4:$B$2311,"Inedible Tallow",Data!$C$4:$C$2311,"Argentina",Data!$E$4:$E$2311,2022,Data!$F$4:$F$2311,7)</f>
        <v>0</v>
      </c>
      <c r="I31" s="12" t="n">
        <f aca="false">SUMIFS(Data!$H$4:$H$2311,Data!$B$4:$B$2311,"Inedible Tallow",Data!$C$4:$C$2311,"Argentina",Data!$E$4:$E$2311,2022,Data!$F$4:$F$2311,8)</f>
        <v>0</v>
      </c>
      <c r="J31" s="12" t="n">
        <f aca="false">SUMIFS(Data!$H$4:$H$2311,Data!$B$4:$B$2311,"Inedible Tallow",Data!$C$4:$C$2311,"Argentina",Data!$E$4:$E$2311,2022,Data!$F$4:$F$2311,9)</f>
        <v>7.8580422329458</v>
      </c>
      <c r="K31" s="12" t="n">
        <f aca="false">SUMIFS(Data!$H$4:$H$2311,Data!$B$4:$B$2311,"Inedible Tallow",Data!$C$4:$C$2311,"Argentina",Data!$E$4:$E$2311,2022,Data!$F$4:$F$2311,10)</f>
        <v>0</v>
      </c>
      <c r="L31" s="12" t="n">
        <f aca="false">SUMIFS(Data!$H$4:$H$2311,Data!$B$4:$B$2311,"Inedible Tallow",Data!$C$4:$C$2311,"Argentina",Data!$E$4:$E$2311,2022,Data!$F$4:$F$2311,11)</f>
        <v>22.4894788243587</v>
      </c>
      <c r="M31" s="12" t="n">
        <f aca="false">SUMIFS(Data!$H$4:$H$2311,Data!$B$4:$B$2311,"Inedible Tallow",Data!$C$4:$C$2311,"Argentina",Data!$E$4:$E$2311,2022,Data!$F$4:$F$2311,12)</f>
        <v>8.24703687145813</v>
      </c>
      <c r="N31" s="13" t="n">
        <f aca="false">SUM(B31:M31)</f>
        <v>38.5945579287626</v>
      </c>
    </row>
    <row r="32" customFormat="false" ht="15" hidden="false" customHeight="false" outlineLevel="0" collapsed="false">
      <c r="A32" s="11" t="s">
        <v>47</v>
      </c>
      <c r="B32" s="12" t="n">
        <f aca="false">SUMIFS(Data!$H$4:$H$2311,Data!$B$4:$B$2311,"Inedible Tallow",Data!$C$4:$C$2311,"Mexico",Data!$E$4:$E$2311,2022,Data!$F$4:$F$2311,1)</f>
        <v>0</v>
      </c>
      <c r="C32" s="12" t="n">
        <f aca="false">SUMIFS(Data!$H$4:$H$2311,Data!$B$4:$B$2311,"Inedible Tallow",Data!$C$4:$C$2311,"Mexico",Data!$E$4:$E$2311,2022,Data!$F$4:$F$2311,2)</f>
        <v>0</v>
      </c>
      <c r="D32" s="12" t="n">
        <f aca="false">SUMIFS(Data!$H$4:$H$2311,Data!$B$4:$B$2311,"Inedible Tallow",Data!$C$4:$C$2311,"Mexico",Data!$E$4:$E$2311,2022,Data!$F$4:$F$2311,3)</f>
        <v>0</v>
      </c>
      <c r="E32" s="12" t="n">
        <f aca="false">SUMIFS(Data!$H$4:$H$2311,Data!$B$4:$B$2311,"Inedible Tallow",Data!$C$4:$C$2311,"Mexico",Data!$E$4:$E$2311,2022,Data!$F$4:$F$2311,4)</f>
        <v>0</v>
      </c>
      <c r="F32" s="12" t="n">
        <f aca="false">SUMIFS(Data!$H$4:$H$2311,Data!$B$4:$B$2311,"Inedible Tallow",Data!$C$4:$C$2311,"Mexico",Data!$E$4:$E$2311,2022,Data!$F$4:$F$2311,5)</f>
        <v>0</v>
      </c>
      <c r="G32" s="12" t="n">
        <f aca="false">SUMIFS(Data!$H$4:$H$2311,Data!$B$4:$B$2311,"Inedible Tallow",Data!$C$4:$C$2311,"Mexico",Data!$E$4:$E$2311,2022,Data!$F$4:$F$2311,6)</f>
        <v>0</v>
      </c>
      <c r="H32" s="12" t="n">
        <f aca="false">SUMIFS(Data!$H$4:$H$2311,Data!$B$4:$B$2311,"Inedible Tallow",Data!$C$4:$C$2311,"Mexico",Data!$E$4:$E$2311,2022,Data!$F$4:$F$2311,7)</f>
        <v>0</v>
      </c>
      <c r="I32" s="12" t="n">
        <f aca="false">SUMIFS(Data!$H$4:$H$2311,Data!$B$4:$B$2311,"Inedible Tallow",Data!$C$4:$C$2311,"Mexico",Data!$E$4:$E$2311,2022,Data!$F$4:$F$2311,8)</f>
        <v>0</v>
      </c>
      <c r="J32" s="12" t="n">
        <f aca="false">SUMIFS(Data!$H$4:$H$2311,Data!$B$4:$B$2311,"Inedible Tallow",Data!$C$4:$C$2311,"Mexico",Data!$E$4:$E$2311,2022,Data!$F$4:$F$2311,9)</f>
        <v>0</v>
      </c>
      <c r="K32" s="12" t="n">
        <f aca="false">SUMIFS(Data!$H$4:$H$2311,Data!$B$4:$B$2311,"Inedible Tallow",Data!$C$4:$C$2311,"Mexico",Data!$E$4:$E$2311,2022,Data!$F$4:$F$2311,10)</f>
        <v>1.91330378859874</v>
      </c>
      <c r="L32" s="12" t="n">
        <f aca="false">SUMIFS(Data!$H$4:$H$2311,Data!$B$4:$B$2311,"Inedible Tallow",Data!$C$4:$C$2311,"Mexico",Data!$E$4:$E$2311,2022,Data!$F$4:$F$2311,11)</f>
        <v>1.2780153246412</v>
      </c>
      <c r="M32" s="12" t="n">
        <f aca="false">SUMIFS(Data!$H$4:$H$2311,Data!$B$4:$B$2311,"Inedible Tallow",Data!$C$4:$C$2311,"Mexico",Data!$E$4:$E$2311,2022,Data!$F$4:$F$2311,12)</f>
        <v>1.03202794174042</v>
      </c>
      <c r="N32" s="13" t="n">
        <f aca="false">SUM(B32:M32)</f>
        <v>4.22334705498037</v>
      </c>
    </row>
    <row r="33" customFormat="false" ht="15" hidden="false" customHeight="false" outlineLevel="0" collapsed="false">
      <c r="A33" s="11" t="s">
        <v>70</v>
      </c>
      <c r="B33" s="12" t="n">
        <f aca="false">SUMIFS(Data!$H$4:$H$2311,Data!$B$4:$B$2311,"Inedible Tallow",Data!$C$4:$C$2311,"Sweden",Data!$E$4:$E$2311,2022,Data!$F$4:$F$2311,1)</f>
        <v>0</v>
      </c>
      <c r="C33" s="12" t="n">
        <f aca="false">SUMIFS(Data!$H$4:$H$2311,Data!$B$4:$B$2311,"Inedible Tallow",Data!$C$4:$C$2311,"Sweden",Data!$E$4:$E$2311,2022,Data!$F$4:$F$2311,2)</f>
        <v>0</v>
      </c>
      <c r="D33" s="12" t="n">
        <f aca="false">SUMIFS(Data!$H$4:$H$2311,Data!$B$4:$B$2311,"Inedible Tallow",Data!$C$4:$C$2311,"Sweden",Data!$E$4:$E$2311,2022,Data!$F$4:$F$2311,3)</f>
        <v>0</v>
      </c>
      <c r="E33" s="12" t="n">
        <f aca="false">SUMIFS(Data!$H$4:$H$2311,Data!$B$4:$B$2311,"Inedible Tallow",Data!$C$4:$C$2311,"Sweden",Data!$E$4:$E$2311,2022,Data!$F$4:$F$2311,4)</f>
        <v>0.0001190496215799</v>
      </c>
      <c r="F33" s="12" t="n">
        <f aca="false">SUMIFS(Data!$H$4:$H$2311,Data!$B$4:$B$2311,"Inedible Tallow",Data!$C$4:$C$2311,"Sweden",Data!$E$4:$E$2311,2022,Data!$F$4:$F$2311,5)</f>
        <v>0</v>
      </c>
      <c r="G33" s="12" t="n">
        <f aca="false">SUMIFS(Data!$H$4:$H$2311,Data!$B$4:$B$2311,"Inedible Tallow",Data!$C$4:$C$2311,"Sweden",Data!$E$4:$E$2311,2022,Data!$F$4:$F$2311,6)</f>
        <v>0</v>
      </c>
      <c r="H33" s="12" t="n">
        <f aca="false">SUMIFS(Data!$H$4:$H$2311,Data!$B$4:$B$2311,"Inedible Tallow",Data!$C$4:$C$2311,"Sweden",Data!$E$4:$E$2311,2022,Data!$F$4:$F$2311,7)</f>
        <v>0</v>
      </c>
      <c r="I33" s="12" t="n">
        <f aca="false">SUMIFS(Data!$H$4:$H$2311,Data!$B$4:$B$2311,"Inedible Tallow",Data!$C$4:$C$2311,"Sweden",Data!$E$4:$E$2311,2022,Data!$F$4:$F$2311,8)</f>
        <v>0</v>
      </c>
      <c r="J33" s="12" t="n">
        <f aca="false">SUMIFS(Data!$H$4:$H$2311,Data!$B$4:$B$2311,"Inedible Tallow",Data!$C$4:$C$2311,"Sweden",Data!$E$4:$E$2311,2022,Data!$F$4:$F$2311,9)</f>
        <v>0</v>
      </c>
      <c r="K33" s="12" t="n">
        <f aca="false">SUMIFS(Data!$H$4:$H$2311,Data!$B$4:$B$2311,"Inedible Tallow",Data!$C$4:$C$2311,"Sweden",Data!$E$4:$E$2311,2022,Data!$F$4:$F$2311,10)</f>
        <v>0</v>
      </c>
      <c r="L33" s="12" t="n">
        <f aca="false">SUMIFS(Data!$H$4:$H$2311,Data!$B$4:$B$2311,"Inedible Tallow",Data!$C$4:$C$2311,"Sweden",Data!$E$4:$E$2311,2022,Data!$F$4:$F$2311,11)</f>
        <v>0</v>
      </c>
      <c r="M33" s="12" t="n">
        <f aca="false">SUMIFS(Data!$H$4:$H$2311,Data!$B$4:$B$2311,"Inedible Tallow",Data!$C$4:$C$2311,"Sweden",Data!$E$4:$E$2311,2022,Data!$F$4:$F$2311,12)</f>
        <v>0</v>
      </c>
      <c r="N33" s="13" t="n">
        <f aca="false">SUM(B33:M33)</f>
        <v>0.0001190496215799</v>
      </c>
    </row>
    <row r="35" customFormat="false" ht="15" hidden="false" customHeight="false" outlineLevel="0" collapsed="false">
      <c r="A35" s="8"/>
      <c r="B35" s="9" t="s">
        <v>114</v>
      </c>
      <c r="C35" s="9" t="s">
        <v>115</v>
      </c>
      <c r="D35" s="9" t="s">
        <v>116</v>
      </c>
      <c r="E35" s="9" t="s">
        <v>117</v>
      </c>
      <c r="F35" s="9" t="s">
        <v>118</v>
      </c>
      <c r="G35" s="9" t="s">
        <v>119</v>
      </c>
      <c r="H35" s="9" t="s">
        <v>120</v>
      </c>
      <c r="I35" s="9" t="s">
        <v>121</v>
      </c>
      <c r="J35" s="9" t="s">
        <v>122</v>
      </c>
      <c r="K35" s="9" t="s">
        <v>123</v>
      </c>
      <c r="L35" s="9" t="s">
        <v>124</v>
      </c>
      <c r="M35" s="9" t="s">
        <v>125</v>
      </c>
      <c r="N35" s="9" t="s">
        <v>33</v>
      </c>
    </row>
    <row r="36" customFormat="false" ht="15" hidden="false" customHeight="false" outlineLevel="0" collapsed="false">
      <c r="A36" s="10" t="s">
        <v>35</v>
      </c>
      <c r="B36" s="10" t="n">
        <f aca="false">SUM(B37:B51)</f>
        <v>103.966371832988</v>
      </c>
      <c r="C36" s="10" t="n">
        <f aca="false">SUM(C37:C51)</f>
        <v>62.7848920827654</v>
      </c>
      <c r="D36" s="10" t="n">
        <f aca="false">SUM(D37:D51)</f>
        <v>140.569231797341</v>
      </c>
      <c r="E36" s="10" t="n">
        <f aca="false">SUM(E37:E51)</f>
        <v>135.70062036104</v>
      </c>
      <c r="F36" s="10" t="n">
        <f aca="false">SUM(F37:F51)</f>
        <v>93.2088231555206</v>
      </c>
      <c r="G36" s="10" t="n">
        <f aca="false">SUM(G37:G51)</f>
        <v>132.718286244615</v>
      </c>
      <c r="H36" s="10" t="n">
        <f aca="false">SUM(H37:H51)</f>
        <v>132.69662141811</v>
      </c>
      <c r="I36" s="10" t="n">
        <f aca="false">SUM(I37:I51)</f>
        <v>116.094576282289</v>
      </c>
      <c r="J36" s="10" t="n">
        <f aca="false">SUM(J37:J51)</f>
        <v>153.10216748143</v>
      </c>
      <c r="K36" s="10" t="n">
        <f aca="false">SUM(K37:K51)</f>
        <v>166.254593303767</v>
      </c>
      <c r="L36" s="10" t="n">
        <f aca="false">SUM(L37:L51)</f>
        <v>264.017187943586</v>
      </c>
      <c r="M36" s="10" t="n">
        <f aca="false">SUM(M37:M51)</f>
        <v>197.243075319035</v>
      </c>
      <c r="N36" s="10" t="n">
        <f aca="false">SUM(B36:M36)</f>
        <v>1698.35644722249</v>
      </c>
    </row>
    <row r="37" customFormat="false" ht="15" hidden="false" customHeight="false" outlineLevel="0" collapsed="false">
      <c r="A37" s="11" t="s">
        <v>109</v>
      </c>
      <c r="B37" s="12" t="n">
        <f aca="false">SUMIFS(Data!$H$4:$H$2311,Data!$B$4:$B$2311,"Inedible Tallow",Data!$C$4:$C$2311,"Australia",Data!$E$4:$E$2311,2023,Data!$F$4:$F$2311,1)</f>
        <v>27.021309904324</v>
      </c>
      <c r="C37" s="12" t="n">
        <f aca="false">SUMIFS(Data!$H$4:$H$2311,Data!$B$4:$B$2311,"Inedible Tallow",Data!$C$4:$C$2311,"Australia",Data!$E$4:$E$2311,2023,Data!$F$4:$F$2311,2)</f>
        <v>14.5690832497991</v>
      </c>
      <c r="D37" s="12" t="n">
        <f aca="false">SUMIFS(Data!$H$4:$H$2311,Data!$B$4:$B$2311,"Inedible Tallow",Data!$C$4:$C$2311,"Australia",Data!$E$4:$E$2311,2023,Data!$F$4:$F$2311,3)</f>
        <v>15.1129834922131</v>
      </c>
      <c r="E37" s="12" t="n">
        <f aca="false">SUMIFS(Data!$H$4:$H$2311,Data!$B$4:$B$2311,"Inedible Tallow",Data!$C$4:$C$2311,"Australia",Data!$E$4:$E$2311,2023,Data!$F$4:$F$2311,4)</f>
        <v>10.4778239545842</v>
      </c>
      <c r="F37" s="12" t="n">
        <f aca="false">SUMIFS(Data!$H$4:$H$2311,Data!$B$4:$B$2311,"Inedible Tallow",Data!$C$4:$C$2311,"Australia",Data!$E$4:$E$2311,2023,Data!$F$4:$F$2311,5)</f>
        <v>43.0445137337977</v>
      </c>
      <c r="G37" s="12" t="n">
        <f aca="false">SUMIFS(Data!$H$4:$H$2311,Data!$B$4:$B$2311,"Inedible Tallow",Data!$C$4:$C$2311,"Australia",Data!$E$4:$E$2311,2023,Data!$F$4:$F$2311,6)</f>
        <v>14.9431040914638</v>
      </c>
      <c r="H37" s="12" t="n">
        <f aca="false">SUMIFS(Data!$H$4:$H$2311,Data!$B$4:$B$2311,"Inedible Tallow",Data!$C$4:$C$2311,"Australia",Data!$E$4:$E$2311,2023,Data!$F$4:$F$2311,7)</f>
        <v>69.1525498985299</v>
      </c>
      <c r="I37" s="12" t="n">
        <f aca="false">SUMIFS(Data!$H$4:$H$2311,Data!$B$4:$B$2311,"Inedible Tallow",Data!$C$4:$C$2311,"Australia",Data!$E$4:$E$2311,2023,Data!$F$4:$F$2311,8)</f>
        <v>0</v>
      </c>
      <c r="J37" s="12" t="n">
        <f aca="false">SUMIFS(Data!$H$4:$H$2311,Data!$B$4:$B$2311,"Inedible Tallow",Data!$C$4:$C$2311,"Australia",Data!$E$4:$E$2311,2023,Data!$F$4:$F$2311,9)</f>
        <v>27.8681120672445</v>
      </c>
      <c r="K37" s="12" t="n">
        <f aca="false">SUMIFS(Data!$H$4:$H$2311,Data!$B$4:$B$2311,"Inedible Tallow",Data!$C$4:$C$2311,"Australia",Data!$E$4:$E$2311,2023,Data!$F$4:$F$2311,10)</f>
        <v>17.9735496873647</v>
      </c>
      <c r="L37" s="12" t="n">
        <f aca="false">SUMIFS(Data!$H$4:$H$2311,Data!$B$4:$B$2311,"Inedible Tallow",Data!$C$4:$C$2311,"Australia",Data!$E$4:$E$2311,2023,Data!$F$4:$F$2311,11)</f>
        <v>129.616772433876</v>
      </c>
      <c r="M37" s="12" t="n">
        <f aca="false">SUMIFS(Data!$H$4:$H$2311,Data!$B$4:$B$2311,"Inedible Tallow",Data!$C$4:$C$2311,"Australia",Data!$E$4:$E$2311,2023,Data!$F$4:$F$2311,12)</f>
        <v>79.2024852623071</v>
      </c>
      <c r="N37" s="13" t="n">
        <f aca="false">SUM(B37:M37)</f>
        <v>448.982287775504</v>
      </c>
    </row>
    <row r="38" customFormat="false" ht="15" hidden="false" customHeight="false" outlineLevel="0" collapsed="false">
      <c r="A38" s="11" t="s">
        <v>43</v>
      </c>
      <c r="B38" s="12" t="n">
        <f aca="false">SUMIFS(Data!$H$4:$H$2311,Data!$B$4:$B$2311,"Inedible Tallow",Data!$C$4:$C$2311,"Canada",Data!$E$4:$E$2311,2023,Data!$F$4:$F$2311,1)</f>
        <v>45.0970482594568</v>
      </c>
      <c r="C38" s="12" t="n">
        <f aca="false">SUMIFS(Data!$H$4:$H$2311,Data!$B$4:$B$2311,"Inedible Tallow",Data!$C$4:$C$2311,"Canada",Data!$E$4:$E$2311,2023,Data!$F$4:$F$2311,2)</f>
        <v>47.7227802575516</v>
      </c>
      <c r="D38" s="12" t="n">
        <f aca="false">SUMIFS(Data!$H$4:$H$2311,Data!$B$4:$B$2311,"Inedible Tallow",Data!$C$4:$C$2311,"Canada",Data!$E$4:$E$2311,2023,Data!$F$4:$F$2311,3)</f>
        <v>51.5845118823604</v>
      </c>
      <c r="E38" s="12" t="n">
        <f aca="false">SUMIFS(Data!$H$4:$H$2311,Data!$B$4:$B$2311,"Inedible Tallow",Data!$C$4:$C$2311,"Canada",Data!$E$4:$E$2311,2023,Data!$F$4:$F$2311,4)</f>
        <v>26.1460174032614</v>
      </c>
      <c r="F38" s="12" t="n">
        <f aca="false">SUMIFS(Data!$H$4:$H$2311,Data!$B$4:$B$2311,"Inedible Tallow",Data!$C$4:$C$2311,"Canada",Data!$E$4:$E$2311,2023,Data!$F$4:$F$2311,5)</f>
        <v>26.7057909285527</v>
      </c>
      <c r="G38" s="12" t="n">
        <f aca="false">SUMIFS(Data!$H$4:$H$2311,Data!$B$4:$B$2311,"Inedible Tallow",Data!$C$4:$C$2311,"Canada",Data!$E$4:$E$2311,2023,Data!$F$4:$F$2311,6)</f>
        <v>38.9882153441201</v>
      </c>
      <c r="H38" s="12" t="n">
        <f aca="false">SUMIFS(Data!$H$4:$H$2311,Data!$B$4:$B$2311,"Inedible Tallow",Data!$C$4:$C$2311,"Canada",Data!$E$4:$E$2311,2023,Data!$F$4:$F$2311,7)</f>
        <v>18.6580056450348</v>
      </c>
      <c r="I38" s="12" t="n">
        <f aca="false">SUMIFS(Data!$H$4:$H$2311,Data!$B$4:$B$2311,"Inedible Tallow",Data!$C$4:$C$2311,"Canada",Data!$E$4:$E$2311,2023,Data!$F$4:$F$2311,8)</f>
        <v>40.4406185227723</v>
      </c>
      <c r="J38" s="12" t="n">
        <f aca="false">SUMIFS(Data!$H$4:$H$2311,Data!$B$4:$B$2311,"Inedible Tallow",Data!$C$4:$C$2311,"Canada",Data!$E$4:$E$2311,2023,Data!$F$4:$F$2311,9)</f>
        <v>31.2661321882638</v>
      </c>
      <c r="K38" s="12" t="n">
        <f aca="false">SUMIFS(Data!$H$4:$H$2311,Data!$B$4:$B$2311,"Inedible Tallow",Data!$C$4:$C$2311,"Canada",Data!$E$4:$E$2311,2023,Data!$F$4:$F$2311,10)</f>
        <v>31.8377269000535</v>
      </c>
      <c r="L38" s="12" t="n">
        <f aca="false">SUMIFS(Data!$H$4:$H$2311,Data!$B$4:$B$2311,"Inedible Tallow",Data!$C$4:$C$2311,"Canada",Data!$E$4:$E$2311,2023,Data!$F$4:$F$2311,11)</f>
        <v>28.4295236271438</v>
      </c>
      <c r="M38" s="12" t="n">
        <f aca="false">SUMIFS(Data!$H$4:$H$2311,Data!$B$4:$B$2311,"Inedible Tallow",Data!$C$4:$C$2311,"Canada",Data!$E$4:$E$2311,2023,Data!$F$4:$F$2311,12)</f>
        <v>35.9087213041283</v>
      </c>
      <c r="N38" s="13" t="n">
        <f aca="false">SUM(B38:M38)</f>
        <v>422.785092262699</v>
      </c>
    </row>
    <row r="39" customFormat="false" ht="15" hidden="false" customHeight="false" outlineLevel="0" collapsed="false">
      <c r="A39" s="11" t="s">
        <v>49</v>
      </c>
      <c r="B39" s="12" t="n">
        <f aca="false">SUMIFS(Data!$H$4:$H$2311,Data!$B$4:$B$2311,"Inedible Tallow",Data!$C$4:$C$2311,"Brazil",Data!$E$4:$E$2311,2023,Data!$F$4:$F$2311,1)</f>
        <v>12.2242708800483</v>
      </c>
      <c r="C39" s="12" t="n">
        <f aca="false">SUMIFS(Data!$H$4:$H$2311,Data!$B$4:$B$2311,"Inedible Tallow",Data!$C$4:$C$2311,"Brazil",Data!$E$4:$E$2311,2023,Data!$F$4:$F$2311,2)</f>
        <v>0</v>
      </c>
      <c r="D39" s="12" t="n">
        <f aca="false">SUMIFS(Data!$H$4:$H$2311,Data!$B$4:$B$2311,"Inedible Tallow",Data!$C$4:$C$2311,"Brazil",Data!$E$4:$E$2311,2023,Data!$F$4:$F$2311,3)</f>
        <v>11.6469463540644</v>
      </c>
      <c r="E39" s="12" t="n">
        <f aca="false">SUMIFS(Data!$H$4:$H$2311,Data!$B$4:$B$2311,"Inedible Tallow",Data!$C$4:$C$2311,"Brazil",Data!$E$4:$E$2311,2023,Data!$F$4:$F$2311,4)</f>
        <v>27.1417947352307</v>
      </c>
      <c r="F39" s="12" t="n">
        <f aca="false">SUMIFS(Data!$H$4:$H$2311,Data!$B$4:$B$2311,"Inedible Tallow",Data!$C$4:$C$2311,"Brazil",Data!$E$4:$E$2311,2023,Data!$F$4:$F$2311,5)</f>
        <v>14.4670841795766</v>
      </c>
      <c r="G39" s="12" t="n">
        <f aca="false">SUMIFS(Data!$H$4:$H$2311,Data!$B$4:$B$2311,"Inedible Tallow",Data!$C$4:$C$2311,"Brazil",Data!$E$4:$E$2311,2023,Data!$F$4:$F$2311,6)</f>
        <v>20.805440356074</v>
      </c>
      <c r="H39" s="12" t="n">
        <f aca="false">SUMIFS(Data!$H$4:$H$2311,Data!$B$4:$B$2311,"Inedible Tallow",Data!$C$4:$C$2311,"Brazil",Data!$E$4:$E$2311,2023,Data!$F$4:$F$2311,7)</f>
        <v>26.8147477877698</v>
      </c>
      <c r="I39" s="12" t="n">
        <f aca="false">SUMIFS(Data!$H$4:$H$2311,Data!$B$4:$B$2311,"Inedible Tallow",Data!$C$4:$C$2311,"Brazil",Data!$E$4:$E$2311,2023,Data!$F$4:$F$2311,8)</f>
        <v>52.6480240397634</v>
      </c>
      <c r="J39" s="12" t="n">
        <f aca="false">SUMIFS(Data!$H$4:$H$2311,Data!$B$4:$B$2311,"Inedible Tallow",Data!$C$4:$C$2311,"Brazil",Data!$E$4:$E$2311,2023,Data!$F$4:$F$2311,9)</f>
        <v>41.0140408667155</v>
      </c>
      <c r="K39" s="12" t="n">
        <f aca="false">SUMIFS(Data!$H$4:$H$2311,Data!$B$4:$B$2311,"Inedible Tallow",Data!$C$4:$C$2311,"Brazil",Data!$E$4:$E$2311,2023,Data!$F$4:$F$2311,10)</f>
        <v>51.8609362851784</v>
      </c>
      <c r="L39" s="12" t="n">
        <f aca="false">SUMIFS(Data!$H$4:$H$2311,Data!$B$4:$B$2311,"Inedible Tallow",Data!$C$4:$C$2311,"Brazil",Data!$E$4:$E$2311,2023,Data!$F$4:$F$2311,11)</f>
        <v>60.2000139464761</v>
      </c>
      <c r="M39" s="12" t="n">
        <f aca="false">SUMIFS(Data!$H$4:$H$2311,Data!$B$4:$B$2311,"Inedible Tallow",Data!$C$4:$C$2311,"Brazil",Data!$E$4:$E$2311,2023,Data!$F$4:$F$2311,12)</f>
        <v>61.4162204712912</v>
      </c>
      <c r="N39" s="13" t="n">
        <f aca="false">SUM(B39:M39)</f>
        <v>380.239519902188</v>
      </c>
    </row>
    <row r="40" customFormat="false" ht="15" hidden="false" customHeight="false" outlineLevel="0" collapsed="false">
      <c r="A40" s="11" t="s">
        <v>190</v>
      </c>
      <c r="B40" s="12" t="n">
        <f aca="false">SUMIFS(Data!$H$4:$H$2311,Data!$B$4:$B$2311,"Inedible Tallow",Data!$C$4:$C$2311,"Uruguay",Data!$E$4:$E$2311,2023,Data!$F$4:$F$2311,1)</f>
        <v>0</v>
      </c>
      <c r="C40" s="12" t="n">
        <f aca="false">SUMIFS(Data!$H$4:$H$2311,Data!$B$4:$B$2311,"Inedible Tallow",Data!$C$4:$C$2311,"Uruguay",Data!$E$4:$E$2311,2023,Data!$F$4:$F$2311,2)</f>
        <v>0</v>
      </c>
      <c r="D40" s="12" t="n">
        <f aca="false">SUMIFS(Data!$H$4:$H$2311,Data!$B$4:$B$2311,"Inedible Tallow",Data!$C$4:$C$2311,"Uruguay",Data!$E$4:$E$2311,2023,Data!$F$4:$F$2311,3)</f>
        <v>29.4694838010777</v>
      </c>
      <c r="E40" s="12" t="n">
        <f aca="false">SUMIFS(Data!$H$4:$H$2311,Data!$B$4:$B$2311,"Inedible Tallow",Data!$C$4:$C$2311,"Uruguay",Data!$E$4:$E$2311,2023,Data!$F$4:$F$2311,4)</f>
        <v>31.3500379206288</v>
      </c>
      <c r="F40" s="12" t="n">
        <f aca="false">SUMIFS(Data!$H$4:$H$2311,Data!$B$4:$B$2311,"Inedible Tallow",Data!$C$4:$C$2311,"Uruguay",Data!$E$4:$E$2311,2023,Data!$F$4:$F$2311,5)</f>
        <v>0</v>
      </c>
      <c r="G40" s="12" t="n">
        <f aca="false">SUMIFS(Data!$H$4:$H$2311,Data!$B$4:$B$2311,"Inedible Tallow",Data!$C$4:$C$2311,"Uruguay",Data!$E$4:$E$2311,2023,Data!$F$4:$F$2311,6)</f>
        <v>28.7480364804356</v>
      </c>
      <c r="H40" s="12" t="n">
        <f aca="false">SUMIFS(Data!$H$4:$H$2311,Data!$B$4:$B$2311,"Inedible Tallow",Data!$C$4:$C$2311,"Uruguay",Data!$E$4:$E$2311,2023,Data!$F$4:$F$2311,7)</f>
        <v>0</v>
      </c>
      <c r="I40" s="12" t="n">
        <f aca="false">SUMIFS(Data!$H$4:$H$2311,Data!$B$4:$B$2311,"Inedible Tallow",Data!$C$4:$C$2311,"Uruguay",Data!$E$4:$E$2311,2023,Data!$F$4:$F$2311,8)</f>
        <v>6.87668092830074</v>
      </c>
      <c r="J40" s="12" t="n">
        <f aca="false">SUMIFS(Data!$H$4:$H$2311,Data!$B$4:$B$2311,"Inedible Tallow",Data!$C$4:$C$2311,"Uruguay",Data!$E$4:$E$2311,2023,Data!$F$4:$F$2311,9)</f>
        <v>28.786798155373</v>
      </c>
      <c r="K40" s="12" t="n">
        <f aca="false">SUMIFS(Data!$H$4:$H$2311,Data!$B$4:$B$2311,"Inedible Tallow",Data!$C$4:$C$2311,"Uruguay",Data!$E$4:$E$2311,2023,Data!$F$4:$F$2311,10)</f>
        <v>22.2349970304959</v>
      </c>
      <c r="L40" s="12" t="n">
        <f aca="false">SUMIFS(Data!$H$4:$H$2311,Data!$B$4:$B$2311,"Inedible Tallow",Data!$C$4:$C$2311,"Uruguay",Data!$E$4:$E$2311,2023,Data!$F$4:$F$2311,11)</f>
        <v>6.66718886828206</v>
      </c>
      <c r="M40" s="12" t="n">
        <f aca="false">SUMIFS(Data!$H$4:$H$2311,Data!$B$4:$B$2311,"Inedible Tallow",Data!$C$4:$C$2311,"Uruguay",Data!$E$4:$E$2311,2023,Data!$F$4:$F$2311,12)</f>
        <v>0</v>
      </c>
      <c r="N40" s="13" t="n">
        <f aca="false">SUM(B40:M40)</f>
        <v>154.133223184594</v>
      </c>
    </row>
    <row r="41" customFormat="false" ht="15" hidden="false" customHeight="false" outlineLevel="0" collapsed="false">
      <c r="A41" s="11" t="s">
        <v>68</v>
      </c>
      <c r="B41" s="12" t="n">
        <f aca="false">SUMIFS(Data!$H$4:$H$2311,Data!$B$4:$B$2311,"Inedible Tallow",Data!$C$4:$C$2311,"Argentina",Data!$E$4:$E$2311,2023,Data!$F$4:$F$2311,1)</f>
        <v>11.1039257560765</v>
      </c>
      <c r="C41" s="12" t="n">
        <f aca="false">SUMIFS(Data!$H$4:$H$2311,Data!$B$4:$B$2311,"Inedible Tallow",Data!$C$4:$C$2311,"Argentina",Data!$E$4:$E$2311,2023,Data!$F$4:$F$2311,2)</f>
        <v>0</v>
      </c>
      <c r="D41" s="12" t="n">
        <f aca="false">SUMIFS(Data!$H$4:$H$2311,Data!$B$4:$B$2311,"Inedible Tallow",Data!$C$4:$C$2311,"Argentina",Data!$E$4:$E$2311,2023,Data!$F$4:$F$2311,3)</f>
        <v>11.1242016703297</v>
      </c>
      <c r="E41" s="12" t="n">
        <f aca="false">SUMIFS(Data!$H$4:$H$2311,Data!$B$4:$B$2311,"Inedible Tallow",Data!$C$4:$C$2311,"Argentina",Data!$E$4:$E$2311,2023,Data!$F$4:$F$2311,4)</f>
        <v>30.395767018761</v>
      </c>
      <c r="F41" s="12" t="n">
        <f aca="false">SUMIFS(Data!$H$4:$H$2311,Data!$B$4:$B$2311,"Inedible Tallow",Data!$C$4:$C$2311,"Argentina",Data!$E$4:$E$2311,2023,Data!$F$4:$F$2311,5)</f>
        <v>0</v>
      </c>
      <c r="G41" s="12" t="n">
        <f aca="false">SUMIFS(Data!$H$4:$H$2311,Data!$B$4:$B$2311,"Inedible Tallow",Data!$C$4:$C$2311,"Argentina",Data!$E$4:$E$2311,2023,Data!$F$4:$F$2311,6)</f>
        <v>15.2935090156033</v>
      </c>
      <c r="H41" s="12" t="n">
        <f aca="false">SUMIFS(Data!$H$4:$H$2311,Data!$B$4:$B$2311,"Inedible Tallow",Data!$C$4:$C$2311,"Argentina",Data!$E$4:$E$2311,2023,Data!$F$4:$F$2311,7)</f>
        <v>8.82597518120118</v>
      </c>
      <c r="I41" s="12" t="n">
        <f aca="false">SUMIFS(Data!$H$4:$H$2311,Data!$B$4:$B$2311,"Inedible Tallow",Data!$C$4:$C$2311,"Argentina",Data!$E$4:$E$2311,2023,Data!$F$4:$F$2311,8)</f>
        <v>11.0410962159764</v>
      </c>
      <c r="J41" s="12" t="n">
        <f aca="false">SUMIFS(Data!$H$4:$H$2311,Data!$B$4:$B$2311,"Inedible Tallow",Data!$C$4:$C$2311,"Argentina",Data!$E$4:$E$2311,2023,Data!$F$4:$F$2311,9)</f>
        <v>14.5985061433103</v>
      </c>
      <c r="K41" s="12" t="n">
        <f aca="false">SUMIFS(Data!$H$4:$H$2311,Data!$B$4:$B$2311,"Inedible Tallow",Data!$C$4:$C$2311,"Argentina",Data!$E$4:$E$2311,2023,Data!$F$4:$F$2311,10)</f>
        <v>11.0984384503708</v>
      </c>
      <c r="L41" s="12" t="n">
        <f aca="false">SUMIFS(Data!$H$4:$H$2311,Data!$B$4:$B$2311,"Inedible Tallow",Data!$C$4:$C$2311,"Argentina",Data!$E$4:$E$2311,2023,Data!$F$4:$F$2311,11)</f>
        <v>26.4866470306956</v>
      </c>
      <c r="M41" s="12" t="n">
        <f aca="false">SUMIFS(Data!$H$4:$H$2311,Data!$B$4:$B$2311,"Inedible Tallow",Data!$C$4:$C$2311,"Argentina",Data!$E$4:$E$2311,2023,Data!$F$4:$F$2311,12)</f>
        <v>11.1881291124955</v>
      </c>
      <c r="N41" s="13" t="n">
        <f aca="false">SUM(B41:M41)</f>
        <v>151.15619559482</v>
      </c>
    </row>
    <row r="42" customFormat="false" ht="15" hidden="false" customHeight="false" outlineLevel="0" collapsed="false">
      <c r="A42" s="11" t="s">
        <v>78</v>
      </c>
      <c r="B42" s="12" t="n">
        <f aca="false">SUMIFS(Data!$H$4:$H$2311,Data!$B$4:$B$2311,"Inedible Tallow",Data!$C$4:$C$2311,"New Zealand",Data!$E$4:$E$2311,2023,Data!$F$4:$F$2311,1)</f>
        <v>0.0006349313150928</v>
      </c>
      <c r="C42" s="12" t="n">
        <f aca="false">SUMIFS(Data!$H$4:$H$2311,Data!$B$4:$B$2311,"Inedible Tallow",Data!$C$4:$C$2311,"New Zealand",Data!$E$4:$E$2311,2023,Data!$F$4:$F$2311,2)</f>
        <v>0</v>
      </c>
      <c r="D42" s="12" t="n">
        <f aca="false">SUMIFS(Data!$H$4:$H$2311,Data!$B$4:$B$2311,"Inedible Tallow",Data!$C$4:$C$2311,"New Zealand",Data!$E$4:$E$2311,2023,Data!$F$4:$F$2311,3)</f>
        <v>18.1269054415632</v>
      </c>
      <c r="E42" s="12" t="n">
        <f aca="false">SUMIFS(Data!$H$4:$H$2311,Data!$B$4:$B$2311,"Inedible Tallow",Data!$C$4:$C$2311,"New Zealand",Data!$E$4:$E$2311,2023,Data!$F$4:$F$2311,4)</f>
        <v>9.21680847498013</v>
      </c>
      <c r="F42" s="12" t="n">
        <f aca="false">SUMIFS(Data!$H$4:$H$2311,Data!$B$4:$B$2311,"Inedible Tallow",Data!$C$4:$C$2311,"New Zealand",Data!$E$4:$E$2311,2023,Data!$F$4:$F$2311,5)</f>
        <v>0</v>
      </c>
      <c r="G42" s="12" t="n">
        <f aca="false">SUMIFS(Data!$H$4:$H$2311,Data!$B$4:$B$2311,"Inedible Tallow",Data!$C$4:$C$2311,"New Zealand",Data!$E$4:$E$2311,2023,Data!$F$4:$F$2311,6)</f>
        <v>11.5151826738243</v>
      </c>
      <c r="H42" s="12" t="n">
        <f aca="false">SUMIFS(Data!$H$4:$H$2311,Data!$B$4:$B$2311,"Inedible Tallow",Data!$C$4:$C$2311,"New Zealand",Data!$E$4:$E$2311,2023,Data!$F$4:$F$2311,7)</f>
        <v>7.42756541518075</v>
      </c>
      <c r="I42" s="12" t="n">
        <f aca="false">SUMIFS(Data!$H$4:$H$2311,Data!$B$4:$B$2311,"Inedible Tallow",Data!$C$4:$C$2311,"New Zealand",Data!$E$4:$E$2311,2023,Data!$F$4:$F$2311,8)</f>
        <v>0</v>
      </c>
      <c r="J42" s="12" t="n">
        <f aca="false">SUMIFS(Data!$H$4:$H$2311,Data!$B$4:$B$2311,"Inedible Tallow",Data!$C$4:$C$2311,"New Zealand",Data!$E$4:$E$2311,2023,Data!$F$4:$F$2311,9)</f>
        <v>4.40655780872396</v>
      </c>
      <c r="K42" s="12" t="n">
        <f aca="false">SUMIFS(Data!$H$4:$H$2311,Data!$B$4:$B$2311,"Inedible Tallow",Data!$C$4:$C$2311,"New Zealand",Data!$E$4:$E$2311,2023,Data!$F$4:$F$2311,10)</f>
        <v>15.7302094830298</v>
      </c>
      <c r="L42" s="12" t="n">
        <f aca="false">SUMIFS(Data!$H$4:$H$2311,Data!$B$4:$B$2311,"Inedible Tallow",Data!$C$4:$C$2311,"New Zealand",Data!$E$4:$E$2311,2023,Data!$F$4:$F$2311,11)</f>
        <v>10.4216016684818</v>
      </c>
      <c r="M42" s="12" t="n">
        <f aca="false">SUMIFS(Data!$H$4:$H$2311,Data!$B$4:$B$2311,"Inedible Tallow",Data!$C$4:$C$2311,"New Zealand",Data!$E$4:$E$2311,2023,Data!$F$4:$F$2311,12)</f>
        <v>6.26492019696358</v>
      </c>
      <c r="N42" s="13" t="n">
        <f aca="false">SUM(B42:M42)</f>
        <v>83.1103860940627</v>
      </c>
    </row>
    <row r="43" customFormat="false" ht="15" hidden="false" customHeight="false" outlineLevel="0" collapsed="false">
      <c r="A43" s="11" t="s">
        <v>47</v>
      </c>
      <c r="B43" s="12" t="n">
        <f aca="false">SUMIFS(Data!$H$4:$H$2311,Data!$B$4:$B$2311,"Inedible Tallow",Data!$C$4:$C$2311,"Mexico",Data!$E$4:$E$2311,2023,Data!$F$4:$F$2311,1)</f>
        <v>2.2738080889689</v>
      </c>
      <c r="C43" s="12" t="n">
        <f aca="false">SUMIFS(Data!$H$4:$H$2311,Data!$B$4:$B$2311,"Inedible Tallow",Data!$C$4:$C$2311,"Mexico",Data!$E$4:$E$2311,2023,Data!$F$4:$F$2311,2)</f>
        <v>0.343965221461037</v>
      </c>
      <c r="D43" s="12" t="n">
        <f aca="false">SUMIFS(Data!$H$4:$H$2311,Data!$B$4:$B$2311,"Inedible Tallow",Data!$C$4:$C$2311,"Mexico",Data!$E$4:$E$2311,2023,Data!$F$4:$F$2311,3)</f>
        <v>3.50419915573289</v>
      </c>
      <c r="E43" s="12" t="n">
        <f aca="false">SUMIFS(Data!$H$4:$H$2311,Data!$B$4:$B$2311,"Inedible Tallow",Data!$C$4:$C$2311,"Mexico",Data!$E$4:$E$2311,2023,Data!$F$4:$F$2311,4)</f>
        <v>0.972370853593161</v>
      </c>
      <c r="F43" s="12" t="n">
        <f aca="false">SUMIFS(Data!$H$4:$H$2311,Data!$B$4:$B$2311,"Inedible Tallow",Data!$C$4:$C$2311,"Mexico",Data!$E$4:$E$2311,2023,Data!$F$4:$F$2311,5)</f>
        <v>2.24356507584236</v>
      </c>
      <c r="G43" s="12" t="n">
        <f aca="false">SUMIFS(Data!$H$4:$H$2311,Data!$B$4:$B$2311,"Inedible Tallow",Data!$C$4:$C$2311,"Mexico",Data!$E$4:$E$2311,2023,Data!$F$4:$F$2311,6)</f>
        <v>2.42479828309416</v>
      </c>
      <c r="H43" s="12" t="n">
        <f aca="false">SUMIFS(Data!$H$4:$H$2311,Data!$B$4:$B$2311,"Inedible Tallow",Data!$C$4:$C$2311,"Mexico",Data!$E$4:$E$2311,2023,Data!$F$4:$F$2311,7)</f>
        <v>1.81777749039398</v>
      </c>
      <c r="I43" s="12" t="n">
        <f aca="false">SUMIFS(Data!$H$4:$H$2311,Data!$B$4:$B$2311,"Inedible Tallow",Data!$C$4:$C$2311,"Mexico",Data!$E$4:$E$2311,2023,Data!$F$4:$F$2311,8)</f>
        <v>5.08815657547609</v>
      </c>
      <c r="J43" s="12" t="n">
        <f aca="false">SUMIFS(Data!$H$4:$H$2311,Data!$B$4:$B$2311,"Inedible Tallow",Data!$C$4:$C$2311,"Mexico",Data!$E$4:$E$2311,2023,Data!$F$4:$F$2311,9)</f>
        <v>2.02047049424687</v>
      </c>
      <c r="K43" s="12" t="n">
        <f aca="false">SUMIFS(Data!$H$4:$H$2311,Data!$B$4:$B$2311,"Inedible Tallow",Data!$C$4:$C$2311,"Mexico",Data!$E$4:$E$2311,2023,Data!$F$4:$F$2311,10)</f>
        <v>3.75398730803374</v>
      </c>
      <c r="L43" s="12" t="n">
        <f aca="false">SUMIFS(Data!$H$4:$H$2311,Data!$B$4:$B$2311,"Inedible Tallow",Data!$C$4:$C$2311,"Mexico",Data!$E$4:$E$2311,2023,Data!$F$4:$F$2311,11)</f>
        <v>0.877858681794452</v>
      </c>
      <c r="M43" s="12" t="n">
        <f aca="false">SUMIFS(Data!$H$4:$H$2311,Data!$B$4:$B$2311,"Inedible Tallow",Data!$C$4:$C$2311,"Mexico",Data!$E$4:$E$2311,2023,Data!$F$4:$F$2311,12)</f>
        <v>1.92957390354799</v>
      </c>
      <c r="N43" s="13" t="n">
        <f aca="false">SUM(B43:M43)</f>
        <v>27.2505311321856</v>
      </c>
    </row>
    <row r="44" customFormat="false" ht="15" hidden="false" customHeight="false" outlineLevel="0" collapsed="false">
      <c r="A44" s="11" t="s">
        <v>156</v>
      </c>
      <c r="B44" s="12" t="n">
        <f aca="false">SUMIFS(Data!$H$4:$H$2311,Data!$B$4:$B$2311,"Inedible Tallow",Data!$C$4:$C$2311,"Turkey",Data!$E$4:$E$2311,2023,Data!$F$4:$F$2311,1)</f>
        <v>6.24525496317668</v>
      </c>
      <c r="C44" s="12" t="n">
        <f aca="false">SUMIFS(Data!$H$4:$H$2311,Data!$B$4:$B$2311,"Inedible Tallow",Data!$C$4:$C$2311,"Turkey",Data!$E$4:$E$2311,2023,Data!$F$4:$F$2311,2)</f>
        <v>0</v>
      </c>
      <c r="D44" s="12" t="n">
        <f aca="false">SUMIFS(Data!$H$4:$H$2311,Data!$B$4:$B$2311,"Inedible Tallow",Data!$C$4:$C$2311,"Turkey",Data!$E$4:$E$2311,2023,Data!$F$4:$F$2311,3)</f>
        <v>0</v>
      </c>
      <c r="E44" s="12" t="n">
        <f aca="false">SUMIFS(Data!$H$4:$H$2311,Data!$B$4:$B$2311,"Inedible Tallow",Data!$C$4:$C$2311,"Turkey",Data!$E$4:$E$2311,2023,Data!$F$4:$F$2311,4)</f>
        <v>0</v>
      </c>
      <c r="F44" s="12" t="n">
        <f aca="false">SUMIFS(Data!$H$4:$H$2311,Data!$B$4:$B$2311,"Inedible Tallow",Data!$C$4:$C$2311,"Turkey",Data!$E$4:$E$2311,2023,Data!$F$4:$F$2311,5)</f>
        <v>6.74786923775129</v>
      </c>
      <c r="G44" s="12" t="n">
        <f aca="false">SUMIFS(Data!$H$4:$H$2311,Data!$B$4:$B$2311,"Inedible Tallow",Data!$C$4:$C$2311,"Turkey",Data!$E$4:$E$2311,2023,Data!$F$4:$F$2311,6)</f>
        <v>0</v>
      </c>
      <c r="H44" s="12" t="n">
        <f aca="false">SUMIFS(Data!$H$4:$H$2311,Data!$B$4:$B$2311,"Inedible Tallow",Data!$C$4:$C$2311,"Turkey",Data!$E$4:$E$2311,2023,Data!$F$4:$F$2311,7)</f>
        <v>0</v>
      </c>
      <c r="I44" s="12" t="n">
        <f aca="false">SUMIFS(Data!$H$4:$H$2311,Data!$B$4:$B$2311,"Inedible Tallow",Data!$C$4:$C$2311,"Turkey",Data!$E$4:$E$2311,2023,Data!$F$4:$F$2311,8)</f>
        <v>0</v>
      </c>
      <c r="J44" s="12" t="n">
        <f aca="false">SUMIFS(Data!$H$4:$H$2311,Data!$B$4:$B$2311,"Inedible Tallow",Data!$C$4:$C$2311,"Turkey",Data!$E$4:$E$2311,2023,Data!$F$4:$F$2311,9)</f>
        <v>0</v>
      </c>
      <c r="K44" s="12" t="n">
        <f aca="false">SUMIFS(Data!$H$4:$H$2311,Data!$B$4:$B$2311,"Inedible Tallow",Data!$C$4:$C$2311,"Turkey",Data!$E$4:$E$2311,2023,Data!$F$4:$F$2311,10)</f>
        <v>0</v>
      </c>
      <c r="L44" s="12" t="n">
        <f aca="false">SUMIFS(Data!$H$4:$H$2311,Data!$B$4:$B$2311,"Inedible Tallow",Data!$C$4:$C$2311,"Turkey",Data!$E$4:$E$2311,2023,Data!$F$4:$F$2311,11)</f>
        <v>0</v>
      </c>
      <c r="M44" s="12" t="n">
        <f aca="false">SUMIFS(Data!$H$4:$H$2311,Data!$B$4:$B$2311,"Inedible Tallow",Data!$C$4:$C$2311,"Turkey",Data!$E$4:$E$2311,2023,Data!$F$4:$F$2311,12)</f>
        <v>0.351372753470453</v>
      </c>
      <c r="N44" s="13" t="n">
        <f aca="false">SUM(B44:M44)</f>
        <v>13.3444969543984</v>
      </c>
    </row>
    <row r="45" customFormat="false" ht="15" hidden="false" customHeight="false" outlineLevel="0" collapsed="false">
      <c r="A45" s="11" t="s">
        <v>127</v>
      </c>
      <c r="B45" s="12" t="n">
        <f aca="false">SUMIFS(Data!$H$4:$H$2311,Data!$B$4:$B$2311,"Inedible Tallow",Data!$C$4:$C$2311,"Korea, South",Data!$E$4:$E$2311,2023,Data!$F$4:$F$2311,1)</f>
        <v>0</v>
      </c>
      <c r="C45" s="12" t="n">
        <f aca="false">SUMIFS(Data!$H$4:$H$2311,Data!$B$4:$B$2311,"Inedible Tallow",Data!$C$4:$C$2311,"Korea, South",Data!$E$4:$E$2311,2023,Data!$F$4:$F$2311,2)</f>
        <v>0</v>
      </c>
      <c r="D45" s="12" t="n">
        <f aca="false">SUMIFS(Data!$H$4:$H$2311,Data!$B$4:$B$2311,"Inedible Tallow",Data!$C$4:$C$2311,"Korea, South",Data!$E$4:$E$2311,2023,Data!$F$4:$F$2311,3)</f>
        <v>0</v>
      </c>
      <c r="E45" s="12" t="n">
        <f aca="false">SUMIFS(Data!$H$4:$H$2311,Data!$B$4:$B$2311,"Inedible Tallow",Data!$C$4:$C$2311,"Korea, South",Data!$E$4:$E$2311,2023,Data!$F$4:$F$2311,4)</f>
        <v>0</v>
      </c>
      <c r="F45" s="12" t="n">
        <f aca="false">SUMIFS(Data!$H$4:$H$2311,Data!$B$4:$B$2311,"Inedible Tallow",Data!$C$4:$C$2311,"Korea, South",Data!$E$4:$E$2311,2023,Data!$F$4:$F$2311,5)</f>
        <v>0</v>
      </c>
      <c r="G45" s="12" t="n">
        <f aca="false">SUMIFS(Data!$H$4:$H$2311,Data!$B$4:$B$2311,"Inedible Tallow",Data!$C$4:$C$2311,"Korea, South",Data!$E$4:$E$2311,2023,Data!$F$4:$F$2311,6)</f>
        <v>0</v>
      </c>
      <c r="H45" s="12" t="n">
        <f aca="false">SUMIFS(Data!$H$4:$H$2311,Data!$B$4:$B$2311,"Inedible Tallow",Data!$C$4:$C$2311,"Korea, South",Data!$E$4:$E$2311,2023,Data!$F$4:$F$2311,7)</f>
        <v>0</v>
      </c>
      <c r="I45" s="12" t="n">
        <f aca="false">SUMIFS(Data!$H$4:$H$2311,Data!$B$4:$B$2311,"Inedible Tallow",Data!$C$4:$C$2311,"Korea, South",Data!$E$4:$E$2311,2023,Data!$F$4:$F$2311,8)</f>
        <v>0</v>
      </c>
      <c r="J45" s="12" t="n">
        <f aca="false">SUMIFS(Data!$H$4:$H$2311,Data!$B$4:$B$2311,"Inedible Tallow",Data!$C$4:$C$2311,"Korea, South",Data!$E$4:$E$2311,2023,Data!$F$4:$F$2311,9)</f>
        <v>0</v>
      </c>
      <c r="K45" s="12" t="n">
        <f aca="false">SUMIFS(Data!$H$4:$H$2311,Data!$B$4:$B$2311,"Inedible Tallow",Data!$C$4:$C$2311,"Korea, South",Data!$E$4:$E$2311,2023,Data!$F$4:$F$2311,10)</f>
        <v>8.81290176905361</v>
      </c>
      <c r="L45" s="12" t="n">
        <f aca="false">SUMIFS(Data!$H$4:$H$2311,Data!$B$4:$B$2311,"Inedible Tallow",Data!$C$4:$C$2311,"Korea, South",Data!$E$4:$E$2311,2023,Data!$F$4:$F$2311,11)</f>
        <v>0</v>
      </c>
      <c r="M45" s="12" t="n">
        <f aca="false">SUMIFS(Data!$H$4:$H$2311,Data!$B$4:$B$2311,"Inedible Tallow",Data!$C$4:$C$2311,"Korea, South",Data!$E$4:$E$2311,2023,Data!$F$4:$F$2311,12)</f>
        <v>0</v>
      </c>
      <c r="N45" s="13" t="n">
        <f aca="false">SUM(B45:M45)</f>
        <v>8.81290176905361</v>
      </c>
    </row>
    <row r="46" customFormat="false" ht="15" hidden="false" customHeight="false" outlineLevel="0" collapsed="false">
      <c r="A46" s="11" t="s">
        <v>92</v>
      </c>
      <c r="B46" s="12" t="n">
        <f aca="false">SUMIFS(Data!$H$4:$H$2311,Data!$B$4:$B$2311,"Inedible Tallow",Data!$C$4:$C$2311,"Colombia",Data!$E$4:$E$2311,2023,Data!$F$4:$F$2311,1)</f>
        <v>0</v>
      </c>
      <c r="C46" s="12" t="n">
        <f aca="false">SUMIFS(Data!$H$4:$H$2311,Data!$B$4:$B$2311,"Inedible Tallow",Data!$C$4:$C$2311,"Colombia",Data!$E$4:$E$2311,2023,Data!$F$4:$F$2311,2)</f>
        <v>0</v>
      </c>
      <c r="D46" s="12" t="n">
        <f aca="false">SUMIFS(Data!$H$4:$H$2311,Data!$B$4:$B$2311,"Inedible Tallow",Data!$C$4:$C$2311,"Colombia",Data!$E$4:$E$2311,2023,Data!$F$4:$F$2311,3)</f>
        <v>0</v>
      </c>
      <c r="E46" s="12" t="n">
        <f aca="false">SUMIFS(Data!$H$4:$H$2311,Data!$B$4:$B$2311,"Inedible Tallow",Data!$C$4:$C$2311,"Colombia",Data!$E$4:$E$2311,2023,Data!$F$4:$F$2311,4)</f>
        <v>0</v>
      </c>
      <c r="F46" s="12" t="n">
        <f aca="false">SUMIFS(Data!$H$4:$H$2311,Data!$B$4:$B$2311,"Inedible Tallow",Data!$C$4:$C$2311,"Colombia",Data!$E$4:$E$2311,2023,Data!$F$4:$F$2311,5)</f>
        <v>0</v>
      </c>
      <c r="G46" s="12" t="n">
        <f aca="false">SUMIFS(Data!$H$4:$H$2311,Data!$B$4:$B$2311,"Inedible Tallow",Data!$C$4:$C$2311,"Colombia",Data!$E$4:$E$2311,2023,Data!$F$4:$F$2311,6)</f>
        <v>0</v>
      </c>
      <c r="H46" s="12" t="n">
        <f aca="false">SUMIFS(Data!$H$4:$H$2311,Data!$B$4:$B$2311,"Inedible Tallow",Data!$C$4:$C$2311,"Colombia",Data!$E$4:$E$2311,2023,Data!$F$4:$F$2311,7)</f>
        <v>0</v>
      </c>
      <c r="I46" s="12" t="n">
        <f aca="false">SUMIFS(Data!$H$4:$H$2311,Data!$B$4:$B$2311,"Inedible Tallow",Data!$C$4:$C$2311,"Colombia",Data!$E$4:$E$2311,2023,Data!$F$4:$F$2311,8)</f>
        <v>0</v>
      </c>
      <c r="J46" s="12" t="n">
        <f aca="false">SUMIFS(Data!$H$4:$H$2311,Data!$B$4:$B$2311,"Inedible Tallow",Data!$C$4:$C$2311,"Colombia",Data!$E$4:$E$2311,2023,Data!$F$4:$F$2311,9)</f>
        <v>1.90709336667299</v>
      </c>
      <c r="K46" s="12" t="n">
        <f aca="false">SUMIFS(Data!$H$4:$H$2311,Data!$B$4:$B$2311,"Inedible Tallow",Data!$C$4:$C$2311,"Colombia",Data!$E$4:$E$2311,2023,Data!$F$4:$F$2311,10)</f>
        <v>1.84642656136492</v>
      </c>
      <c r="L46" s="12" t="n">
        <f aca="false">SUMIFS(Data!$H$4:$H$2311,Data!$B$4:$B$2311,"Inedible Tallow",Data!$C$4:$C$2311,"Colombia",Data!$E$4:$E$2311,2023,Data!$F$4:$F$2311,11)</f>
        <v>0.837128278855773</v>
      </c>
      <c r="M46" s="12" t="n">
        <f aca="false">SUMIFS(Data!$H$4:$H$2311,Data!$B$4:$B$2311,"Inedible Tallow",Data!$C$4:$C$2311,"Colombia",Data!$E$4:$E$2311,2023,Data!$F$4:$F$2311,12)</f>
        <v>0.440318253148991</v>
      </c>
      <c r="N46" s="13" t="n">
        <f aca="false">SUM(B46:M46)</f>
        <v>5.03096646004268</v>
      </c>
    </row>
    <row r="47" customFormat="false" ht="15" hidden="false" customHeight="false" outlineLevel="0" collapsed="false">
      <c r="A47" s="11" t="s">
        <v>45</v>
      </c>
      <c r="B47" s="12" t="n">
        <f aca="false">SUMIFS(Data!$H$4:$H$2311,Data!$B$4:$B$2311,"Inedible Tallow",Data!$C$4:$C$2311,"Chile",Data!$E$4:$E$2311,2023,Data!$F$4:$F$2311,1)</f>
        <v>0</v>
      </c>
      <c r="C47" s="12" t="n">
        <f aca="false">SUMIFS(Data!$H$4:$H$2311,Data!$B$4:$B$2311,"Inedible Tallow",Data!$C$4:$C$2311,"Chile",Data!$E$4:$E$2311,2023,Data!$F$4:$F$2311,2)</f>
        <v>0</v>
      </c>
      <c r="D47" s="12" t="n">
        <f aca="false">SUMIFS(Data!$H$4:$H$2311,Data!$B$4:$B$2311,"Inedible Tallow",Data!$C$4:$C$2311,"Chile",Data!$E$4:$E$2311,2023,Data!$F$4:$F$2311,3)</f>
        <v>0</v>
      </c>
      <c r="E47" s="12" t="n">
        <f aca="false">SUMIFS(Data!$H$4:$H$2311,Data!$B$4:$B$2311,"Inedible Tallow",Data!$C$4:$C$2311,"Chile",Data!$E$4:$E$2311,2023,Data!$F$4:$F$2311,4)</f>
        <v>0</v>
      </c>
      <c r="F47" s="12" t="n">
        <f aca="false">SUMIFS(Data!$H$4:$H$2311,Data!$B$4:$B$2311,"Inedible Tallow",Data!$C$4:$C$2311,"Chile",Data!$E$4:$E$2311,2023,Data!$F$4:$F$2311,5)</f>
        <v>0</v>
      </c>
      <c r="G47" s="12" t="n">
        <f aca="false">SUMIFS(Data!$H$4:$H$2311,Data!$B$4:$B$2311,"Inedible Tallow",Data!$C$4:$C$2311,"Chile",Data!$E$4:$E$2311,2023,Data!$F$4:$F$2311,6)</f>
        <v>0</v>
      </c>
      <c r="H47" s="12" t="n">
        <f aca="false">SUMIFS(Data!$H$4:$H$2311,Data!$B$4:$B$2311,"Inedible Tallow",Data!$C$4:$C$2311,"Chile",Data!$E$4:$E$2311,2023,Data!$F$4:$F$2311,7)</f>
        <v>0</v>
      </c>
      <c r="I47" s="12" t="n">
        <f aca="false">SUMIFS(Data!$H$4:$H$2311,Data!$B$4:$B$2311,"Inedible Tallow",Data!$C$4:$C$2311,"Chile",Data!$E$4:$E$2311,2023,Data!$F$4:$F$2311,8)</f>
        <v>0</v>
      </c>
      <c r="J47" s="12" t="n">
        <f aca="false">SUMIFS(Data!$H$4:$H$2311,Data!$B$4:$B$2311,"Inedible Tallow",Data!$C$4:$C$2311,"Chile",Data!$E$4:$E$2311,2023,Data!$F$4:$F$2311,9)</f>
        <v>0.980682280877536</v>
      </c>
      <c r="K47" s="12" t="n">
        <f aca="false">SUMIFS(Data!$H$4:$H$2311,Data!$B$4:$B$2311,"Inedible Tallow",Data!$C$4:$C$2311,"Chile",Data!$E$4:$E$2311,2023,Data!$F$4:$F$2311,10)</f>
        <v>0.744192412231686</v>
      </c>
      <c r="L47" s="12" t="n">
        <f aca="false">SUMIFS(Data!$H$4:$H$2311,Data!$B$4:$B$2311,"Inedible Tallow",Data!$C$4:$C$2311,"Chile",Data!$E$4:$E$2311,2023,Data!$F$4:$F$2311,11)</f>
        <v>0.276217168291587</v>
      </c>
      <c r="M47" s="12" t="n">
        <f aca="false">SUMIFS(Data!$H$4:$H$2311,Data!$B$4:$B$2311,"Inedible Tallow",Data!$C$4:$C$2311,"Chile",Data!$E$4:$E$2311,2023,Data!$F$4:$F$2311,12)</f>
        <v>0.278642253175622</v>
      </c>
      <c r="N47" s="13" t="n">
        <f aca="false">SUM(B47:M47)</f>
        <v>2.27973411457643</v>
      </c>
    </row>
    <row r="48" customFormat="false" ht="15" hidden="false" customHeight="false" outlineLevel="0" collapsed="false">
      <c r="A48" s="11" t="s">
        <v>163</v>
      </c>
      <c r="B48" s="12" t="n">
        <f aca="false">SUMIFS(Data!$H$4:$H$2311,Data!$B$4:$B$2311,"Inedible Tallow",Data!$C$4:$C$2311,"Israel",Data!$E$4:$E$2311,2023,Data!$F$4:$F$2311,1)</f>
        <v>0</v>
      </c>
      <c r="C48" s="12" t="n">
        <f aca="false">SUMIFS(Data!$H$4:$H$2311,Data!$B$4:$B$2311,"Inedible Tallow",Data!$C$4:$C$2311,"Israel",Data!$E$4:$E$2311,2023,Data!$F$4:$F$2311,2)</f>
        <v>0</v>
      </c>
      <c r="D48" s="12" t="n">
        <f aca="false">SUMIFS(Data!$H$4:$H$2311,Data!$B$4:$B$2311,"Inedible Tallow",Data!$C$4:$C$2311,"Israel",Data!$E$4:$E$2311,2023,Data!$F$4:$F$2311,3)</f>
        <v>0</v>
      </c>
      <c r="E48" s="12" t="n">
        <f aca="false">SUMIFS(Data!$H$4:$H$2311,Data!$B$4:$B$2311,"Inedible Tallow",Data!$C$4:$C$2311,"Israel",Data!$E$4:$E$2311,2023,Data!$F$4:$F$2311,4)</f>
        <v>0</v>
      </c>
      <c r="F48" s="12" t="n">
        <f aca="false">SUMIFS(Data!$H$4:$H$2311,Data!$B$4:$B$2311,"Inedible Tallow",Data!$C$4:$C$2311,"Israel",Data!$E$4:$E$2311,2023,Data!$F$4:$F$2311,5)</f>
        <v>0</v>
      </c>
      <c r="G48" s="12" t="n">
        <f aca="false">SUMIFS(Data!$H$4:$H$2311,Data!$B$4:$B$2311,"Inedible Tallow",Data!$C$4:$C$2311,"Israel",Data!$E$4:$E$2311,2023,Data!$F$4:$F$2311,6)</f>
        <v>0</v>
      </c>
      <c r="H48" s="12" t="n">
        <f aca="false">SUMIFS(Data!$H$4:$H$2311,Data!$B$4:$B$2311,"Inedible Tallow",Data!$C$4:$C$2311,"Israel",Data!$E$4:$E$2311,2023,Data!$F$4:$F$2311,7)</f>
        <v>0</v>
      </c>
      <c r="I48" s="12" t="n">
        <f aca="false">SUMIFS(Data!$H$4:$H$2311,Data!$B$4:$B$2311,"Inedible Tallow",Data!$C$4:$C$2311,"Israel",Data!$E$4:$E$2311,2023,Data!$F$4:$F$2311,8)</f>
        <v>0</v>
      </c>
      <c r="J48" s="12" t="n">
        <f aca="false">SUMIFS(Data!$H$4:$H$2311,Data!$B$4:$B$2311,"Inedible Tallow",Data!$C$4:$C$2311,"Israel",Data!$E$4:$E$2311,2023,Data!$F$4:$F$2311,9)</f>
        <v>0.253774110001154</v>
      </c>
      <c r="K48" s="12" t="n">
        <f aca="false">SUMIFS(Data!$H$4:$H$2311,Data!$B$4:$B$2311,"Inedible Tallow",Data!$C$4:$C$2311,"Israel",Data!$E$4:$E$2311,2023,Data!$F$4:$F$2311,10)</f>
        <v>0.264224021228723</v>
      </c>
      <c r="L48" s="12" t="n">
        <f aca="false">SUMIFS(Data!$H$4:$H$2311,Data!$B$4:$B$2311,"Inedible Tallow",Data!$C$4:$C$2311,"Israel",Data!$E$4:$E$2311,2023,Data!$F$4:$F$2311,11)</f>
        <v>0.058731146646084</v>
      </c>
      <c r="M48" s="12" t="n">
        <f aca="false">SUMIFS(Data!$H$4:$H$2311,Data!$B$4:$B$2311,"Inedible Tallow",Data!$C$4:$C$2311,"Israel",Data!$E$4:$E$2311,2023,Data!$F$4:$F$2311,12)</f>
        <v>0.117186715464437</v>
      </c>
      <c r="N48" s="13" t="n">
        <f aca="false">SUM(B48:M48)</f>
        <v>0.693915993340397</v>
      </c>
    </row>
    <row r="49" customFormat="false" ht="15" hidden="false" customHeight="false" outlineLevel="0" collapsed="false">
      <c r="A49" s="11" t="s">
        <v>93</v>
      </c>
      <c r="B49" s="12" t="n">
        <f aca="false">SUMIFS(Data!$H$4:$H$2311,Data!$B$4:$B$2311,"Inedible Tallow",Data!$C$4:$C$2311,"Paraguay",Data!$E$4:$E$2311,2023,Data!$F$4:$F$2311,1)</f>
        <v>0</v>
      </c>
      <c r="C49" s="12" t="n">
        <f aca="false">SUMIFS(Data!$H$4:$H$2311,Data!$B$4:$B$2311,"Inedible Tallow",Data!$C$4:$C$2311,"Paraguay",Data!$E$4:$E$2311,2023,Data!$F$4:$F$2311,2)</f>
        <v>0</v>
      </c>
      <c r="D49" s="12" t="n">
        <f aca="false">SUMIFS(Data!$H$4:$H$2311,Data!$B$4:$B$2311,"Inedible Tallow",Data!$C$4:$C$2311,"Paraguay",Data!$E$4:$E$2311,2023,Data!$F$4:$F$2311,3)</f>
        <v>0</v>
      </c>
      <c r="E49" s="12" t="n">
        <f aca="false">SUMIFS(Data!$H$4:$H$2311,Data!$B$4:$B$2311,"Inedible Tallow",Data!$C$4:$C$2311,"Paraguay",Data!$E$4:$E$2311,2023,Data!$F$4:$F$2311,4)</f>
        <v>0</v>
      </c>
      <c r="F49" s="12" t="n">
        <f aca="false">SUMIFS(Data!$H$4:$H$2311,Data!$B$4:$B$2311,"Inedible Tallow",Data!$C$4:$C$2311,"Paraguay",Data!$E$4:$E$2311,2023,Data!$F$4:$F$2311,5)</f>
        <v>0</v>
      </c>
      <c r="G49" s="12" t="n">
        <f aca="false">SUMIFS(Data!$H$4:$H$2311,Data!$B$4:$B$2311,"Inedible Tallow",Data!$C$4:$C$2311,"Paraguay",Data!$E$4:$E$2311,2023,Data!$F$4:$F$2311,6)</f>
        <v>0</v>
      </c>
      <c r="H49" s="12" t="n">
        <f aca="false">SUMIFS(Data!$H$4:$H$2311,Data!$B$4:$B$2311,"Inedible Tallow",Data!$C$4:$C$2311,"Paraguay",Data!$E$4:$E$2311,2023,Data!$F$4:$F$2311,7)</f>
        <v>0</v>
      </c>
      <c r="I49" s="12" t="n">
        <f aca="false">SUMIFS(Data!$H$4:$H$2311,Data!$B$4:$B$2311,"Inedible Tallow",Data!$C$4:$C$2311,"Paraguay",Data!$E$4:$E$2311,2023,Data!$F$4:$F$2311,8)</f>
        <v>0</v>
      </c>
      <c r="J49" s="12" t="n">
        <f aca="false">SUMIFS(Data!$H$4:$H$2311,Data!$B$4:$B$2311,"Inedible Tallow",Data!$C$4:$C$2311,"Paraguay",Data!$E$4:$E$2311,2023,Data!$F$4:$F$2311,9)</f>
        <v>0</v>
      </c>
      <c r="K49" s="12" t="n">
        <f aca="false">SUMIFS(Data!$H$4:$H$2311,Data!$B$4:$B$2311,"Inedible Tallow",Data!$C$4:$C$2311,"Paraguay",Data!$E$4:$E$2311,2023,Data!$F$4:$F$2311,10)</f>
        <v>0.0970033953614</v>
      </c>
      <c r="L49" s="12" t="n">
        <f aca="false">SUMIFS(Data!$H$4:$H$2311,Data!$B$4:$B$2311,"Inedible Tallow",Data!$C$4:$C$2311,"Paraguay",Data!$E$4:$E$2311,2023,Data!$F$4:$F$2311,11)</f>
        <v>0.1455050930421</v>
      </c>
      <c r="M49" s="12" t="n">
        <f aca="false">SUMIFS(Data!$H$4:$H$2311,Data!$B$4:$B$2311,"Inedible Tallow",Data!$C$4:$C$2311,"Paraguay",Data!$E$4:$E$2311,2023,Data!$F$4:$F$2311,12)</f>
        <v>0.1455050930421</v>
      </c>
      <c r="N49" s="13" t="n">
        <f aca="false">SUM(B49:M49)</f>
        <v>0.3880135814456</v>
      </c>
    </row>
    <row r="50" customFormat="false" ht="15" hidden="false" customHeight="false" outlineLevel="0" collapsed="false">
      <c r="A50" s="11" t="s">
        <v>63</v>
      </c>
      <c r="B50" s="12" t="n">
        <f aca="false">SUMIFS(Data!$H$4:$H$2311,Data!$B$4:$B$2311,"Inedible Tallow",Data!$C$4:$C$2311,"Peru",Data!$E$4:$E$2311,2023,Data!$F$4:$F$2311,1)</f>
        <v>0</v>
      </c>
      <c r="C50" s="12" t="n">
        <f aca="false">SUMIFS(Data!$H$4:$H$2311,Data!$B$4:$B$2311,"Inedible Tallow",Data!$C$4:$C$2311,"Peru",Data!$E$4:$E$2311,2023,Data!$F$4:$F$2311,2)</f>
        <v>0.149063353953766</v>
      </c>
      <c r="D50" s="12" t="n">
        <f aca="false">SUMIFS(Data!$H$4:$H$2311,Data!$B$4:$B$2311,"Inedible Tallow",Data!$C$4:$C$2311,"Peru",Data!$E$4:$E$2311,2023,Data!$F$4:$F$2311,3)</f>
        <v>0</v>
      </c>
      <c r="E50" s="12" t="n">
        <f aca="false">SUMIFS(Data!$H$4:$H$2311,Data!$B$4:$B$2311,"Inedible Tallow",Data!$C$4:$C$2311,"Peru",Data!$E$4:$E$2311,2023,Data!$F$4:$F$2311,4)</f>
        <v>0</v>
      </c>
      <c r="F50" s="12" t="n">
        <f aca="false">SUMIFS(Data!$H$4:$H$2311,Data!$B$4:$B$2311,"Inedible Tallow",Data!$C$4:$C$2311,"Peru",Data!$E$4:$E$2311,2023,Data!$F$4:$F$2311,5)</f>
        <v>0</v>
      </c>
      <c r="G50" s="12" t="n">
        <f aca="false">SUMIFS(Data!$H$4:$H$2311,Data!$B$4:$B$2311,"Inedible Tallow",Data!$C$4:$C$2311,"Peru",Data!$E$4:$E$2311,2023,Data!$F$4:$F$2311,6)</f>
        <v>0</v>
      </c>
      <c r="H50" s="12" t="n">
        <f aca="false">SUMIFS(Data!$H$4:$H$2311,Data!$B$4:$B$2311,"Inedible Tallow",Data!$C$4:$C$2311,"Peru",Data!$E$4:$E$2311,2023,Data!$F$4:$F$2311,7)</f>
        <v>0</v>
      </c>
      <c r="I50" s="12" t="n">
        <f aca="false">SUMIFS(Data!$H$4:$H$2311,Data!$B$4:$B$2311,"Inedible Tallow",Data!$C$4:$C$2311,"Peru",Data!$E$4:$E$2311,2023,Data!$F$4:$F$2311,8)</f>
        <v>0</v>
      </c>
      <c r="J50" s="12" t="n">
        <f aca="false">SUMIFS(Data!$H$4:$H$2311,Data!$B$4:$B$2311,"Inedible Tallow",Data!$C$4:$C$2311,"Peru",Data!$E$4:$E$2311,2023,Data!$F$4:$F$2311,9)</f>
        <v>0</v>
      </c>
      <c r="K50" s="12" t="n">
        <f aca="false">SUMIFS(Data!$H$4:$H$2311,Data!$B$4:$B$2311,"Inedible Tallow",Data!$C$4:$C$2311,"Peru",Data!$E$4:$E$2311,2023,Data!$F$4:$F$2311,10)</f>
        <v>0</v>
      </c>
      <c r="L50" s="12" t="n">
        <f aca="false">SUMIFS(Data!$H$4:$H$2311,Data!$B$4:$B$2311,"Inedible Tallow",Data!$C$4:$C$2311,"Peru",Data!$E$4:$E$2311,2023,Data!$F$4:$F$2311,11)</f>
        <v>0</v>
      </c>
      <c r="M50" s="12" t="n">
        <f aca="false">SUMIFS(Data!$H$4:$H$2311,Data!$B$4:$B$2311,"Inedible Tallow",Data!$C$4:$C$2311,"Peru",Data!$E$4:$E$2311,2023,Data!$F$4:$F$2311,12)</f>
        <v>0</v>
      </c>
      <c r="N50" s="13" t="n">
        <f aca="false">SUM(B50:M50)</f>
        <v>0.149063353953766</v>
      </c>
    </row>
    <row r="51" customFormat="false" ht="15" hidden="false" customHeight="false" outlineLevel="0" collapsed="false">
      <c r="A51" s="11" t="s">
        <v>70</v>
      </c>
      <c r="B51" s="12" t="n">
        <f aca="false">SUMIFS(Data!$H$4:$H$2311,Data!$B$4:$B$2311,"Inedible Tallow",Data!$C$4:$C$2311,"Sweden",Data!$E$4:$E$2311,2023,Data!$F$4:$F$2311,1)</f>
        <v>0.0001190496215799</v>
      </c>
      <c r="C51" s="12" t="n">
        <f aca="false">SUMIFS(Data!$H$4:$H$2311,Data!$B$4:$B$2311,"Inedible Tallow",Data!$C$4:$C$2311,"Sweden",Data!$E$4:$E$2311,2023,Data!$F$4:$F$2311,2)</f>
        <v>0</v>
      </c>
      <c r="D51" s="12" t="n">
        <f aca="false">SUMIFS(Data!$H$4:$H$2311,Data!$B$4:$B$2311,"Inedible Tallow",Data!$C$4:$C$2311,"Sweden",Data!$E$4:$E$2311,2023,Data!$F$4:$F$2311,3)</f>
        <v>0</v>
      </c>
      <c r="E51" s="12" t="n">
        <f aca="false">SUMIFS(Data!$H$4:$H$2311,Data!$B$4:$B$2311,"Inedible Tallow",Data!$C$4:$C$2311,"Sweden",Data!$E$4:$E$2311,2023,Data!$F$4:$F$2311,4)</f>
        <v>0</v>
      </c>
      <c r="F51" s="12" t="n">
        <f aca="false">SUMIFS(Data!$H$4:$H$2311,Data!$B$4:$B$2311,"Inedible Tallow",Data!$C$4:$C$2311,"Sweden",Data!$E$4:$E$2311,2023,Data!$F$4:$F$2311,5)</f>
        <v>0</v>
      </c>
      <c r="G51" s="12" t="n">
        <f aca="false">SUMIFS(Data!$H$4:$H$2311,Data!$B$4:$B$2311,"Inedible Tallow",Data!$C$4:$C$2311,"Sweden",Data!$E$4:$E$2311,2023,Data!$F$4:$F$2311,6)</f>
        <v>0</v>
      </c>
      <c r="H51" s="12" t="n">
        <f aca="false">SUMIFS(Data!$H$4:$H$2311,Data!$B$4:$B$2311,"Inedible Tallow",Data!$C$4:$C$2311,"Sweden",Data!$E$4:$E$2311,2023,Data!$F$4:$F$2311,7)</f>
        <v>0</v>
      </c>
      <c r="I51" s="12" t="n">
        <f aca="false">SUMIFS(Data!$H$4:$H$2311,Data!$B$4:$B$2311,"Inedible Tallow",Data!$C$4:$C$2311,"Sweden",Data!$E$4:$E$2311,2023,Data!$F$4:$F$2311,8)</f>
        <v>0</v>
      </c>
      <c r="J51" s="12" t="n">
        <f aca="false">SUMIFS(Data!$H$4:$H$2311,Data!$B$4:$B$2311,"Inedible Tallow",Data!$C$4:$C$2311,"Sweden",Data!$E$4:$E$2311,2023,Data!$F$4:$F$2311,9)</f>
        <v>0</v>
      </c>
      <c r="K51" s="12" t="n">
        <f aca="false">SUMIFS(Data!$H$4:$H$2311,Data!$B$4:$B$2311,"Inedible Tallow",Data!$C$4:$C$2311,"Sweden",Data!$E$4:$E$2311,2023,Data!$F$4:$F$2311,10)</f>
        <v>0</v>
      </c>
      <c r="L51" s="12" t="n">
        <f aca="false">SUMIFS(Data!$H$4:$H$2311,Data!$B$4:$B$2311,"Inedible Tallow",Data!$C$4:$C$2311,"Sweden",Data!$E$4:$E$2311,2023,Data!$F$4:$F$2311,11)</f>
        <v>0</v>
      </c>
      <c r="M51" s="12" t="n">
        <f aca="false">SUMIFS(Data!$H$4:$H$2311,Data!$B$4:$B$2311,"Inedible Tallow",Data!$C$4:$C$2311,"Sweden",Data!$E$4:$E$2311,2023,Data!$F$4:$F$2311,12)</f>
        <v>0</v>
      </c>
      <c r="N51" s="13" t="n">
        <f aca="false">SUM(B51:M51)</f>
        <v>0.0001190496215799</v>
      </c>
    </row>
    <row r="53" customFormat="false" ht="15" hidden="false" customHeight="false" outlineLevel="0" collapsed="false">
      <c r="A53" s="8"/>
      <c r="B53" s="9" t="s">
        <v>143</v>
      </c>
      <c r="C53" s="9" t="s">
        <v>144</v>
      </c>
      <c r="D53" s="9" t="s">
        <v>145</v>
      </c>
      <c r="E53" s="9" t="s">
        <v>146</v>
      </c>
      <c r="F53" s="9" t="s">
        <v>147</v>
      </c>
      <c r="G53" s="9" t="s">
        <v>148</v>
      </c>
      <c r="H53" s="9" t="s">
        <v>149</v>
      </c>
      <c r="I53" s="9" t="s">
        <v>150</v>
      </c>
      <c r="J53" s="9" t="s">
        <v>151</v>
      </c>
      <c r="K53" s="9" t="s">
        <v>152</v>
      </c>
      <c r="L53" s="9" t="s">
        <v>153</v>
      </c>
      <c r="M53" s="9" t="s">
        <v>154</v>
      </c>
      <c r="N53" s="9" t="s">
        <v>33</v>
      </c>
    </row>
    <row r="54" customFormat="false" ht="15" hidden="false" customHeight="false" outlineLevel="0" collapsed="false">
      <c r="A54" s="10" t="s">
        <v>35</v>
      </c>
      <c r="B54" s="10" t="n">
        <f aca="false">SUM(B55:B72)</f>
        <v>216.560124236778</v>
      </c>
      <c r="C54" s="10" t="n">
        <f aca="false">SUM(C55:C72)</f>
        <v>164.072530585207</v>
      </c>
      <c r="D54" s="10" t="n">
        <f aca="false">SUM(D55:D72)</f>
        <v>131.5541793616</v>
      </c>
      <c r="E54" s="10" t="n">
        <f aca="false">SUM(E55:E72)</f>
        <v>117.915418198127</v>
      </c>
      <c r="F54" s="10" t="n">
        <f aca="false">SUM(F55:F72)</f>
        <v>189.486295812356</v>
      </c>
      <c r="G54" s="10" t="n">
        <f aca="false">SUM(G55:G72)</f>
        <v>81.4423157074281</v>
      </c>
      <c r="H54" s="10" t="n">
        <f aca="false">SUM(H55:H72)</f>
        <v>189.767142688154</v>
      </c>
      <c r="I54" s="10" t="n">
        <f aca="false">SUM(I55:I72)</f>
        <v>124.631218995221</v>
      </c>
      <c r="J54" s="10" t="n">
        <f aca="false">SUM(J55:J72)</f>
        <v>205.087179927766</v>
      </c>
      <c r="K54" s="10" t="n">
        <f aca="false">SUM(K55:K72)</f>
        <v>102.948625436592</v>
      </c>
      <c r="L54" s="10" t="n">
        <f aca="false">SUM(L55:L72)</f>
        <v>228.669379954644</v>
      </c>
      <c r="M54" s="10" t="n">
        <f aca="false">SUM(M55:M72)</f>
        <v>178.404297232877</v>
      </c>
      <c r="N54" s="10" t="n">
        <f aca="false">SUM(B54:M54)</f>
        <v>1930.53870813675</v>
      </c>
    </row>
    <row r="55" customFormat="false" ht="15" hidden="false" customHeight="false" outlineLevel="0" collapsed="false">
      <c r="A55" s="11" t="s">
        <v>49</v>
      </c>
      <c r="B55" s="12" t="n">
        <f aca="false">SUMIFS(Data!$H$4:$H$2311,Data!$B$4:$B$2311,"Inedible Tallow",Data!$C$4:$C$2311,"Brazil",Data!$E$4:$E$2311,2024,Data!$F$4:$F$2311,1)</f>
        <v>115.122353138411</v>
      </c>
      <c r="C55" s="12" t="n">
        <f aca="false">SUMIFS(Data!$H$4:$H$2311,Data!$B$4:$B$2311,"Inedible Tallow",Data!$C$4:$C$2311,"Brazil",Data!$E$4:$E$2311,2024,Data!$F$4:$F$2311,2)</f>
        <v>74.1959879087443</v>
      </c>
      <c r="D55" s="12" t="n">
        <f aca="false">SUMIFS(Data!$H$4:$H$2311,Data!$B$4:$B$2311,"Inedible Tallow",Data!$C$4:$C$2311,"Brazil",Data!$E$4:$E$2311,2024,Data!$F$4:$F$2311,3)</f>
        <v>20.6306578746137</v>
      </c>
      <c r="E55" s="12" t="n">
        <f aca="false">SUMIFS(Data!$H$4:$H$2311,Data!$B$4:$B$2311,"Inedible Tallow",Data!$C$4:$C$2311,"Brazil",Data!$E$4:$E$2311,2024,Data!$F$4:$F$2311,4)</f>
        <v>48.2612990161456</v>
      </c>
      <c r="F55" s="12" t="n">
        <f aca="false">SUMIFS(Data!$H$4:$H$2311,Data!$B$4:$B$2311,"Inedible Tallow",Data!$C$4:$C$2311,"Brazil",Data!$E$4:$E$2311,2024,Data!$F$4:$F$2311,5)</f>
        <v>51.5602345780485</v>
      </c>
      <c r="G55" s="12" t="n">
        <f aca="false">SUMIFS(Data!$H$4:$H$2311,Data!$B$4:$B$2311,"Inedible Tallow",Data!$C$4:$C$2311,"Brazil",Data!$E$4:$E$2311,2024,Data!$F$4:$F$2311,6)</f>
        <v>40.2472973696849</v>
      </c>
      <c r="H55" s="12" t="n">
        <f aca="false">SUMIFS(Data!$H$4:$H$2311,Data!$B$4:$B$2311,"Inedible Tallow",Data!$C$4:$C$2311,"Brazil",Data!$E$4:$E$2311,2024,Data!$F$4:$F$2311,7)</f>
        <v>71.5543627861686</v>
      </c>
      <c r="I55" s="12" t="n">
        <f aca="false">SUMIFS(Data!$H$4:$H$2311,Data!$B$4:$B$2311,"Inedible Tallow",Data!$C$4:$C$2311,"Brazil",Data!$E$4:$E$2311,2024,Data!$F$4:$F$2311,8)</f>
        <v>72.339973443597</v>
      </c>
      <c r="J55" s="12" t="n">
        <f aca="false">SUMIFS(Data!$H$4:$H$2311,Data!$B$4:$B$2311,"Inedible Tallow",Data!$C$4:$C$2311,"Brazil",Data!$E$4:$E$2311,2024,Data!$F$4:$F$2311,9)</f>
        <v>36.7393305138913</v>
      </c>
      <c r="K55" s="12" t="n">
        <f aca="false">SUMIFS(Data!$H$4:$H$2311,Data!$B$4:$B$2311,"Inedible Tallow",Data!$C$4:$C$2311,"Brazil",Data!$E$4:$E$2311,2024,Data!$F$4:$F$2311,10)</f>
        <v>45.744237276327</v>
      </c>
      <c r="L55" s="12" t="n">
        <f aca="false">SUMIFS(Data!$H$4:$H$2311,Data!$B$4:$B$2311,"Inedible Tallow",Data!$C$4:$C$2311,"Brazil",Data!$E$4:$E$2311,2024,Data!$F$4:$F$2311,11)</f>
        <v>114.827420928683</v>
      </c>
      <c r="M55" s="12" t="n">
        <f aca="false">SUMIFS(Data!$H$4:$H$2311,Data!$B$4:$B$2311,"Inedible Tallow",Data!$C$4:$C$2311,"Brazil",Data!$E$4:$E$2311,2024,Data!$F$4:$F$2311,12)</f>
        <v>55.9188815279545</v>
      </c>
      <c r="N55" s="13" t="n">
        <f aca="false">SUM(B55:M55)</f>
        <v>747.14203636227</v>
      </c>
    </row>
    <row r="56" customFormat="false" ht="15" hidden="false" customHeight="false" outlineLevel="0" collapsed="false">
      <c r="A56" s="11" t="s">
        <v>43</v>
      </c>
      <c r="B56" s="12" t="n">
        <f aca="false">SUMIFS(Data!$H$4:$H$2311,Data!$B$4:$B$2311,"Inedible Tallow",Data!$C$4:$C$2311,"Canada",Data!$E$4:$E$2311,2024,Data!$F$4:$F$2311,1)</f>
        <v>27.2218710381016</v>
      </c>
      <c r="C56" s="12" t="n">
        <f aca="false">SUMIFS(Data!$H$4:$H$2311,Data!$B$4:$B$2311,"Inedible Tallow",Data!$C$4:$C$2311,"Canada",Data!$E$4:$E$2311,2024,Data!$F$4:$F$2311,2)</f>
        <v>40.342955945247</v>
      </c>
      <c r="D56" s="12" t="n">
        <f aca="false">SUMIFS(Data!$H$4:$H$2311,Data!$B$4:$B$2311,"Inedible Tallow",Data!$C$4:$C$2311,"Canada",Data!$E$4:$E$2311,2024,Data!$F$4:$F$2311,3)</f>
        <v>44.6025690423568</v>
      </c>
      <c r="E56" s="12" t="n">
        <f aca="false">SUMIFS(Data!$H$4:$H$2311,Data!$B$4:$B$2311,"Inedible Tallow",Data!$C$4:$C$2311,"Canada",Data!$E$4:$E$2311,2024,Data!$F$4:$F$2311,4)</f>
        <v>16.7940854031655</v>
      </c>
      <c r="F56" s="12" t="n">
        <f aca="false">SUMIFS(Data!$H$4:$H$2311,Data!$B$4:$B$2311,"Inedible Tallow",Data!$C$4:$C$2311,"Canada",Data!$E$4:$E$2311,2024,Data!$F$4:$F$2311,5)</f>
        <v>26.6747917298669</v>
      </c>
      <c r="G56" s="12" t="n">
        <f aca="false">SUMIFS(Data!$H$4:$H$2311,Data!$B$4:$B$2311,"Inedible Tallow",Data!$C$4:$C$2311,"Canada",Data!$E$4:$E$2311,2024,Data!$F$4:$F$2311,6)</f>
        <v>31.3220215763503</v>
      </c>
      <c r="H56" s="12" t="n">
        <f aca="false">SUMIFS(Data!$H$4:$H$2311,Data!$B$4:$B$2311,"Inedible Tallow",Data!$C$4:$C$2311,"Canada",Data!$E$4:$E$2311,2024,Data!$F$4:$F$2311,7)</f>
        <v>38.6089078174082</v>
      </c>
      <c r="I56" s="12" t="n">
        <f aca="false">SUMIFS(Data!$H$4:$H$2311,Data!$B$4:$B$2311,"Inedible Tallow",Data!$C$4:$C$2311,"Canada",Data!$E$4:$E$2311,2024,Data!$F$4:$F$2311,8)</f>
        <v>29.8276137228841</v>
      </c>
      <c r="J56" s="12" t="n">
        <f aca="false">SUMIFS(Data!$H$4:$H$2311,Data!$B$4:$B$2311,"Inedible Tallow",Data!$C$4:$C$2311,"Canada",Data!$E$4:$E$2311,2024,Data!$F$4:$F$2311,9)</f>
        <v>27.8057499071402</v>
      </c>
      <c r="K56" s="12" t="n">
        <f aca="false">SUMIFS(Data!$H$4:$H$2311,Data!$B$4:$B$2311,"Inedible Tallow",Data!$C$4:$C$2311,"Canada",Data!$E$4:$E$2311,2024,Data!$F$4:$F$2311,10)</f>
        <v>23.8744910987061</v>
      </c>
      <c r="L56" s="12" t="n">
        <f aca="false">SUMIFS(Data!$H$4:$H$2311,Data!$B$4:$B$2311,"Inedible Tallow",Data!$C$4:$C$2311,"Canada",Data!$E$4:$E$2311,2024,Data!$F$4:$F$2311,11)</f>
        <v>37.1297581571078</v>
      </c>
      <c r="M56" s="12" t="n">
        <f aca="false">SUMIFS(Data!$H$4:$H$2311,Data!$B$4:$B$2311,"Inedible Tallow",Data!$C$4:$C$2311,"Canada",Data!$E$4:$E$2311,2024,Data!$F$4:$F$2311,12)</f>
        <v>36.0030108090422</v>
      </c>
      <c r="N56" s="13" t="n">
        <f aca="false">SUM(B56:M56)</f>
        <v>380.207826247377</v>
      </c>
    </row>
    <row r="57" customFormat="false" ht="15" hidden="false" customHeight="false" outlineLevel="0" collapsed="false">
      <c r="A57" s="11" t="s">
        <v>109</v>
      </c>
      <c r="B57" s="12" t="n">
        <f aca="false">SUMIFS(Data!$H$4:$H$2311,Data!$B$4:$B$2311,"Inedible Tallow",Data!$C$4:$C$2311,"Australia",Data!$E$4:$E$2311,2024,Data!$F$4:$F$2311,1)</f>
        <v>22.365792881405</v>
      </c>
      <c r="C57" s="12" t="n">
        <f aca="false">SUMIFS(Data!$H$4:$H$2311,Data!$B$4:$B$2311,"Inedible Tallow",Data!$C$4:$C$2311,"Australia",Data!$E$4:$E$2311,2024,Data!$F$4:$F$2311,2)</f>
        <v>19.9531883660323</v>
      </c>
      <c r="D57" s="12" t="n">
        <f aca="false">SUMIFS(Data!$H$4:$H$2311,Data!$B$4:$B$2311,"Inedible Tallow",Data!$C$4:$C$2311,"Australia",Data!$E$4:$E$2311,2024,Data!$F$4:$F$2311,3)</f>
        <v>0</v>
      </c>
      <c r="E57" s="12" t="n">
        <f aca="false">SUMIFS(Data!$H$4:$H$2311,Data!$B$4:$B$2311,"Inedible Tallow",Data!$C$4:$C$2311,"Australia",Data!$E$4:$E$2311,2024,Data!$F$4:$F$2311,4)</f>
        <v>27.6842796099215</v>
      </c>
      <c r="F57" s="12" t="n">
        <f aca="false">SUMIFS(Data!$H$4:$H$2311,Data!$B$4:$B$2311,"Inedible Tallow",Data!$C$4:$C$2311,"Australia",Data!$E$4:$E$2311,2024,Data!$F$4:$F$2311,5)</f>
        <v>72.8705291052809</v>
      </c>
      <c r="G57" s="12" t="n">
        <f aca="false">SUMIFS(Data!$H$4:$H$2311,Data!$B$4:$B$2311,"Inedible Tallow",Data!$C$4:$C$2311,"Australia",Data!$E$4:$E$2311,2024,Data!$F$4:$F$2311,6)</f>
        <v>3.47475421599547</v>
      </c>
      <c r="H57" s="12" t="n">
        <f aca="false">SUMIFS(Data!$H$4:$H$2311,Data!$B$4:$B$2311,"Inedible Tallow",Data!$C$4:$C$2311,"Australia",Data!$E$4:$E$2311,2024,Data!$F$4:$F$2311,7)</f>
        <v>65.0011749536624</v>
      </c>
      <c r="I57" s="12" t="n">
        <f aca="false">SUMIFS(Data!$H$4:$H$2311,Data!$B$4:$B$2311,"Inedible Tallow",Data!$C$4:$C$2311,"Australia",Data!$E$4:$E$2311,2024,Data!$F$4:$F$2311,8)</f>
        <v>0</v>
      </c>
      <c r="J57" s="12" t="n">
        <f aca="false">SUMIFS(Data!$H$4:$H$2311,Data!$B$4:$B$2311,"Inedible Tallow",Data!$C$4:$C$2311,"Australia",Data!$E$4:$E$2311,2024,Data!$F$4:$F$2311,9)</f>
        <v>68.0347952061388</v>
      </c>
      <c r="K57" s="12" t="n">
        <f aca="false">SUMIFS(Data!$H$4:$H$2311,Data!$B$4:$B$2311,"Inedible Tallow",Data!$C$4:$C$2311,"Australia",Data!$E$4:$E$2311,2024,Data!$F$4:$F$2311,10)</f>
        <v>25.3658367313506</v>
      </c>
      <c r="L57" s="12" t="n">
        <f aca="false">SUMIFS(Data!$H$4:$H$2311,Data!$B$4:$B$2311,"Inedible Tallow",Data!$C$4:$C$2311,"Australia",Data!$E$4:$E$2311,2024,Data!$F$4:$F$2311,11)</f>
        <v>26.6787997337934</v>
      </c>
      <c r="M57" s="12" t="n">
        <f aca="false">SUMIFS(Data!$H$4:$H$2311,Data!$B$4:$B$2311,"Inedible Tallow",Data!$C$4:$C$2311,"Australia",Data!$E$4:$E$2311,2024,Data!$F$4:$F$2311,12)</f>
        <v>20.1094013111487</v>
      </c>
      <c r="N57" s="13" t="n">
        <f aca="false">SUM(B57:M57)</f>
        <v>351.538552114729</v>
      </c>
    </row>
    <row r="58" customFormat="false" ht="15" hidden="false" customHeight="false" outlineLevel="0" collapsed="false">
      <c r="A58" s="11" t="s">
        <v>190</v>
      </c>
      <c r="B58" s="12" t="n">
        <f aca="false">SUMIFS(Data!$H$4:$H$2311,Data!$B$4:$B$2311,"Inedible Tallow",Data!$C$4:$C$2311,"Uruguay",Data!$E$4:$E$2311,2024,Data!$F$4:$F$2311,1)</f>
        <v>24.4757578263633</v>
      </c>
      <c r="C58" s="12" t="n">
        <f aca="false">SUMIFS(Data!$H$4:$H$2311,Data!$B$4:$B$2311,"Inedible Tallow",Data!$C$4:$C$2311,"Uruguay",Data!$E$4:$E$2311,2024,Data!$F$4:$F$2311,2)</f>
        <v>0</v>
      </c>
      <c r="D58" s="12" t="n">
        <f aca="false">SUMIFS(Data!$H$4:$H$2311,Data!$B$4:$B$2311,"Inedible Tallow",Data!$C$4:$C$2311,"Uruguay",Data!$E$4:$E$2311,2024,Data!$F$4:$F$2311,3)</f>
        <v>29.8843585045479</v>
      </c>
      <c r="E58" s="12" t="n">
        <f aca="false">SUMIFS(Data!$H$4:$H$2311,Data!$B$4:$B$2311,"Inedible Tallow",Data!$C$4:$C$2311,"Uruguay",Data!$E$4:$E$2311,2024,Data!$F$4:$F$2311,4)</f>
        <v>10.0063301329397</v>
      </c>
      <c r="F58" s="12" t="n">
        <f aca="false">SUMIFS(Data!$H$4:$H$2311,Data!$B$4:$B$2311,"Inedible Tallow",Data!$C$4:$C$2311,"Uruguay",Data!$E$4:$E$2311,2024,Data!$F$4:$F$2311,5)</f>
        <v>26.1083095379373</v>
      </c>
      <c r="G58" s="12" t="n">
        <f aca="false">SUMIFS(Data!$H$4:$H$2311,Data!$B$4:$B$2311,"Inedible Tallow",Data!$C$4:$C$2311,"Uruguay",Data!$E$4:$E$2311,2024,Data!$F$4:$F$2311,6)</f>
        <v>0</v>
      </c>
      <c r="H58" s="12" t="n">
        <f aca="false">SUMIFS(Data!$H$4:$H$2311,Data!$B$4:$B$2311,"Inedible Tallow",Data!$C$4:$C$2311,"Uruguay",Data!$E$4:$E$2311,2024,Data!$F$4:$F$2311,7)</f>
        <v>0</v>
      </c>
      <c r="I58" s="12" t="n">
        <f aca="false">SUMIFS(Data!$H$4:$H$2311,Data!$B$4:$B$2311,"Inedible Tallow",Data!$C$4:$C$2311,"Uruguay",Data!$E$4:$E$2311,2024,Data!$F$4:$F$2311,8)</f>
        <v>15.7163357928705</v>
      </c>
      <c r="J58" s="12" t="n">
        <f aca="false">SUMIFS(Data!$H$4:$H$2311,Data!$B$4:$B$2311,"Inedible Tallow",Data!$C$4:$C$2311,"Uruguay",Data!$E$4:$E$2311,2024,Data!$F$4:$F$2311,9)</f>
        <v>23.9070820349249</v>
      </c>
      <c r="K58" s="12" t="n">
        <f aca="false">SUMIFS(Data!$H$4:$H$2311,Data!$B$4:$B$2311,"Inedible Tallow",Data!$C$4:$C$2311,"Uruguay",Data!$E$4:$E$2311,2024,Data!$F$4:$F$2311,10)</f>
        <v>0</v>
      </c>
      <c r="L58" s="12" t="n">
        <f aca="false">SUMIFS(Data!$H$4:$H$2311,Data!$B$4:$B$2311,"Inedible Tallow",Data!$C$4:$C$2311,"Uruguay",Data!$E$4:$E$2311,2024,Data!$F$4:$F$2311,11)</f>
        <v>15.9241876136585</v>
      </c>
      <c r="M58" s="12" t="n">
        <f aca="false">SUMIFS(Data!$H$4:$H$2311,Data!$B$4:$B$2311,"Inedible Tallow",Data!$C$4:$C$2311,"Uruguay",Data!$E$4:$E$2311,2024,Data!$F$4:$F$2311,12)</f>
        <v>29.7696299433068</v>
      </c>
      <c r="N58" s="13" t="n">
        <f aca="false">SUM(B58:M58)</f>
        <v>175.791991386549</v>
      </c>
    </row>
    <row r="59" customFormat="false" ht="15" hidden="false" customHeight="false" outlineLevel="0" collapsed="false">
      <c r="A59" s="11" t="s">
        <v>68</v>
      </c>
      <c r="B59" s="12" t="n">
        <f aca="false">SUMIFS(Data!$H$4:$H$2311,Data!$B$4:$B$2311,"Inedible Tallow",Data!$C$4:$C$2311,"Argentina",Data!$E$4:$E$2311,2024,Data!$F$4:$F$2311,1)</f>
        <v>12.5231912520997</v>
      </c>
      <c r="C59" s="12" t="n">
        <f aca="false">SUMIFS(Data!$H$4:$H$2311,Data!$B$4:$B$2311,"Inedible Tallow",Data!$C$4:$C$2311,"Argentina",Data!$E$4:$E$2311,2024,Data!$F$4:$F$2311,2)</f>
        <v>11.1692178596452</v>
      </c>
      <c r="D59" s="12" t="n">
        <f aca="false">SUMIFS(Data!$H$4:$H$2311,Data!$B$4:$B$2311,"Inedible Tallow",Data!$C$4:$C$2311,"Argentina",Data!$E$4:$E$2311,2024,Data!$F$4:$F$2311,3)</f>
        <v>35.9612552565844</v>
      </c>
      <c r="E59" s="12" t="n">
        <f aca="false">SUMIFS(Data!$H$4:$H$2311,Data!$B$4:$B$2311,"Inedible Tallow",Data!$C$4:$C$2311,"Argentina",Data!$E$4:$E$2311,2024,Data!$F$4:$F$2311,4)</f>
        <v>0</v>
      </c>
      <c r="F59" s="12" t="n">
        <f aca="false">SUMIFS(Data!$H$4:$H$2311,Data!$B$4:$B$2311,"Inedible Tallow",Data!$C$4:$C$2311,"Argentina",Data!$E$4:$E$2311,2024,Data!$F$4:$F$2311,5)</f>
        <v>0</v>
      </c>
      <c r="G59" s="12" t="n">
        <f aca="false">SUMIFS(Data!$H$4:$H$2311,Data!$B$4:$B$2311,"Inedible Tallow",Data!$C$4:$C$2311,"Argentina",Data!$E$4:$E$2311,2024,Data!$F$4:$F$2311,6)</f>
        <v>0</v>
      </c>
      <c r="H59" s="12" t="n">
        <f aca="false">SUMIFS(Data!$H$4:$H$2311,Data!$B$4:$B$2311,"Inedible Tallow",Data!$C$4:$C$2311,"Argentina",Data!$E$4:$E$2311,2024,Data!$F$4:$F$2311,7)</f>
        <v>0.091315468997027</v>
      </c>
      <c r="I59" s="12" t="n">
        <f aca="false">SUMIFS(Data!$H$4:$H$2311,Data!$B$4:$B$2311,"Inedible Tallow",Data!$C$4:$C$2311,"Argentina",Data!$E$4:$E$2311,2024,Data!$F$4:$F$2311,8)</f>
        <v>0</v>
      </c>
      <c r="J59" s="12" t="n">
        <f aca="false">SUMIFS(Data!$H$4:$H$2311,Data!$B$4:$B$2311,"Inedible Tallow",Data!$C$4:$C$2311,"Argentina",Data!$E$4:$E$2311,2024,Data!$F$4:$F$2311,9)</f>
        <v>27.4909959354187</v>
      </c>
      <c r="K59" s="12" t="n">
        <f aca="false">SUMIFS(Data!$H$4:$H$2311,Data!$B$4:$B$2311,"Inedible Tallow",Data!$C$4:$C$2311,"Argentina",Data!$E$4:$E$2311,2024,Data!$F$4:$F$2311,10)</f>
        <v>0</v>
      </c>
      <c r="L59" s="12" t="n">
        <f aca="false">SUMIFS(Data!$H$4:$H$2311,Data!$B$4:$B$2311,"Inedible Tallow",Data!$C$4:$C$2311,"Argentina",Data!$E$4:$E$2311,2024,Data!$F$4:$F$2311,11)</f>
        <v>25.2972376938492</v>
      </c>
      <c r="M59" s="12" t="n">
        <f aca="false">SUMIFS(Data!$H$4:$H$2311,Data!$B$4:$B$2311,"Inedible Tallow",Data!$C$4:$C$2311,"Argentina",Data!$E$4:$E$2311,2024,Data!$F$4:$F$2311,12)</f>
        <v>13.3147235258903</v>
      </c>
      <c r="N59" s="13" t="n">
        <f aca="false">SUM(B59:M59)</f>
        <v>125.847936992484</v>
      </c>
    </row>
    <row r="60" customFormat="false" ht="15" hidden="false" customHeight="false" outlineLevel="0" collapsed="false">
      <c r="A60" s="11" t="s">
        <v>78</v>
      </c>
      <c r="B60" s="12" t="n">
        <f aca="false">SUMIFS(Data!$H$4:$H$2311,Data!$B$4:$B$2311,"Inedible Tallow",Data!$C$4:$C$2311,"New Zealand",Data!$E$4:$E$2311,2024,Data!$F$4:$F$2311,1)</f>
        <v>9.11951406943264</v>
      </c>
      <c r="C60" s="12" t="n">
        <f aca="false">SUMIFS(Data!$H$4:$H$2311,Data!$B$4:$B$2311,"Inedible Tallow",Data!$C$4:$C$2311,"New Zealand",Data!$E$4:$E$2311,2024,Data!$F$4:$F$2311,2)</f>
        <v>13.7758578258348</v>
      </c>
      <c r="D60" s="12" t="n">
        <f aca="false">SUMIFS(Data!$H$4:$H$2311,Data!$B$4:$B$2311,"Inedible Tallow",Data!$C$4:$C$2311,"New Zealand",Data!$E$4:$E$2311,2024,Data!$F$4:$F$2311,3)</f>
        <v>0</v>
      </c>
      <c r="E60" s="12" t="n">
        <f aca="false">SUMIFS(Data!$H$4:$H$2311,Data!$B$4:$B$2311,"Inedible Tallow",Data!$C$4:$C$2311,"New Zealand",Data!$E$4:$E$2311,2024,Data!$F$4:$F$2311,4)</f>
        <v>14.4370704472027</v>
      </c>
      <c r="F60" s="12" t="n">
        <f aca="false">SUMIFS(Data!$H$4:$H$2311,Data!$B$4:$B$2311,"Inedible Tallow",Data!$C$4:$C$2311,"New Zealand",Data!$E$4:$E$2311,2024,Data!$F$4:$F$2311,5)</f>
        <v>10.2554877631707</v>
      </c>
      <c r="G60" s="12" t="n">
        <f aca="false">SUMIFS(Data!$H$4:$H$2311,Data!$B$4:$B$2311,"Inedible Tallow",Data!$C$4:$C$2311,"New Zealand",Data!$E$4:$E$2311,2024,Data!$F$4:$F$2311,6)</f>
        <v>2.0488263504091</v>
      </c>
      <c r="H60" s="12" t="n">
        <f aca="false">SUMIFS(Data!$H$4:$H$2311,Data!$B$4:$B$2311,"Inedible Tallow",Data!$C$4:$C$2311,"New Zealand",Data!$E$4:$E$2311,2024,Data!$F$4:$F$2311,7)</f>
        <v>11.0486029560038</v>
      </c>
      <c r="I60" s="12" t="n">
        <f aca="false">SUMIFS(Data!$H$4:$H$2311,Data!$B$4:$B$2311,"Inedible Tallow",Data!$C$4:$C$2311,"New Zealand",Data!$E$4:$E$2311,2024,Data!$F$4:$F$2311,8)</f>
        <v>0</v>
      </c>
      <c r="J60" s="12" t="n">
        <f aca="false">SUMIFS(Data!$H$4:$H$2311,Data!$B$4:$B$2311,"Inedible Tallow",Data!$C$4:$C$2311,"New Zealand",Data!$E$4:$E$2311,2024,Data!$F$4:$F$2311,9)</f>
        <v>7.78401541454933</v>
      </c>
      <c r="K60" s="12" t="n">
        <f aca="false">SUMIFS(Data!$H$4:$H$2311,Data!$B$4:$B$2311,"Inedible Tallow",Data!$C$4:$C$2311,"New Zealand",Data!$E$4:$E$2311,2024,Data!$F$4:$F$2311,10)</f>
        <v>5.38282863973518</v>
      </c>
      <c r="L60" s="12" t="n">
        <f aca="false">SUMIFS(Data!$H$4:$H$2311,Data!$B$4:$B$2311,"Inedible Tallow",Data!$C$4:$C$2311,"New Zealand",Data!$E$4:$E$2311,2024,Data!$F$4:$F$2311,11)</f>
        <v>3.56828092148221</v>
      </c>
      <c r="M60" s="12" t="n">
        <f aca="false">SUMIFS(Data!$H$4:$H$2311,Data!$B$4:$B$2311,"Inedible Tallow",Data!$C$4:$C$2311,"New Zealand",Data!$E$4:$E$2311,2024,Data!$F$4:$F$2311,12)</f>
        <v>12.9056315475572</v>
      </c>
      <c r="N60" s="13" t="n">
        <f aca="false">SUM(B60:M60)</f>
        <v>90.3261159353777</v>
      </c>
    </row>
    <row r="61" customFormat="false" ht="15" hidden="false" customHeight="false" outlineLevel="0" collapsed="false">
      <c r="A61" s="11" t="s">
        <v>47</v>
      </c>
      <c r="B61" s="12" t="n">
        <f aca="false">SUMIFS(Data!$H$4:$H$2311,Data!$B$4:$B$2311,"Inedible Tallow",Data!$C$4:$C$2311,"Mexico",Data!$E$4:$E$2311,2024,Data!$F$4:$F$2311,1)</f>
        <v>2.34792088764763</v>
      </c>
      <c r="C61" s="12" t="n">
        <f aca="false">SUMIFS(Data!$H$4:$H$2311,Data!$B$4:$B$2311,"Inedible Tallow",Data!$C$4:$C$2311,"Mexico",Data!$E$4:$E$2311,2024,Data!$F$4:$F$2311,2)</f>
        <v>2.09399465868557</v>
      </c>
      <c r="D61" s="12" t="n">
        <f aca="false">SUMIFS(Data!$H$4:$H$2311,Data!$B$4:$B$2311,"Inedible Tallow",Data!$C$4:$C$2311,"Mexico",Data!$E$4:$E$2311,2024,Data!$F$4:$F$2311,3)</f>
        <v>0.181264071968507</v>
      </c>
      <c r="E61" s="12" t="n">
        <f aca="false">SUMIFS(Data!$H$4:$H$2311,Data!$B$4:$B$2311,"Inedible Tallow",Data!$C$4:$C$2311,"Mexico",Data!$E$4:$E$2311,2024,Data!$F$4:$F$2311,4)</f>
        <v>0.732353588752352</v>
      </c>
      <c r="F61" s="12" t="n">
        <f aca="false">SUMIFS(Data!$H$4:$H$2311,Data!$B$4:$B$2311,"Inedible Tallow",Data!$C$4:$C$2311,"Mexico",Data!$E$4:$E$2311,2024,Data!$F$4:$F$2311,5)</f>
        <v>1.64914590604867</v>
      </c>
      <c r="G61" s="12" t="n">
        <f aca="false">SUMIFS(Data!$H$4:$H$2311,Data!$B$4:$B$2311,"Inedible Tallow",Data!$C$4:$C$2311,"Mexico",Data!$E$4:$E$2311,2024,Data!$F$4:$F$2311,6)</f>
        <v>4.34941619498824</v>
      </c>
      <c r="H61" s="12" t="n">
        <f aca="false">SUMIFS(Data!$H$4:$H$2311,Data!$B$4:$B$2311,"Inedible Tallow",Data!$C$4:$C$2311,"Mexico",Data!$E$4:$E$2311,2024,Data!$F$4:$F$2311,7)</f>
        <v>3.46277870591358</v>
      </c>
      <c r="I61" s="12" t="n">
        <f aca="false">SUMIFS(Data!$H$4:$H$2311,Data!$B$4:$B$2311,"Inedible Tallow",Data!$C$4:$C$2311,"Mexico",Data!$E$4:$E$2311,2024,Data!$F$4:$F$2311,8)</f>
        <v>6.74729603586961</v>
      </c>
      <c r="J61" s="12" t="n">
        <f aca="false">SUMIFS(Data!$H$4:$H$2311,Data!$B$4:$B$2311,"Inedible Tallow",Data!$C$4:$C$2311,"Mexico",Data!$E$4:$E$2311,2024,Data!$F$4:$F$2311,9)</f>
        <v>5.24389111748357</v>
      </c>
      <c r="K61" s="12" t="n">
        <f aca="false">SUMIFS(Data!$H$4:$H$2311,Data!$B$4:$B$2311,"Inedible Tallow",Data!$C$4:$C$2311,"Mexico",Data!$E$4:$E$2311,2024,Data!$F$4:$F$2311,10)</f>
        <v>2.2589665694786</v>
      </c>
      <c r="L61" s="12" t="n">
        <f aca="false">SUMIFS(Data!$H$4:$H$2311,Data!$B$4:$B$2311,"Inedible Tallow",Data!$C$4:$C$2311,"Mexico",Data!$E$4:$E$2311,2024,Data!$F$4:$F$2311,11)</f>
        <v>4.03924342907492</v>
      </c>
      <c r="M61" s="12" t="n">
        <f aca="false">SUMIFS(Data!$H$4:$H$2311,Data!$B$4:$B$2311,"Inedible Tallow",Data!$C$4:$C$2311,"Mexico",Data!$E$4:$E$2311,2024,Data!$F$4:$F$2311,12)</f>
        <v>2.46370987236981</v>
      </c>
      <c r="N61" s="13" t="n">
        <f aca="false">SUM(B61:M61)</f>
        <v>35.569981038281</v>
      </c>
    </row>
    <row r="62" customFormat="false" ht="15" hidden="false" customHeight="false" outlineLevel="0" collapsed="false">
      <c r="A62" s="11" t="s">
        <v>130</v>
      </c>
      <c r="B62" s="12" t="n">
        <f aca="false">SUMIFS(Data!$H$4:$H$2311,Data!$B$4:$B$2311,"Inedible Tallow",Data!$C$4:$C$2311,"Ireland",Data!$E$4:$E$2311,2024,Data!$F$4:$F$2311,1)</f>
        <v>0</v>
      </c>
      <c r="C62" s="12" t="n">
        <f aca="false">SUMIFS(Data!$H$4:$H$2311,Data!$B$4:$B$2311,"Inedible Tallow",Data!$C$4:$C$2311,"Ireland",Data!$E$4:$E$2311,2024,Data!$F$4:$F$2311,2)</f>
        <v>0</v>
      </c>
      <c r="D62" s="12" t="n">
        <f aca="false">SUMIFS(Data!$H$4:$H$2311,Data!$B$4:$B$2311,"Inedible Tallow",Data!$C$4:$C$2311,"Ireland",Data!$E$4:$E$2311,2024,Data!$F$4:$F$2311,3)</f>
        <v>0</v>
      </c>
      <c r="E62" s="12" t="n">
        <f aca="false">SUMIFS(Data!$H$4:$H$2311,Data!$B$4:$B$2311,"Inedible Tallow",Data!$C$4:$C$2311,"Ireland",Data!$E$4:$E$2311,2024,Data!$F$4:$F$2311,4)</f>
        <v>0</v>
      </c>
      <c r="F62" s="12" t="n">
        <f aca="false">SUMIFS(Data!$H$4:$H$2311,Data!$B$4:$B$2311,"Inedible Tallow",Data!$C$4:$C$2311,"Ireland",Data!$E$4:$E$2311,2024,Data!$F$4:$F$2311,5)</f>
        <v>0</v>
      </c>
      <c r="G62" s="12" t="n">
        <f aca="false">SUMIFS(Data!$H$4:$H$2311,Data!$B$4:$B$2311,"Inedible Tallow",Data!$C$4:$C$2311,"Ireland",Data!$E$4:$E$2311,2024,Data!$F$4:$F$2311,6)</f>
        <v>0</v>
      </c>
      <c r="H62" s="12" t="n">
        <f aca="false">SUMIFS(Data!$H$4:$H$2311,Data!$B$4:$B$2311,"Inedible Tallow",Data!$C$4:$C$2311,"Ireland",Data!$E$4:$E$2311,2024,Data!$F$4:$F$2311,7)</f>
        <v>0</v>
      </c>
      <c r="I62" s="12" t="n">
        <f aca="false">SUMIFS(Data!$H$4:$H$2311,Data!$B$4:$B$2311,"Inedible Tallow",Data!$C$4:$C$2311,"Ireland",Data!$E$4:$E$2311,2024,Data!$F$4:$F$2311,8)</f>
        <v>0</v>
      </c>
      <c r="J62" s="12" t="n">
        <f aca="false">SUMIFS(Data!$H$4:$H$2311,Data!$B$4:$B$2311,"Inedible Tallow",Data!$C$4:$C$2311,"Ireland",Data!$E$4:$E$2311,2024,Data!$F$4:$F$2311,9)</f>
        <v>1.54525306499399</v>
      </c>
      <c r="K62" s="12" t="n">
        <f aca="false">SUMIFS(Data!$H$4:$H$2311,Data!$B$4:$B$2311,"Inedible Tallow",Data!$C$4:$C$2311,"Ireland",Data!$E$4:$E$2311,2024,Data!$F$4:$F$2311,10)</f>
        <v>0</v>
      </c>
      <c r="L62" s="12" t="n">
        <f aca="false">SUMIFS(Data!$H$4:$H$2311,Data!$B$4:$B$2311,"Inedible Tallow",Data!$C$4:$C$2311,"Ireland",Data!$E$4:$E$2311,2024,Data!$F$4:$F$2311,11)</f>
        <v>0</v>
      </c>
      <c r="M62" s="12" t="n">
        <f aca="false">SUMIFS(Data!$H$4:$H$2311,Data!$B$4:$B$2311,"Inedible Tallow",Data!$C$4:$C$2311,"Ireland",Data!$E$4:$E$2311,2024,Data!$F$4:$F$2311,12)</f>
        <v>6.16003307110645</v>
      </c>
      <c r="N62" s="13" t="n">
        <f aca="false">SUM(B62:M62)</f>
        <v>7.70528613610044</v>
      </c>
    </row>
    <row r="63" customFormat="false" ht="15" hidden="false" customHeight="false" outlineLevel="0" collapsed="false">
      <c r="A63" s="11" t="s">
        <v>92</v>
      </c>
      <c r="B63" s="12" t="n">
        <f aca="false">SUMIFS(Data!$H$4:$H$2311,Data!$B$4:$B$2311,"Inedible Tallow",Data!$C$4:$C$2311,"Colombia",Data!$E$4:$E$2311,2024,Data!$F$4:$F$2311,1)</f>
        <v>1.70073407539996</v>
      </c>
      <c r="C63" s="12" t="n">
        <f aca="false">SUMIFS(Data!$H$4:$H$2311,Data!$B$4:$B$2311,"Inedible Tallow",Data!$C$4:$C$2311,"Colombia",Data!$E$4:$E$2311,2024,Data!$F$4:$F$2311,2)</f>
        <v>0.895649986352781</v>
      </c>
      <c r="D63" s="12" t="n">
        <f aca="false">SUMIFS(Data!$H$4:$H$2311,Data!$B$4:$B$2311,"Inedible Tallow",Data!$C$4:$C$2311,"Colombia",Data!$E$4:$E$2311,2024,Data!$F$4:$F$2311,3)</f>
        <v>0</v>
      </c>
      <c r="E63" s="12" t="n">
        <f aca="false">SUMIFS(Data!$H$4:$H$2311,Data!$B$4:$B$2311,"Inedible Tallow",Data!$C$4:$C$2311,"Colombia",Data!$E$4:$E$2311,2024,Data!$F$4:$F$2311,4)</f>
        <v>0</v>
      </c>
      <c r="F63" s="12" t="n">
        <f aca="false">SUMIFS(Data!$H$4:$H$2311,Data!$B$4:$B$2311,"Inedible Tallow",Data!$C$4:$C$2311,"Colombia",Data!$E$4:$E$2311,2024,Data!$F$4:$F$2311,5)</f>
        <v>0.367797192003236</v>
      </c>
      <c r="G63" s="12" t="n">
        <f aca="false">SUMIFS(Data!$H$4:$H$2311,Data!$B$4:$B$2311,"Inedible Tallow",Data!$C$4:$C$2311,"Colombia",Data!$E$4:$E$2311,2024,Data!$F$4:$F$2311,6)</f>
        <v>0</v>
      </c>
      <c r="H63" s="12" t="n">
        <f aca="false">SUMIFS(Data!$H$4:$H$2311,Data!$B$4:$B$2311,"Inedible Tallow",Data!$C$4:$C$2311,"Colombia",Data!$E$4:$E$2311,2024,Data!$F$4:$F$2311,7)</f>
        <v>0</v>
      </c>
      <c r="I63" s="12" t="n">
        <f aca="false">SUMIFS(Data!$H$4:$H$2311,Data!$B$4:$B$2311,"Inedible Tallow",Data!$C$4:$C$2311,"Colombia",Data!$E$4:$E$2311,2024,Data!$F$4:$F$2311,8)</f>
        <v>0</v>
      </c>
      <c r="J63" s="12" t="n">
        <f aca="false">SUMIFS(Data!$H$4:$H$2311,Data!$B$4:$B$2311,"Inedible Tallow",Data!$C$4:$C$2311,"Colombia",Data!$E$4:$E$2311,2024,Data!$F$4:$F$2311,9)</f>
        <v>3.76851577111173</v>
      </c>
      <c r="K63" s="12" t="n">
        <f aca="false">SUMIFS(Data!$H$4:$H$2311,Data!$B$4:$B$2311,"Inedible Tallow",Data!$C$4:$C$2311,"Colombia",Data!$E$4:$E$2311,2024,Data!$F$4:$F$2311,10)</f>
        <v>0</v>
      </c>
      <c r="L63" s="12" t="n">
        <f aca="false">SUMIFS(Data!$H$4:$H$2311,Data!$B$4:$B$2311,"Inedible Tallow",Data!$C$4:$C$2311,"Colombia",Data!$E$4:$E$2311,2024,Data!$F$4:$F$2311,11)</f>
        <v>0</v>
      </c>
      <c r="M63" s="12" t="n">
        <f aca="false">SUMIFS(Data!$H$4:$H$2311,Data!$B$4:$B$2311,"Inedible Tallow",Data!$C$4:$C$2311,"Colombia",Data!$E$4:$E$2311,2024,Data!$F$4:$F$2311,12)</f>
        <v>0</v>
      </c>
      <c r="N63" s="13" t="n">
        <f aca="false">SUM(B63:M63)</f>
        <v>6.73269702486772</v>
      </c>
    </row>
    <row r="64" customFormat="false" ht="15" hidden="false" customHeight="false" outlineLevel="0" collapsed="false">
      <c r="A64" s="11" t="s">
        <v>45</v>
      </c>
      <c r="B64" s="12" t="n">
        <f aca="false">SUMIFS(Data!$H$4:$H$2311,Data!$B$4:$B$2311,"Inedible Tallow",Data!$C$4:$C$2311,"Chile",Data!$E$4:$E$2311,2024,Data!$F$4:$F$2311,1)</f>
        <v>1.58803376697099</v>
      </c>
      <c r="C64" s="12" t="n">
        <f aca="false">SUMIFS(Data!$H$4:$H$2311,Data!$B$4:$B$2311,"Inedible Tallow",Data!$C$4:$C$2311,"Chile",Data!$E$4:$E$2311,2024,Data!$F$4:$F$2311,2)</f>
        <v>0.225091969690885</v>
      </c>
      <c r="D64" s="12" t="n">
        <f aca="false">SUMIFS(Data!$H$4:$H$2311,Data!$B$4:$B$2311,"Inedible Tallow",Data!$C$4:$C$2311,"Chile",Data!$E$4:$E$2311,2024,Data!$F$4:$F$2311,3)</f>
        <v>0</v>
      </c>
      <c r="E64" s="12" t="n">
        <f aca="false">SUMIFS(Data!$H$4:$H$2311,Data!$B$4:$B$2311,"Inedible Tallow",Data!$C$4:$C$2311,"Chile",Data!$E$4:$E$2311,2024,Data!$F$4:$F$2311,4)</f>
        <v>0</v>
      </c>
      <c r="F64" s="12" t="n">
        <f aca="false">SUMIFS(Data!$H$4:$H$2311,Data!$B$4:$B$2311,"Inedible Tallow",Data!$C$4:$C$2311,"Chile",Data!$E$4:$E$2311,2024,Data!$F$4:$F$2311,5)</f>
        <v>0</v>
      </c>
      <c r="G64" s="12" t="n">
        <f aca="false">SUMIFS(Data!$H$4:$H$2311,Data!$B$4:$B$2311,"Inedible Tallow",Data!$C$4:$C$2311,"Chile",Data!$E$4:$E$2311,2024,Data!$F$4:$F$2311,6)</f>
        <v>0</v>
      </c>
      <c r="H64" s="12" t="n">
        <f aca="false">SUMIFS(Data!$H$4:$H$2311,Data!$B$4:$B$2311,"Inedible Tallow",Data!$C$4:$C$2311,"Chile",Data!$E$4:$E$2311,2024,Data!$F$4:$F$2311,7)</f>
        <v>0</v>
      </c>
      <c r="I64" s="12" t="n">
        <f aca="false">SUMIFS(Data!$H$4:$H$2311,Data!$B$4:$B$2311,"Inedible Tallow",Data!$C$4:$C$2311,"Chile",Data!$E$4:$E$2311,2024,Data!$F$4:$F$2311,8)</f>
        <v>0</v>
      </c>
      <c r="J64" s="12" t="n">
        <f aca="false">SUMIFS(Data!$H$4:$H$2311,Data!$B$4:$B$2311,"Inedible Tallow",Data!$C$4:$C$2311,"Chile",Data!$E$4:$E$2311,2024,Data!$F$4:$F$2311,9)</f>
        <v>0.849529281103679</v>
      </c>
      <c r="K64" s="12" t="n">
        <f aca="false">SUMIFS(Data!$H$4:$H$2311,Data!$B$4:$B$2311,"Inedible Tallow",Data!$C$4:$C$2311,"Chile",Data!$E$4:$E$2311,2024,Data!$F$4:$F$2311,10)</f>
        <v>0.234880494131899</v>
      </c>
      <c r="L64" s="12" t="n">
        <f aca="false">SUMIFS(Data!$H$4:$H$2311,Data!$B$4:$B$2311,"Inedible Tallow",Data!$C$4:$C$2311,"Chile",Data!$E$4:$E$2311,2024,Data!$F$4:$F$2311,11)</f>
        <v>0</v>
      </c>
      <c r="M64" s="12" t="n">
        <f aca="false">SUMIFS(Data!$H$4:$H$2311,Data!$B$4:$B$2311,"Inedible Tallow",Data!$C$4:$C$2311,"Chile",Data!$E$4:$E$2311,2024,Data!$F$4:$F$2311,12)</f>
        <v>0</v>
      </c>
      <c r="N64" s="13" t="n">
        <f aca="false">SUM(B64:M64)</f>
        <v>2.89753551189746</v>
      </c>
    </row>
    <row r="65" customFormat="false" ht="15" hidden="false" customHeight="false" outlineLevel="0" collapsed="false">
      <c r="A65" s="11" t="s">
        <v>156</v>
      </c>
      <c r="B65" s="12" t="n">
        <f aca="false">SUMIFS(Data!$H$4:$H$2311,Data!$B$4:$B$2311,"Inedible Tallow",Data!$C$4:$C$2311,"Turkey",Data!$E$4:$E$2311,2024,Data!$F$4:$F$2311,1)</f>
        <v>0</v>
      </c>
      <c r="C65" s="12" t="n">
        <f aca="false">SUMIFS(Data!$H$4:$H$2311,Data!$B$4:$B$2311,"Inedible Tallow",Data!$C$4:$C$2311,"Turkey",Data!$E$4:$E$2311,2024,Data!$F$4:$F$2311,2)</f>
        <v>1.1102920448161</v>
      </c>
      <c r="D65" s="12" t="n">
        <f aca="false">SUMIFS(Data!$H$4:$H$2311,Data!$B$4:$B$2311,"Inedible Tallow",Data!$C$4:$C$2311,"Turkey",Data!$E$4:$E$2311,2024,Data!$F$4:$F$2311,3)</f>
        <v>0</v>
      </c>
      <c r="E65" s="12" t="n">
        <f aca="false">SUMIFS(Data!$H$4:$H$2311,Data!$B$4:$B$2311,"Inedible Tallow",Data!$C$4:$C$2311,"Turkey",Data!$E$4:$E$2311,2024,Data!$F$4:$F$2311,4)</f>
        <v>0</v>
      </c>
      <c r="F65" s="12" t="n">
        <f aca="false">SUMIFS(Data!$H$4:$H$2311,Data!$B$4:$B$2311,"Inedible Tallow",Data!$C$4:$C$2311,"Turkey",Data!$E$4:$E$2311,2024,Data!$F$4:$F$2311,5)</f>
        <v>0</v>
      </c>
      <c r="G65" s="12" t="n">
        <f aca="false">SUMIFS(Data!$H$4:$H$2311,Data!$B$4:$B$2311,"Inedible Tallow",Data!$C$4:$C$2311,"Turkey",Data!$E$4:$E$2311,2024,Data!$F$4:$F$2311,6)</f>
        <v>0</v>
      </c>
      <c r="H65" s="12" t="n">
        <f aca="false">SUMIFS(Data!$H$4:$H$2311,Data!$B$4:$B$2311,"Inedible Tallow",Data!$C$4:$C$2311,"Turkey",Data!$E$4:$E$2311,2024,Data!$F$4:$F$2311,7)</f>
        <v>0</v>
      </c>
      <c r="I65" s="12" t="n">
        <f aca="false">SUMIFS(Data!$H$4:$H$2311,Data!$B$4:$B$2311,"Inedible Tallow",Data!$C$4:$C$2311,"Turkey",Data!$E$4:$E$2311,2024,Data!$F$4:$F$2311,8)</f>
        <v>0</v>
      </c>
      <c r="J65" s="12" t="n">
        <f aca="false">SUMIFS(Data!$H$4:$H$2311,Data!$B$4:$B$2311,"Inedible Tallow",Data!$C$4:$C$2311,"Turkey",Data!$E$4:$E$2311,2024,Data!$F$4:$F$2311,9)</f>
        <v>0</v>
      </c>
      <c r="K65" s="12" t="n">
        <f aca="false">SUMIFS(Data!$H$4:$H$2311,Data!$B$4:$B$2311,"Inedible Tallow",Data!$C$4:$C$2311,"Turkey",Data!$E$4:$E$2311,2024,Data!$F$4:$F$2311,10)</f>
        <v>0</v>
      </c>
      <c r="L65" s="12" t="n">
        <f aca="false">SUMIFS(Data!$H$4:$H$2311,Data!$B$4:$B$2311,"Inedible Tallow",Data!$C$4:$C$2311,"Turkey",Data!$E$4:$E$2311,2024,Data!$F$4:$F$2311,11)</f>
        <v>1.11703819003896</v>
      </c>
      <c r="M65" s="12" t="n">
        <f aca="false">SUMIFS(Data!$H$4:$H$2311,Data!$B$4:$B$2311,"Inedible Tallow",Data!$C$4:$C$2311,"Turkey",Data!$E$4:$E$2311,2024,Data!$F$4:$F$2311,12)</f>
        <v>0</v>
      </c>
      <c r="N65" s="13" t="n">
        <f aca="false">SUM(B65:M65)</f>
        <v>2.22733023485506</v>
      </c>
    </row>
    <row r="66" customFormat="false" ht="15" hidden="false" customHeight="false" outlineLevel="0" collapsed="false">
      <c r="A66" s="11" t="s">
        <v>93</v>
      </c>
      <c r="B66" s="12" t="n">
        <f aca="false">SUMIFS(Data!$H$4:$H$2311,Data!$B$4:$B$2311,"Inedible Tallow",Data!$C$4:$C$2311,"Paraguay",Data!$E$4:$E$2311,2024,Data!$F$4:$F$2311,1)</f>
        <v>0</v>
      </c>
      <c r="C66" s="12" t="n">
        <f aca="false">SUMIFS(Data!$H$4:$H$2311,Data!$B$4:$B$2311,"Inedible Tallow",Data!$C$4:$C$2311,"Paraguay",Data!$E$4:$E$2311,2024,Data!$F$4:$F$2311,2)</f>
        <v>0</v>
      </c>
      <c r="D66" s="12" t="n">
        <f aca="false">SUMIFS(Data!$H$4:$H$2311,Data!$B$4:$B$2311,"Inedible Tallow",Data!$C$4:$C$2311,"Paraguay",Data!$E$4:$E$2311,2024,Data!$F$4:$F$2311,3)</f>
        <v>0.294074611528572</v>
      </c>
      <c r="E66" s="12" t="n">
        <f aca="false">SUMIFS(Data!$H$4:$H$2311,Data!$B$4:$B$2311,"Inedible Tallow",Data!$C$4:$C$2311,"Paraguay",Data!$E$4:$E$2311,2024,Data!$F$4:$F$2311,4)</f>
        <v>0</v>
      </c>
      <c r="F66" s="12" t="n">
        <f aca="false">SUMIFS(Data!$H$4:$H$2311,Data!$B$4:$B$2311,"Inedible Tallow",Data!$C$4:$C$2311,"Paraguay",Data!$E$4:$E$2311,2024,Data!$F$4:$F$2311,5)</f>
        <v>0</v>
      </c>
      <c r="G66" s="12" t="n">
        <f aca="false">SUMIFS(Data!$H$4:$H$2311,Data!$B$4:$B$2311,"Inedible Tallow",Data!$C$4:$C$2311,"Paraguay",Data!$E$4:$E$2311,2024,Data!$F$4:$F$2311,6)</f>
        <v>0</v>
      </c>
      <c r="H66" s="12" t="n">
        <f aca="false">SUMIFS(Data!$H$4:$H$2311,Data!$B$4:$B$2311,"Inedible Tallow",Data!$C$4:$C$2311,"Paraguay",Data!$E$4:$E$2311,2024,Data!$F$4:$F$2311,7)</f>
        <v>0</v>
      </c>
      <c r="I66" s="12" t="n">
        <f aca="false">SUMIFS(Data!$H$4:$H$2311,Data!$B$4:$B$2311,"Inedible Tallow",Data!$C$4:$C$2311,"Paraguay",Data!$E$4:$E$2311,2024,Data!$F$4:$F$2311,8)</f>
        <v>0</v>
      </c>
      <c r="J66" s="12" t="n">
        <f aca="false">SUMIFS(Data!$H$4:$H$2311,Data!$B$4:$B$2311,"Inedible Tallow",Data!$C$4:$C$2311,"Paraguay",Data!$E$4:$E$2311,2024,Data!$F$4:$F$2311,9)</f>
        <v>1.9180216810095</v>
      </c>
      <c r="K66" s="12" t="n">
        <f aca="false">SUMIFS(Data!$H$4:$H$2311,Data!$B$4:$B$2311,"Inedible Tallow",Data!$C$4:$C$2311,"Paraguay",Data!$E$4:$E$2311,2024,Data!$F$4:$F$2311,10)</f>
        <v>0</v>
      </c>
      <c r="L66" s="12" t="n">
        <f aca="false">SUMIFS(Data!$H$4:$H$2311,Data!$B$4:$B$2311,"Inedible Tallow",Data!$C$4:$C$2311,"Paraguay",Data!$E$4:$E$2311,2024,Data!$F$4:$F$2311,11)</f>
        <v>0</v>
      </c>
      <c r="M66" s="12" t="n">
        <f aca="false">SUMIFS(Data!$H$4:$H$2311,Data!$B$4:$B$2311,"Inedible Tallow",Data!$C$4:$C$2311,"Paraguay",Data!$E$4:$E$2311,2024,Data!$F$4:$F$2311,12)</f>
        <v>0</v>
      </c>
      <c r="N66" s="13" t="n">
        <f aca="false">SUM(B66:M66)</f>
        <v>2.21209629253807</v>
      </c>
    </row>
    <row r="67" customFormat="false" ht="15" hidden="false" customHeight="false" outlineLevel="0" collapsed="false">
      <c r="A67" s="11" t="s">
        <v>74</v>
      </c>
      <c r="B67" s="12" t="n">
        <f aca="false">SUMIFS(Data!$H$4:$H$2311,Data!$B$4:$B$2311,"Inedible Tallow",Data!$C$4:$C$2311,"United Kingdom",Data!$E$4:$E$2311,2024,Data!$F$4:$F$2311,1)</f>
        <v>0</v>
      </c>
      <c r="C67" s="12" t="n">
        <f aca="false">SUMIFS(Data!$H$4:$H$2311,Data!$B$4:$B$2311,"Inedible Tallow",Data!$C$4:$C$2311,"United Kingdom",Data!$E$4:$E$2311,2024,Data!$F$4:$F$2311,2)</f>
        <v>0</v>
      </c>
      <c r="D67" s="12" t="n">
        <f aca="false">SUMIFS(Data!$H$4:$H$2311,Data!$B$4:$B$2311,"Inedible Tallow",Data!$C$4:$C$2311,"United Kingdom",Data!$E$4:$E$2311,2024,Data!$F$4:$F$2311,3)</f>
        <v>0</v>
      </c>
      <c r="E67" s="12" t="n">
        <f aca="false">SUMIFS(Data!$H$4:$H$2311,Data!$B$4:$B$2311,"Inedible Tallow",Data!$C$4:$C$2311,"United Kingdom",Data!$E$4:$E$2311,2024,Data!$F$4:$F$2311,4)</f>
        <v>0</v>
      </c>
      <c r="F67" s="12" t="n">
        <f aca="false">SUMIFS(Data!$H$4:$H$2311,Data!$B$4:$B$2311,"Inedible Tallow",Data!$C$4:$C$2311,"United Kingdom",Data!$E$4:$E$2311,2024,Data!$F$4:$F$2311,5)</f>
        <v>0</v>
      </c>
      <c r="G67" s="12" t="n">
        <f aca="false">SUMIFS(Data!$H$4:$H$2311,Data!$B$4:$B$2311,"Inedible Tallow",Data!$C$4:$C$2311,"United Kingdom",Data!$E$4:$E$2311,2024,Data!$F$4:$F$2311,6)</f>
        <v>0</v>
      </c>
      <c r="H67" s="12" t="n">
        <f aca="false">SUMIFS(Data!$H$4:$H$2311,Data!$B$4:$B$2311,"Inedible Tallow",Data!$C$4:$C$2311,"United Kingdom",Data!$E$4:$E$2311,2024,Data!$F$4:$F$2311,7)</f>
        <v>0</v>
      </c>
      <c r="I67" s="12" t="n">
        <f aca="false">SUMIFS(Data!$H$4:$H$2311,Data!$B$4:$B$2311,"Inedible Tallow",Data!$C$4:$C$2311,"United Kingdom",Data!$E$4:$E$2311,2024,Data!$F$4:$F$2311,8)</f>
        <v>0</v>
      </c>
      <c r="J67" s="12" t="n">
        <f aca="false">SUMIFS(Data!$H$4:$H$2311,Data!$B$4:$B$2311,"Inedible Tallow",Data!$C$4:$C$2311,"United Kingdom",Data!$E$4:$E$2311,2024,Data!$F$4:$F$2311,9)</f>
        <v>0</v>
      </c>
      <c r="K67" s="12" t="n">
        <f aca="false">SUMIFS(Data!$H$4:$H$2311,Data!$B$4:$B$2311,"Inedible Tallow",Data!$C$4:$C$2311,"United Kingdom",Data!$E$4:$E$2311,2024,Data!$F$4:$F$2311,10)</f>
        <v>0</v>
      </c>
      <c r="L67" s="12" t="n">
        <f aca="false">SUMIFS(Data!$H$4:$H$2311,Data!$B$4:$B$2311,"Inedible Tallow",Data!$C$4:$C$2311,"United Kingdom",Data!$E$4:$E$2311,2024,Data!$F$4:$F$2311,11)</f>
        <v>0</v>
      </c>
      <c r="M67" s="12" t="n">
        <f aca="false">SUMIFS(Data!$H$4:$H$2311,Data!$B$4:$B$2311,"Inedible Tallow",Data!$C$4:$C$2311,"United Kingdom",Data!$E$4:$E$2311,2024,Data!$F$4:$F$2311,12)</f>
        <v>1.75927121525533</v>
      </c>
      <c r="N67" s="13" t="n">
        <f aca="false">SUM(B67:M67)</f>
        <v>1.75927121525533</v>
      </c>
    </row>
    <row r="68" customFormat="false" ht="15" hidden="false" customHeight="false" outlineLevel="0" collapsed="false">
      <c r="A68" s="11" t="s">
        <v>163</v>
      </c>
      <c r="B68" s="12" t="n">
        <f aca="false">SUMIFS(Data!$H$4:$H$2311,Data!$B$4:$B$2311,"Inedible Tallow",Data!$C$4:$C$2311,"Israel",Data!$E$4:$E$2311,2024,Data!$F$4:$F$2311,1)</f>
        <v>0.0949553009457014</v>
      </c>
      <c r="C68" s="12" t="n">
        <f aca="false">SUMIFS(Data!$H$4:$H$2311,Data!$B$4:$B$2311,"Inedible Tallow",Data!$C$4:$C$2311,"Israel",Data!$E$4:$E$2311,2024,Data!$F$4:$F$2311,2)</f>
        <v>0.166971503511053</v>
      </c>
      <c r="D68" s="12" t="n">
        <f aca="false">SUMIFS(Data!$H$4:$H$2311,Data!$B$4:$B$2311,"Inedible Tallow",Data!$C$4:$C$2311,"Israel",Data!$E$4:$E$2311,2024,Data!$F$4:$F$2311,3)</f>
        <v>0</v>
      </c>
      <c r="E68" s="12" t="n">
        <f aca="false">SUMIFS(Data!$H$4:$H$2311,Data!$B$4:$B$2311,"Inedible Tallow",Data!$C$4:$C$2311,"Israel",Data!$E$4:$E$2311,2024,Data!$F$4:$F$2311,4)</f>
        <v>0</v>
      </c>
      <c r="F68" s="12" t="n">
        <f aca="false">SUMIFS(Data!$H$4:$H$2311,Data!$B$4:$B$2311,"Inedible Tallow",Data!$C$4:$C$2311,"Israel",Data!$E$4:$E$2311,2024,Data!$F$4:$F$2311,5)</f>
        <v>0</v>
      </c>
      <c r="G68" s="12" t="n">
        <f aca="false">SUMIFS(Data!$H$4:$H$2311,Data!$B$4:$B$2311,"Inedible Tallow",Data!$C$4:$C$2311,"Israel",Data!$E$4:$E$2311,2024,Data!$F$4:$F$2311,6)</f>
        <v>0</v>
      </c>
      <c r="H68" s="12" t="n">
        <f aca="false">SUMIFS(Data!$H$4:$H$2311,Data!$B$4:$B$2311,"Inedible Tallow",Data!$C$4:$C$2311,"Israel",Data!$E$4:$E$2311,2024,Data!$F$4:$F$2311,7)</f>
        <v>0</v>
      </c>
      <c r="I68" s="12" t="n">
        <f aca="false">SUMIFS(Data!$H$4:$H$2311,Data!$B$4:$B$2311,"Inedible Tallow",Data!$C$4:$C$2311,"Israel",Data!$E$4:$E$2311,2024,Data!$F$4:$F$2311,8)</f>
        <v>0</v>
      </c>
      <c r="J68" s="12" t="n">
        <f aca="false">SUMIFS(Data!$H$4:$H$2311,Data!$B$4:$B$2311,"Inedible Tallow",Data!$C$4:$C$2311,"Israel",Data!$E$4:$E$2311,2024,Data!$F$4:$F$2311,9)</f>
        <v>0</v>
      </c>
      <c r="K68" s="12" t="n">
        <f aca="false">SUMIFS(Data!$H$4:$H$2311,Data!$B$4:$B$2311,"Inedible Tallow",Data!$C$4:$C$2311,"Israel",Data!$E$4:$E$2311,2024,Data!$F$4:$F$2311,10)</f>
        <v>0</v>
      </c>
      <c r="L68" s="12" t="n">
        <f aca="false">SUMIFS(Data!$H$4:$H$2311,Data!$B$4:$B$2311,"Inedible Tallow",Data!$C$4:$C$2311,"Israel",Data!$E$4:$E$2311,2024,Data!$F$4:$F$2311,11)</f>
        <v>0</v>
      </c>
      <c r="M68" s="12" t="n">
        <f aca="false">SUMIFS(Data!$H$4:$H$2311,Data!$B$4:$B$2311,"Inedible Tallow",Data!$C$4:$C$2311,"Israel",Data!$E$4:$E$2311,2024,Data!$F$4:$F$2311,12)</f>
        <v>0</v>
      </c>
      <c r="N68" s="13" t="n">
        <f aca="false">SUM(B68:M68)</f>
        <v>0.261926804456755</v>
      </c>
    </row>
    <row r="69" customFormat="false" ht="15" hidden="false" customHeight="false" outlineLevel="0" collapsed="false">
      <c r="A69" s="11" t="s">
        <v>79</v>
      </c>
      <c r="B69" s="12" t="n">
        <f aca="false">SUMIFS(Data!$H$4:$H$2311,Data!$B$4:$B$2311,"Inedible Tallow",Data!$C$4:$C$2311,"Italy",Data!$E$4:$E$2311,2024,Data!$F$4:$F$2311,1)</f>
        <v>0</v>
      </c>
      <c r="C69" s="12" t="n">
        <f aca="false">SUMIFS(Data!$H$4:$H$2311,Data!$B$4:$B$2311,"Inedible Tallow",Data!$C$4:$C$2311,"Italy",Data!$E$4:$E$2311,2024,Data!$F$4:$F$2311,2)</f>
        <v>0.143322516646469</v>
      </c>
      <c r="D69" s="12" t="n">
        <f aca="false">SUMIFS(Data!$H$4:$H$2311,Data!$B$4:$B$2311,"Inedible Tallow",Data!$C$4:$C$2311,"Italy",Data!$E$4:$E$2311,2024,Data!$F$4:$F$2311,3)</f>
        <v>0</v>
      </c>
      <c r="E69" s="12" t="n">
        <f aca="false">SUMIFS(Data!$H$4:$H$2311,Data!$B$4:$B$2311,"Inedible Tallow",Data!$C$4:$C$2311,"Italy",Data!$E$4:$E$2311,2024,Data!$F$4:$F$2311,4)</f>
        <v>0</v>
      </c>
      <c r="F69" s="12" t="n">
        <f aca="false">SUMIFS(Data!$H$4:$H$2311,Data!$B$4:$B$2311,"Inedible Tallow",Data!$C$4:$C$2311,"Italy",Data!$E$4:$E$2311,2024,Data!$F$4:$F$2311,5)</f>
        <v>0</v>
      </c>
      <c r="G69" s="12" t="n">
        <f aca="false">SUMIFS(Data!$H$4:$H$2311,Data!$B$4:$B$2311,"Inedible Tallow",Data!$C$4:$C$2311,"Italy",Data!$E$4:$E$2311,2024,Data!$F$4:$F$2311,6)</f>
        <v>0</v>
      </c>
      <c r="H69" s="12" t="n">
        <f aca="false">SUMIFS(Data!$H$4:$H$2311,Data!$B$4:$B$2311,"Inedible Tallow",Data!$C$4:$C$2311,"Italy",Data!$E$4:$E$2311,2024,Data!$F$4:$F$2311,7)</f>
        <v>0</v>
      </c>
      <c r="I69" s="12" t="n">
        <f aca="false">SUMIFS(Data!$H$4:$H$2311,Data!$B$4:$B$2311,"Inedible Tallow",Data!$C$4:$C$2311,"Italy",Data!$E$4:$E$2311,2024,Data!$F$4:$F$2311,8)</f>
        <v>0</v>
      </c>
      <c r="J69" s="12" t="n">
        <f aca="false">SUMIFS(Data!$H$4:$H$2311,Data!$B$4:$B$2311,"Inedible Tallow",Data!$C$4:$C$2311,"Italy",Data!$E$4:$E$2311,2024,Data!$F$4:$F$2311,9)</f>
        <v>0</v>
      </c>
      <c r="K69" s="12" t="n">
        <f aca="false">SUMIFS(Data!$H$4:$H$2311,Data!$B$4:$B$2311,"Inedible Tallow",Data!$C$4:$C$2311,"Italy",Data!$E$4:$E$2311,2024,Data!$F$4:$F$2311,10)</f>
        <v>0</v>
      </c>
      <c r="L69" s="12" t="n">
        <f aca="false">SUMIFS(Data!$H$4:$H$2311,Data!$B$4:$B$2311,"Inedible Tallow",Data!$C$4:$C$2311,"Italy",Data!$E$4:$E$2311,2024,Data!$F$4:$F$2311,11)</f>
        <v>0</v>
      </c>
      <c r="M69" s="12" t="n">
        <f aca="false">SUMIFS(Data!$H$4:$H$2311,Data!$B$4:$B$2311,"Inedible Tallow",Data!$C$4:$C$2311,"Italy",Data!$E$4:$E$2311,2024,Data!$F$4:$F$2311,12)</f>
        <v>0</v>
      </c>
      <c r="N69" s="13" t="n">
        <f aca="false">SUM(B69:M69)</f>
        <v>0.143322516646469</v>
      </c>
    </row>
    <row r="70" customFormat="false" ht="15" hidden="false" customHeight="false" outlineLevel="0" collapsed="false">
      <c r="A70" s="11" t="s">
        <v>51</v>
      </c>
      <c r="B70" s="12" t="n">
        <f aca="false">SUMIFS(Data!$H$4:$H$2311,Data!$B$4:$B$2311,"Inedible Tallow",Data!$C$4:$C$2311,"India",Data!$E$4:$E$2311,2024,Data!$F$4:$F$2311,1)</f>
        <v>0</v>
      </c>
      <c r="C70" s="12" t="n">
        <f aca="false">SUMIFS(Data!$H$4:$H$2311,Data!$B$4:$B$2311,"Inedible Tallow",Data!$C$4:$C$2311,"India",Data!$E$4:$E$2311,2024,Data!$F$4:$F$2311,2)</f>
        <v>0</v>
      </c>
      <c r="D70" s="12" t="n">
        <f aca="false">SUMIFS(Data!$H$4:$H$2311,Data!$B$4:$B$2311,"Inedible Tallow",Data!$C$4:$C$2311,"India",Data!$E$4:$E$2311,2024,Data!$F$4:$F$2311,3)</f>
        <v>0</v>
      </c>
      <c r="E70" s="12" t="n">
        <f aca="false">SUMIFS(Data!$H$4:$H$2311,Data!$B$4:$B$2311,"Inedible Tallow",Data!$C$4:$C$2311,"India",Data!$E$4:$E$2311,2024,Data!$F$4:$F$2311,4)</f>
        <v>0</v>
      </c>
      <c r="F70" s="12" t="n">
        <f aca="false">SUMIFS(Data!$H$4:$H$2311,Data!$B$4:$B$2311,"Inedible Tallow",Data!$C$4:$C$2311,"India",Data!$E$4:$E$2311,2024,Data!$F$4:$F$2311,5)</f>
        <v>0</v>
      </c>
      <c r="G70" s="12" t="n">
        <f aca="false">SUMIFS(Data!$H$4:$H$2311,Data!$B$4:$B$2311,"Inedible Tallow",Data!$C$4:$C$2311,"India",Data!$E$4:$E$2311,2024,Data!$F$4:$F$2311,6)</f>
        <v>0</v>
      </c>
      <c r="H70" s="12" t="n">
        <f aca="false">SUMIFS(Data!$H$4:$H$2311,Data!$B$4:$B$2311,"Inedible Tallow",Data!$C$4:$C$2311,"India",Data!$E$4:$E$2311,2024,Data!$F$4:$F$2311,7)</f>
        <v>0</v>
      </c>
      <c r="I70" s="12" t="n">
        <f aca="false">SUMIFS(Data!$H$4:$H$2311,Data!$B$4:$B$2311,"Inedible Tallow",Data!$C$4:$C$2311,"India",Data!$E$4:$E$2311,2024,Data!$F$4:$F$2311,8)</f>
        <v>0</v>
      </c>
      <c r="J70" s="12" t="n">
        <f aca="false">SUMIFS(Data!$H$4:$H$2311,Data!$B$4:$B$2311,"Inedible Tallow",Data!$C$4:$C$2311,"India",Data!$E$4:$E$2311,2024,Data!$F$4:$F$2311,9)</f>
        <v>0</v>
      </c>
      <c r="K70" s="12" t="n">
        <f aca="false">SUMIFS(Data!$H$4:$H$2311,Data!$B$4:$B$2311,"Inedible Tallow",Data!$C$4:$C$2311,"India",Data!$E$4:$E$2311,2024,Data!$F$4:$F$2311,10)</f>
        <v>0</v>
      </c>
      <c r="L70" s="12" t="n">
        <f aca="false">SUMIFS(Data!$H$4:$H$2311,Data!$B$4:$B$2311,"Inedible Tallow",Data!$C$4:$C$2311,"India",Data!$E$4:$E$2311,2024,Data!$F$4:$F$2311,11)</f>
        <v>0.0874132869563525</v>
      </c>
      <c r="M70" s="12" t="n">
        <f aca="false">SUMIFS(Data!$H$4:$H$2311,Data!$B$4:$B$2311,"Inedible Tallow",Data!$C$4:$C$2311,"India",Data!$E$4:$E$2311,2024,Data!$F$4:$F$2311,12)</f>
        <v>0</v>
      </c>
      <c r="N70" s="13" t="n">
        <f aca="false">SUM(B70:M70)</f>
        <v>0.0874132869563525</v>
      </c>
    </row>
    <row r="71" customFormat="false" ht="15" hidden="false" customHeight="false" outlineLevel="0" collapsed="false">
      <c r="A71" s="11" t="s">
        <v>112</v>
      </c>
      <c r="B71" s="12" t="n">
        <f aca="false">SUMIFS(Data!$H$4:$H$2311,Data!$B$4:$B$2311,"Inedible Tallow",Data!$C$4:$C$2311,"Costa Rica",Data!$E$4:$E$2311,2024,Data!$F$4:$F$2311,1)</f>
        <v>0</v>
      </c>
      <c r="C71" s="12" t="n">
        <f aca="false">SUMIFS(Data!$H$4:$H$2311,Data!$B$4:$B$2311,"Inedible Tallow",Data!$C$4:$C$2311,"Costa Rica",Data!$E$4:$E$2311,2024,Data!$F$4:$F$2311,2)</f>
        <v>0</v>
      </c>
      <c r="D71" s="12" t="n">
        <f aca="false">SUMIFS(Data!$H$4:$H$2311,Data!$B$4:$B$2311,"Inedible Tallow",Data!$C$4:$C$2311,"Costa Rica",Data!$E$4:$E$2311,2024,Data!$F$4:$F$2311,3)</f>
        <v>0</v>
      </c>
      <c r="E71" s="12" t="n">
        <f aca="false">SUMIFS(Data!$H$4:$H$2311,Data!$B$4:$B$2311,"Inedible Tallow",Data!$C$4:$C$2311,"Costa Rica",Data!$E$4:$E$2311,2024,Data!$F$4:$F$2311,4)</f>
        <v>0</v>
      </c>
      <c r="F71" s="12" t="n">
        <f aca="false">SUMIFS(Data!$H$4:$H$2311,Data!$B$4:$B$2311,"Inedible Tallow",Data!$C$4:$C$2311,"Costa Rica",Data!$E$4:$E$2311,2024,Data!$F$4:$F$2311,5)</f>
        <v>0</v>
      </c>
      <c r="G71" s="12" t="n">
        <f aca="false">SUMIFS(Data!$H$4:$H$2311,Data!$B$4:$B$2311,"Inedible Tallow",Data!$C$4:$C$2311,"Costa Rica",Data!$E$4:$E$2311,2024,Data!$F$4:$F$2311,6)</f>
        <v>0</v>
      </c>
      <c r="H71" s="12" t="n">
        <f aca="false">SUMIFS(Data!$H$4:$H$2311,Data!$B$4:$B$2311,"Inedible Tallow",Data!$C$4:$C$2311,"Costa Rica",Data!$E$4:$E$2311,2024,Data!$F$4:$F$2311,7)</f>
        <v>0</v>
      </c>
      <c r="I71" s="12" t="n">
        <f aca="false">SUMIFS(Data!$H$4:$H$2311,Data!$B$4:$B$2311,"Inedible Tallow",Data!$C$4:$C$2311,"Costa Rica",Data!$E$4:$E$2311,2024,Data!$F$4:$F$2311,8)</f>
        <v>0</v>
      </c>
      <c r="J71" s="12" t="n">
        <f aca="false">SUMIFS(Data!$H$4:$H$2311,Data!$B$4:$B$2311,"Inedible Tallow",Data!$C$4:$C$2311,"Costa Rica",Data!$E$4:$E$2311,2024,Data!$F$4:$F$2311,9)</f>
        <v>0</v>
      </c>
      <c r="K71" s="12" t="n">
        <f aca="false">SUMIFS(Data!$H$4:$H$2311,Data!$B$4:$B$2311,"Inedible Tallow",Data!$C$4:$C$2311,"Costa Rica",Data!$E$4:$E$2311,2024,Data!$F$4:$F$2311,10)</f>
        <v>0.0873846268622684</v>
      </c>
      <c r="L71" s="12" t="n">
        <f aca="false">SUMIFS(Data!$H$4:$H$2311,Data!$B$4:$B$2311,"Inedible Tallow",Data!$C$4:$C$2311,"Costa Rica",Data!$E$4:$E$2311,2024,Data!$F$4:$F$2311,11)</f>
        <v>0</v>
      </c>
      <c r="M71" s="12" t="n">
        <f aca="false">SUMIFS(Data!$H$4:$H$2311,Data!$B$4:$B$2311,"Inedible Tallow",Data!$C$4:$C$2311,"Costa Rica",Data!$E$4:$E$2311,2024,Data!$F$4:$F$2311,12)</f>
        <v>0</v>
      </c>
      <c r="N71" s="13" t="n">
        <f aca="false">SUM(B71:M71)</f>
        <v>0.0873846268622684</v>
      </c>
    </row>
    <row r="72" customFormat="false" ht="15" hidden="false" customHeight="false" outlineLevel="0" collapsed="false">
      <c r="A72" s="11" t="s">
        <v>70</v>
      </c>
      <c r="B72" s="12" t="n">
        <f aca="false">SUMIFS(Data!$H$4:$H$2311,Data!$B$4:$B$2311,"Inedible Tallow",Data!$C$4:$C$2311,"Sweden",Data!$E$4:$E$2311,2024,Data!$F$4:$F$2311,1)</f>
        <v>0</v>
      </c>
      <c r="C72" s="12" t="n">
        <f aca="false">SUMIFS(Data!$H$4:$H$2311,Data!$B$4:$B$2311,"Inedible Tallow",Data!$C$4:$C$2311,"Sweden",Data!$E$4:$E$2311,2024,Data!$F$4:$F$2311,2)</f>
        <v>0</v>
      </c>
      <c r="D72" s="12" t="n">
        <f aca="false">SUMIFS(Data!$H$4:$H$2311,Data!$B$4:$B$2311,"Inedible Tallow",Data!$C$4:$C$2311,"Sweden",Data!$E$4:$E$2311,2024,Data!$F$4:$F$2311,3)</f>
        <v>0</v>
      </c>
      <c r="E72" s="12" t="n">
        <f aca="false">SUMIFS(Data!$H$4:$H$2311,Data!$B$4:$B$2311,"Inedible Tallow",Data!$C$4:$C$2311,"Sweden",Data!$E$4:$E$2311,2024,Data!$F$4:$F$2311,4)</f>
        <v>0</v>
      </c>
      <c r="F72" s="12" t="n">
        <f aca="false">SUMIFS(Data!$H$4:$H$2311,Data!$B$4:$B$2311,"Inedible Tallow",Data!$C$4:$C$2311,"Sweden",Data!$E$4:$E$2311,2024,Data!$F$4:$F$2311,5)</f>
        <v>0</v>
      </c>
      <c r="G72" s="12" t="n">
        <f aca="false">SUMIFS(Data!$H$4:$H$2311,Data!$B$4:$B$2311,"Inedible Tallow",Data!$C$4:$C$2311,"Sweden",Data!$E$4:$E$2311,2024,Data!$F$4:$F$2311,6)</f>
        <v>0</v>
      </c>
      <c r="H72" s="12" t="n">
        <f aca="false">SUMIFS(Data!$H$4:$H$2311,Data!$B$4:$B$2311,"Inedible Tallow",Data!$C$4:$C$2311,"Sweden",Data!$E$4:$E$2311,2024,Data!$F$4:$F$2311,7)</f>
        <v>0</v>
      </c>
      <c r="I72" s="12" t="n">
        <f aca="false">SUMIFS(Data!$H$4:$H$2311,Data!$B$4:$B$2311,"Inedible Tallow",Data!$C$4:$C$2311,"Sweden",Data!$E$4:$E$2311,2024,Data!$F$4:$F$2311,8)</f>
        <v>0</v>
      </c>
      <c r="J72" s="12" t="n">
        <f aca="false">SUMIFS(Data!$H$4:$H$2311,Data!$B$4:$B$2311,"Inedible Tallow",Data!$C$4:$C$2311,"Sweden",Data!$E$4:$E$2311,2024,Data!$F$4:$F$2311,9)</f>
        <v>0</v>
      </c>
      <c r="K72" s="12" t="n">
        <f aca="false">SUMIFS(Data!$H$4:$H$2311,Data!$B$4:$B$2311,"Inedible Tallow",Data!$C$4:$C$2311,"Sweden",Data!$E$4:$E$2311,2024,Data!$F$4:$F$2311,10)</f>
        <v>0</v>
      </c>
      <c r="L72" s="12" t="n">
        <f aca="false">SUMIFS(Data!$H$4:$H$2311,Data!$B$4:$B$2311,"Inedible Tallow",Data!$C$4:$C$2311,"Sweden",Data!$E$4:$E$2311,2024,Data!$F$4:$F$2311,11)</f>
        <v>0</v>
      </c>
      <c r="M72" s="12" t="n">
        <f aca="false">SUMIFS(Data!$H$4:$H$2311,Data!$B$4:$B$2311,"Inedible Tallow",Data!$C$4:$C$2311,"Sweden",Data!$E$4:$E$2311,2024,Data!$F$4:$F$2311,12)</f>
        <v>4.4092452437E-006</v>
      </c>
      <c r="N72" s="13" t="n">
        <f aca="false">SUM(B72:M72)</f>
        <v>4.4092452437E-006</v>
      </c>
    </row>
    <row r="74" customFormat="false" ht="15" hidden="false" customHeight="false" outlineLevel="0" collapsed="false">
      <c r="A74" s="8"/>
      <c r="B74" s="9" t="s">
        <v>164</v>
      </c>
      <c r="C74" s="9" t="s">
        <v>165</v>
      </c>
      <c r="D74" s="9" t="s">
        <v>166</v>
      </c>
      <c r="E74" s="9" t="s">
        <v>167</v>
      </c>
      <c r="F74" s="9" t="s">
        <v>168</v>
      </c>
      <c r="G74" s="9" t="s">
        <v>169</v>
      </c>
      <c r="H74" s="9" t="s">
        <v>170</v>
      </c>
      <c r="I74" s="9" t="s">
        <v>171</v>
      </c>
      <c r="J74" s="9" t="s">
        <v>172</v>
      </c>
      <c r="K74" s="9" t="s">
        <v>173</v>
      </c>
      <c r="L74" s="9" t="s">
        <v>174</v>
      </c>
      <c r="M74" s="9" t="s">
        <v>175</v>
      </c>
      <c r="N74" s="9" t="s">
        <v>33</v>
      </c>
    </row>
    <row r="75" customFormat="false" ht="15" hidden="false" customHeight="false" outlineLevel="0" collapsed="false">
      <c r="A75" s="10" t="s">
        <v>35</v>
      </c>
      <c r="B75" s="10" t="n">
        <f aca="false">SUM(B76:B93)</f>
        <v>175.644671889089</v>
      </c>
      <c r="C75" s="10" t="n">
        <f aca="false">SUM(C76:C93)</f>
        <v>131.335489616003</v>
      </c>
      <c r="D75" s="10" t="n">
        <f aca="false">SUM(D76:D93)</f>
        <v>165.390826569772</v>
      </c>
      <c r="E75" s="10" t="n">
        <f aca="false">SUM(E76:E93)</f>
        <v>245.557349212161</v>
      </c>
      <c r="F75" s="10" t="n">
        <f aca="false">SUM(F76:F93)</f>
        <v>209.513259669806</v>
      </c>
      <c r="G75" s="10" t="n">
        <f aca="false">SUM(G76:G93)</f>
        <v>143.797015368747</v>
      </c>
      <c r="H75" s="10" t="n">
        <f aca="false">SUM(H76:H93)</f>
        <v>354.467441769555</v>
      </c>
      <c r="I75" s="10" t="n">
        <f aca="false">SUM(I76:I93)</f>
        <v>38.87888590368</v>
      </c>
      <c r="J75" s="10" t="n">
        <f aca="false">SUM(J76:J93)</f>
        <v>218.013986875606</v>
      </c>
      <c r="K75" s="10" t="n">
        <f aca="false">SUM(K76:K93)</f>
        <v>219.129781658486</v>
      </c>
      <c r="L75" s="10" t="n">
        <f aca="false">SUM(L76:L93)</f>
        <v>123.499061503242</v>
      </c>
      <c r="M75" s="10" t="n">
        <f aca="false">SUM(M76:M93)</f>
        <v>216.041727068854</v>
      </c>
      <c r="N75" s="10" t="n">
        <f aca="false">SUM(B75:M75)</f>
        <v>2241.269497105</v>
      </c>
    </row>
    <row r="76" customFormat="false" ht="15" hidden="false" customHeight="false" outlineLevel="0" collapsed="false">
      <c r="A76" s="11" t="s">
        <v>49</v>
      </c>
      <c r="B76" s="12" t="n">
        <f aca="false">SUMIFS(Data!$H$4:$H$2311,Data!$B$4:$B$2311,"Inedible Tallow",Data!$C$4:$C$2311,"Brazil",Data!$E$4:$E$2311,2025,Data!$F$4:$F$2311,1)</f>
        <v>50.5925441382816</v>
      </c>
      <c r="C76" s="12" t="n">
        <f aca="false">SUMIFS(Data!$H$4:$H$2311,Data!$B$4:$B$2311,"Inedible Tallow",Data!$C$4:$C$2311,"Brazil",Data!$E$4:$E$2311,2025,Data!$F$4:$F$2311,2)</f>
        <v>13.2254010357435</v>
      </c>
      <c r="D76" s="12" t="n">
        <f aca="false">SUMIFS(Data!$H$4:$H$2311,Data!$B$4:$B$2311,"Inedible Tallow",Data!$C$4:$C$2311,"Brazil",Data!$E$4:$E$2311,2025,Data!$F$4:$F$2311,3)</f>
        <v>35.934281698806</v>
      </c>
      <c r="E76" s="12" t="n">
        <f aca="false">SUMIFS(Data!$H$4:$H$2311,Data!$B$4:$B$2311,"Inedible Tallow",Data!$C$4:$C$2311,"Brazil",Data!$E$4:$E$2311,2025,Data!$F$4:$F$2311,4)</f>
        <v>139.469200066207</v>
      </c>
      <c r="F76" s="12" t="n">
        <f aca="false">SUMIFS(Data!$H$4:$H$2311,Data!$B$4:$B$2311,"Inedible Tallow",Data!$C$4:$C$2311,"Brazil",Data!$E$4:$E$2311,2025,Data!$F$4:$F$2311,5)</f>
        <v>93.9199285914436</v>
      </c>
      <c r="G76" s="12" t="n">
        <f aca="false">SUMIFS(Data!$H$4:$H$2311,Data!$B$4:$B$2311,"Inedible Tallow",Data!$C$4:$C$2311,"Brazil",Data!$E$4:$E$2311,2025,Data!$F$4:$F$2311,6)</f>
        <v>58.6942655142431</v>
      </c>
      <c r="H76" s="12" t="n">
        <f aca="false">SUMIFS(Data!$H$4:$H$2311,Data!$B$4:$B$2311,"Inedible Tallow",Data!$C$4:$C$2311,"Brazil",Data!$E$4:$E$2311,2025,Data!$F$4:$F$2311,7)</f>
        <v>204.110346917986</v>
      </c>
      <c r="I76" s="12" t="n">
        <f aca="false">SUMIFS(Data!$H$4:$H$2311,Data!$B$4:$B$2311,"Inedible Tallow",Data!$C$4:$C$2311,"Brazil",Data!$E$4:$E$2311,2025,Data!$F$4:$F$2311,8)</f>
        <v>4.03807277446271</v>
      </c>
      <c r="J76" s="12" t="n">
        <f aca="false">SUMIFS(Data!$H$4:$H$2311,Data!$B$4:$B$2311,"Inedible Tallow",Data!$C$4:$C$2311,"Brazil",Data!$E$4:$E$2311,2025,Data!$F$4:$F$2311,9)</f>
        <v>110.920485721636</v>
      </c>
      <c r="K76" s="12" t="n">
        <f aca="false">SUMIFS(Data!$H$4:$H$2311,Data!$B$4:$B$2311,"Inedible Tallow",Data!$C$4:$C$2311,"Brazil",Data!$E$4:$E$2311,2025,Data!$F$4:$F$2311,10)</f>
        <v>85.3358446043118</v>
      </c>
      <c r="L76" s="12" t="n">
        <f aca="false">SUMIFS(Data!$H$4:$H$2311,Data!$B$4:$B$2311,"Inedible Tallow",Data!$C$4:$C$2311,"Brazil",Data!$E$4:$E$2311,2025,Data!$F$4:$F$2311,11)</f>
        <v>19.9388495004998</v>
      </c>
      <c r="M76" s="12" t="n">
        <f aca="false">SUMIFS(Data!$H$4:$H$2311,Data!$B$4:$B$2311,"Inedible Tallow",Data!$C$4:$C$2311,"Brazil",Data!$E$4:$E$2311,2025,Data!$F$4:$F$2311,12)</f>
        <v>0</v>
      </c>
      <c r="N76" s="13" t="n">
        <f aca="false">SUM(B76:M76)</f>
        <v>816.179220563621</v>
      </c>
    </row>
    <row r="77" customFormat="false" ht="15" hidden="false" customHeight="false" outlineLevel="0" collapsed="false">
      <c r="A77" s="11" t="s">
        <v>109</v>
      </c>
      <c r="B77" s="12" t="n">
        <f aca="false">SUMIFS(Data!$H$4:$H$2311,Data!$B$4:$B$2311,"Inedible Tallow",Data!$C$4:$C$2311,"Australia",Data!$E$4:$E$2311,2025,Data!$F$4:$F$2311,1)</f>
        <v>16.3454755643357</v>
      </c>
      <c r="C77" s="12" t="n">
        <f aca="false">SUMIFS(Data!$H$4:$H$2311,Data!$B$4:$B$2311,"Inedible Tallow",Data!$C$4:$C$2311,"Australia",Data!$E$4:$E$2311,2025,Data!$F$4:$F$2311,2)</f>
        <v>46.4789013095871</v>
      </c>
      <c r="D77" s="12" t="n">
        <f aca="false">SUMIFS(Data!$H$4:$H$2311,Data!$B$4:$B$2311,"Inedible Tallow",Data!$C$4:$C$2311,"Australia",Data!$E$4:$E$2311,2025,Data!$F$4:$F$2311,3)</f>
        <v>34.7867668056426</v>
      </c>
      <c r="E77" s="12" t="n">
        <f aca="false">SUMIFS(Data!$H$4:$H$2311,Data!$B$4:$B$2311,"Inedible Tallow",Data!$C$4:$C$2311,"Australia",Data!$E$4:$E$2311,2025,Data!$F$4:$F$2311,4)</f>
        <v>27.032509387243</v>
      </c>
      <c r="F77" s="12" t="n">
        <f aca="false">SUMIFS(Data!$H$4:$H$2311,Data!$B$4:$B$2311,"Inedible Tallow",Data!$C$4:$C$2311,"Australia",Data!$E$4:$E$2311,2025,Data!$F$4:$F$2311,5)</f>
        <v>12.8970467470677</v>
      </c>
      <c r="G77" s="12" t="n">
        <f aca="false">SUMIFS(Data!$H$4:$H$2311,Data!$B$4:$B$2311,"Inedible Tallow",Data!$C$4:$C$2311,"Australia",Data!$E$4:$E$2311,2025,Data!$F$4:$F$2311,6)</f>
        <v>0</v>
      </c>
      <c r="H77" s="12" t="n">
        <f aca="false">SUMIFS(Data!$H$4:$H$2311,Data!$B$4:$B$2311,"Inedible Tallow",Data!$C$4:$C$2311,"Australia",Data!$E$4:$E$2311,2025,Data!$F$4:$F$2311,7)</f>
        <v>24.1815994391751</v>
      </c>
      <c r="I77" s="12" t="n">
        <f aca="false">SUMIFS(Data!$H$4:$H$2311,Data!$B$4:$B$2311,"Inedible Tallow",Data!$C$4:$C$2311,"Australia",Data!$E$4:$E$2311,2025,Data!$F$4:$F$2311,8)</f>
        <v>0</v>
      </c>
      <c r="J77" s="12" t="n">
        <f aca="false">SUMIFS(Data!$H$4:$H$2311,Data!$B$4:$B$2311,"Inedible Tallow",Data!$C$4:$C$2311,"Australia",Data!$E$4:$E$2311,2025,Data!$F$4:$F$2311,9)</f>
        <v>21.2474804194906</v>
      </c>
      <c r="K77" s="12" t="n">
        <f aca="false">SUMIFS(Data!$H$4:$H$2311,Data!$B$4:$B$2311,"Inedible Tallow",Data!$C$4:$C$2311,"Australia",Data!$E$4:$E$2311,2025,Data!$F$4:$F$2311,10)</f>
        <v>33.3423201100327</v>
      </c>
      <c r="L77" s="12" t="n">
        <f aca="false">SUMIFS(Data!$H$4:$H$2311,Data!$B$4:$B$2311,"Inedible Tallow",Data!$C$4:$C$2311,"Australia",Data!$E$4:$E$2311,2025,Data!$F$4:$F$2311,11)</f>
        <v>8.68301642728732</v>
      </c>
      <c r="M77" s="12" t="n">
        <f aca="false">SUMIFS(Data!$H$4:$H$2311,Data!$B$4:$B$2311,"Inedible Tallow",Data!$C$4:$C$2311,"Australia",Data!$E$4:$E$2311,2025,Data!$F$4:$F$2311,12)</f>
        <v>137.444240960302</v>
      </c>
      <c r="N77" s="13" t="n">
        <f aca="false">SUM(B77:M77)</f>
        <v>362.439357170164</v>
      </c>
    </row>
    <row r="78" customFormat="false" ht="15" hidden="false" customHeight="false" outlineLevel="0" collapsed="false">
      <c r="A78" s="11" t="s">
        <v>43</v>
      </c>
      <c r="B78" s="12" t="n">
        <f aca="false">SUMIFS(Data!$H$4:$H$2311,Data!$B$4:$B$2311,"Inedible Tallow",Data!$C$4:$C$2311,"Canada",Data!$E$4:$E$2311,2025,Data!$F$4:$F$2311,1)</f>
        <v>24.7708686105241</v>
      </c>
      <c r="C78" s="12" t="n">
        <f aca="false">SUMIFS(Data!$H$4:$H$2311,Data!$B$4:$B$2311,"Inedible Tallow",Data!$C$4:$C$2311,"Canada",Data!$E$4:$E$2311,2025,Data!$F$4:$F$2311,2)</f>
        <v>49.4233093030477</v>
      </c>
      <c r="D78" s="12" t="n">
        <f aca="false">SUMIFS(Data!$H$4:$H$2311,Data!$B$4:$B$2311,"Inedible Tallow",Data!$C$4:$C$2311,"Canada",Data!$E$4:$E$2311,2025,Data!$F$4:$F$2311,3)</f>
        <v>23.5959899413783</v>
      </c>
      <c r="E78" s="12" t="n">
        <f aca="false">SUMIFS(Data!$H$4:$H$2311,Data!$B$4:$B$2311,"Inedible Tallow",Data!$C$4:$C$2311,"Canada",Data!$E$4:$E$2311,2025,Data!$F$4:$F$2311,4)</f>
        <v>9.17932768578606</v>
      </c>
      <c r="F78" s="12" t="n">
        <f aca="false">SUMIFS(Data!$H$4:$H$2311,Data!$B$4:$B$2311,"Inedible Tallow",Data!$C$4:$C$2311,"Canada",Data!$E$4:$E$2311,2025,Data!$F$4:$F$2311,5)</f>
        <v>49.535220356578</v>
      </c>
      <c r="G78" s="12" t="n">
        <f aca="false">SUMIFS(Data!$H$4:$H$2311,Data!$B$4:$B$2311,"Inedible Tallow",Data!$C$4:$C$2311,"Canada",Data!$E$4:$E$2311,2025,Data!$F$4:$F$2311,6)</f>
        <v>7.71153183198814</v>
      </c>
      <c r="H78" s="12" t="n">
        <f aca="false">SUMIFS(Data!$H$4:$H$2311,Data!$B$4:$B$2311,"Inedible Tallow",Data!$C$4:$C$2311,"Canada",Data!$E$4:$E$2311,2025,Data!$F$4:$F$2311,7)</f>
        <v>29.6031743214893</v>
      </c>
      <c r="I78" s="12" t="n">
        <f aca="false">SUMIFS(Data!$H$4:$H$2311,Data!$B$4:$B$2311,"Inedible Tallow",Data!$C$4:$C$2311,"Canada",Data!$E$4:$E$2311,2025,Data!$F$4:$F$2311,8)</f>
        <v>7.99926153961103</v>
      </c>
      <c r="J78" s="12" t="n">
        <f aca="false">SUMIFS(Data!$H$4:$H$2311,Data!$B$4:$B$2311,"Inedible Tallow",Data!$C$4:$C$2311,"Canada",Data!$E$4:$E$2311,2025,Data!$F$4:$F$2311,9)</f>
        <v>25.3886237107701</v>
      </c>
      <c r="K78" s="12" t="n">
        <f aca="false">SUMIFS(Data!$H$4:$H$2311,Data!$B$4:$B$2311,"Inedible Tallow",Data!$C$4:$C$2311,"Canada",Data!$E$4:$E$2311,2025,Data!$F$4:$F$2311,10)</f>
        <v>26.5714235889962</v>
      </c>
      <c r="L78" s="12" t="n">
        <f aca="false">SUMIFS(Data!$H$4:$H$2311,Data!$B$4:$B$2311,"Inedible Tallow",Data!$C$4:$C$2311,"Canada",Data!$E$4:$E$2311,2025,Data!$F$4:$F$2311,11)</f>
        <v>36.4936936659874</v>
      </c>
      <c r="M78" s="12" t="n">
        <f aca="false">SUMIFS(Data!$H$4:$H$2311,Data!$B$4:$B$2311,"Inedible Tallow",Data!$C$4:$C$2311,"Canada",Data!$E$4:$E$2311,2025,Data!$F$4:$F$2311,12)</f>
        <v>69.7586690005777</v>
      </c>
      <c r="N78" s="13" t="n">
        <f aca="false">SUM(B78:M78)</f>
        <v>360.031093556734</v>
      </c>
    </row>
    <row r="79" customFormat="false" ht="15" hidden="false" customHeight="false" outlineLevel="0" collapsed="false">
      <c r="A79" s="11" t="s">
        <v>68</v>
      </c>
      <c r="B79" s="12" t="n">
        <f aca="false">SUMIFS(Data!$H$4:$H$2311,Data!$B$4:$B$2311,"Inedible Tallow",Data!$C$4:$C$2311,"Argentina",Data!$E$4:$E$2311,2025,Data!$F$4:$F$2311,1)</f>
        <v>50.6621043912462</v>
      </c>
      <c r="C79" s="12" t="n">
        <f aca="false">SUMIFS(Data!$H$4:$H$2311,Data!$B$4:$B$2311,"Inedible Tallow",Data!$C$4:$C$2311,"Argentina",Data!$E$4:$E$2311,2025,Data!$F$4:$F$2311,2)</f>
        <v>9.02771137883619</v>
      </c>
      <c r="D79" s="12" t="n">
        <f aca="false">SUMIFS(Data!$H$4:$H$2311,Data!$B$4:$B$2311,"Inedible Tallow",Data!$C$4:$C$2311,"Argentina",Data!$E$4:$E$2311,2025,Data!$F$4:$F$2311,3)</f>
        <v>33.9614751456436</v>
      </c>
      <c r="E79" s="12" t="n">
        <f aca="false">SUMIFS(Data!$H$4:$H$2311,Data!$B$4:$B$2311,"Inedible Tallow",Data!$C$4:$C$2311,"Argentina",Data!$E$4:$E$2311,2025,Data!$F$4:$F$2311,4)</f>
        <v>16.3678701209285</v>
      </c>
      <c r="F79" s="12" t="n">
        <f aca="false">SUMIFS(Data!$H$4:$H$2311,Data!$B$4:$B$2311,"Inedible Tallow",Data!$C$4:$C$2311,"Argentina",Data!$E$4:$E$2311,2025,Data!$F$4:$F$2311,5)</f>
        <v>8.02259526544069</v>
      </c>
      <c r="G79" s="12" t="n">
        <f aca="false">SUMIFS(Data!$H$4:$H$2311,Data!$B$4:$B$2311,"Inedible Tallow",Data!$C$4:$C$2311,"Argentina",Data!$E$4:$E$2311,2025,Data!$F$4:$F$2311,6)</f>
        <v>11.3981458726981</v>
      </c>
      <c r="H79" s="12" t="n">
        <f aca="false">SUMIFS(Data!$H$4:$H$2311,Data!$B$4:$B$2311,"Inedible Tallow",Data!$C$4:$C$2311,"Argentina",Data!$E$4:$E$2311,2025,Data!$F$4:$F$2311,7)</f>
        <v>17.4662682266997</v>
      </c>
      <c r="I79" s="12" t="n">
        <f aca="false">SUMIFS(Data!$H$4:$H$2311,Data!$B$4:$B$2311,"Inedible Tallow",Data!$C$4:$C$2311,"Argentina",Data!$E$4:$E$2311,2025,Data!$F$4:$F$2311,8)</f>
        <v>0</v>
      </c>
      <c r="J79" s="12" t="n">
        <f aca="false">SUMIFS(Data!$H$4:$H$2311,Data!$B$4:$B$2311,"Inedible Tallow",Data!$C$4:$C$2311,"Argentina",Data!$E$4:$E$2311,2025,Data!$F$4:$F$2311,9)</f>
        <v>0</v>
      </c>
      <c r="K79" s="12" t="n">
        <f aca="false">SUMIFS(Data!$H$4:$H$2311,Data!$B$4:$B$2311,"Inedible Tallow",Data!$C$4:$C$2311,"Argentina",Data!$E$4:$E$2311,2025,Data!$F$4:$F$2311,10)</f>
        <v>54.6819030487964</v>
      </c>
      <c r="L79" s="12" t="n">
        <f aca="false">SUMIFS(Data!$H$4:$H$2311,Data!$B$4:$B$2311,"Inedible Tallow",Data!$C$4:$C$2311,"Argentina",Data!$E$4:$E$2311,2025,Data!$F$4:$F$2311,11)</f>
        <v>32.1544099165691</v>
      </c>
      <c r="M79" s="12" t="n">
        <f aca="false">SUMIFS(Data!$H$4:$H$2311,Data!$B$4:$B$2311,"Inedible Tallow",Data!$C$4:$C$2311,"Argentina",Data!$E$4:$E$2311,2025,Data!$F$4:$F$2311,12)</f>
        <v>0</v>
      </c>
      <c r="N79" s="13" t="n">
        <f aca="false">SUM(B79:M79)</f>
        <v>233.742483366858</v>
      </c>
    </row>
    <row r="80" customFormat="false" ht="15" hidden="false" customHeight="false" outlineLevel="0" collapsed="false">
      <c r="A80" s="11" t="s">
        <v>74</v>
      </c>
      <c r="B80" s="12" t="n">
        <f aca="false">SUMIFS(Data!$H$4:$H$2311,Data!$B$4:$B$2311,"Inedible Tallow",Data!$C$4:$C$2311,"United Kingdom",Data!$E$4:$E$2311,2025,Data!$F$4:$F$2311,1)</f>
        <v>1.7295947901426</v>
      </c>
      <c r="C80" s="12" t="n">
        <f aca="false">SUMIFS(Data!$H$4:$H$2311,Data!$B$4:$B$2311,"Inedible Tallow",Data!$C$4:$C$2311,"United Kingdom",Data!$E$4:$E$2311,2025,Data!$F$4:$F$2311,2)</f>
        <v>3.6226843939216</v>
      </c>
      <c r="D80" s="12" t="n">
        <f aca="false">SUMIFS(Data!$H$4:$H$2311,Data!$B$4:$B$2311,"Inedible Tallow",Data!$C$4:$C$2311,"United Kingdom",Data!$E$4:$E$2311,2025,Data!$F$4:$F$2311,3)</f>
        <v>1.47526291061812</v>
      </c>
      <c r="E80" s="12" t="n">
        <f aca="false">SUMIFS(Data!$H$4:$H$2311,Data!$B$4:$B$2311,"Inedible Tallow",Data!$C$4:$C$2311,"United Kingdom",Data!$E$4:$E$2311,2025,Data!$F$4:$F$2311,4)</f>
        <v>0</v>
      </c>
      <c r="F80" s="12" t="n">
        <f aca="false">SUMIFS(Data!$H$4:$H$2311,Data!$B$4:$B$2311,"Inedible Tallow",Data!$C$4:$C$2311,"United Kingdom",Data!$E$4:$E$2311,2025,Data!$F$4:$F$2311,5)</f>
        <v>2.84838785978855</v>
      </c>
      <c r="G80" s="12" t="n">
        <f aca="false">SUMIFS(Data!$H$4:$H$2311,Data!$B$4:$B$2311,"Inedible Tallow",Data!$C$4:$C$2311,"United Kingdom",Data!$E$4:$E$2311,2025,Data!$F$4:$F$2311,6)</f>
        <v>34.5713553338843</v>
      </c>
      <c r="H80" s="12" t="n">
        <f aca="false">SUMIFS(Data!$H$4:$H$2311,Data!$B$4:$B$2311,"Inedible Tallow",Data!$C$4:$C$2311,"United Kingdom",Data!$E$4:$E$2311,2025,Data!$F$4:$F$2311,7)</f>
        <v>25.9555402133562</v>
      </c>
      <c r="I80" s="12" t="n">
        <f aca="false">SUMIFS(Data!$H$4:$H$2311,Data!$B$4:$B$2311,"Inedible Tallow",Data!$C$4:$C$2311,"United Kingdom",Data!$E$4:$E$2311,2025,Data!$F$4:$F$2311,8)</f>
        <v>11.0440129317051</v>
      </c>
      <c r="J80" s="12" t="n">
        <f aca="false">SUMIFS(Data!$H$4:$H$2311,Data!$B$4:$B$2311,"Inedible Tallow",Data!$C$4:$C$2311,"United Kingdom",Data!$E$4:$E$2311,2025,Data!$F$4:$F$2311,9)</f>
        <v>32.0991929383823</v>
      </c>
      <c r="K80" s="12" t="n">
        <f aca="false">SUMIFS(Data!$H$4:$H$2311,Data!$B$4:$B$2311,"Inedible Tallow",Data!$C$4:$C$2311,"United Kingdom",Data!$E$4:$E$2311,2025,Data!$F$4:$F$2311,10)</f>
        <v>0</v>
      </c>
      <c r="L80" s="12" t="n">
        <f aca="false">SUMIFS(Data!$H$4:$H$2311,Data!$B$4:$B$2311,"Inedible Tallow",Data!$C$4:$C$2311,"United Kingdom",Data!$E$4:$E$2311,2025,Data!$F$4:$F$2311,11)</f>
        <v>0</v>
      </c>
      <c r="M80" s="12" t="n">
        <f aca="false">SUMIFS(Data!$H$4:$H$2311,Data!$B$4:$B$2311,"Inedible Tallow",Data!$C$4:$C$2311,"United Kingdom",Data!$E$4:$E$2311,2025,Data!$F$4:$F$2311,12)</f>
        <v>0</v>
      </c>
      <c r="N80" s="13" t="n">
        <f aca="false">SUM(B80:M80)</f>
        <v>113.346031371799</v>
      </c>
    </row>
    <row r="81" customFormat="false" ht="15" hidden="false" customHeight="false" outlineLevel="0" collapsed="false">
      <c r="A81" s="11" t="s">
        <v>190</v>
      </c>
      <c r="B81" s="12" t="n">
        <f aca="false">SUMIFS(Data!$H$4:$H$2311,Data!$B$4:$B$2311,"Inedible Tallow",Data!$C$4:$C$2311,"Uruguay",Data!$E$4:$E$2311,2025,Data!$F$4:$F$2311,1)</f>
        <v>16.4918514833134</v>
      </c>
      <c r="C81" s="12" t="n">
        <f aca="false">SUMIFS(Data!$H$4:$H$2311,Data!$B$4:$B$2311,"Inedible Tallow",Data!$C$4:$C$2311,"Uruguay",Data!$E$4:$E$2311,2025,Data!$F$4:$F$2311,2)</f>
        <v>0</v>
      </c>
      <c r="D81" s="12" t="n">
        <f aca="false">SUMIFS(Data!$H$4:$H$2311,Data!$B$4:$B$2311,"Inedible Tallow",Data!$C$4:$C$2311,"Uruguay",Data!$E$4:$E$2311,2025,Data!$F$4:$F$2311,3)</f>
        <v>14.5025543529395</v>
      </c>
      <c r="E81" s="12" t="n">
        <f aca="false">SUMIFS(Data!$H$4:$H$2311,Data!$B$4:$B$2311,"Inedible Tallow",Data!$C$4:$C$2311,"Uruguay",Data!$E$4:$E$2311,2025,Data!$F$4:$F$2311,4)</f>
        <v>28.5189982362516</v>
      </c>
      <c r="F81" s="12" t="n">
        <f aca="false">SUMIFS(Data!$H$4:$H$2311,Data!$B$4:$B$2311,"Inedible Tallow",Data!$C$4:$C$2311,"Uruguay",Data!$E$4:$E$2311,2025,Data!$F$4:$F$2311,5)</f>
        <v>0</v>
      </c>
      <c r="G81" s="12" t="n">
        <f aca="false">SUMIFS(Data!$H$4:$H$2311,Data!$B$4:$B$2311,"Inedible Tallow",Data!$C$4:$C$2311,"Uruguay",Data!$E$4:$E$2311,2025,Data!$F$4:$F$2311,6)</f>
        <v>17.4990708066902</v>
      </c>
      <c r="H81" s="12" t="n">
        <f aca="false">SUMIFS(Data!$H$4:$H$2311,Data!$B$4:$B$2311,"Inedible Tallow",Data!$C$4:$C$2311,"Uruguay",Data!$E$4:$E$2311,2025,Data!$F$4:$F$2311,7)</f>
        <v>15.443050772666</v>
      </c>
      <c r="I81" s="12" t="n">
        <f aca="false">SUMIFS(Data!$H$4:$H$2311,Data!$B$4:$B$2311,"Inedible Tallow",Data!$C$4:$C$2311,"Uruguay",Data!$E$4:$E$2311,2025,Data!$F$4:$F$2311,8)</f>
        <v>0</v>
      </c>
      <c r="J81" s="12" t="n">
        <f aca="false">SUMIFS(Data!$H$4:$H$2311,Data!$B$4:$B$2311,"Inedible Tallow",Data!$C$4:$C$2311,"Uruguay",Data!$E$4:$E$2311,2025,Data!$F$4:$F$2311,9)</f>
        <v>2.2246405952564</v>
      </c>
      <c r="K81" s="12" t="n">
        <f aca="false">SUMIFS(Data!$H$4:$H$2311,Data!$B$4:$B$2311,"Inedible Tallow",Data!$C$4:$C$2311,"Uruguay",Data!$E$4:$E$2311,2025,Data!$F$4:$F$2311,10)</f>
        <v>11.0552565070766</v>
      </c>
      <c r="L81" s="12" t="n">
        <f aca="false">SUMIFS(Data!$H$4:$H$2311,Data!$B$4:$B$2311,"Inedible Tallow",Data!$C$4:$C$2311,"Uruguay",Data!$E$4:$E$2311,2025,Data!$F$4:$F$2311,11)</f>
        <v>4.61090207492062</v>
      </c>
      <c r="M81" s="12" t="n">
        <f aca="false">SUMIFS(Data!$H$4:$H$2311,Data!$B$4:$B$2311,"Inedible Tallow",Data!$C$4:$C$2311,"Uruguay",Data!$E$4:$E$2311,2025,Data!$F$4:$F$2311,12)</f>
        <v>0</v>
      </c>
      <c r="N81" s="13" t="n">
        <f aca="false">SUM(B81:M81)</f>
        <v>110.346324829114</v>
      </c>
    </row>
    <row r="82" customFormat="false" ht="15" hidden="false" customHeight="false" outlineLevel="0" collapsed="false">
      <c r="A82" s="11" t="s">
        <v>78</v>
      </c>
      <c r="B82" s="12" t="n">
        <f aca="false">SUMIFS(Data!$H$4:$H$2311,Data!$B$4:$B$2311,"Inedible Tallow",Data!$C$4:$C$2311,"New Zealand",Data!$E$4:$E$2311,2025,Data!$F$4:$F$2311,1)</f>
        <v>0</v>
      </c>
      <c r="C82" s="12" t="n">
        <f aca="false">SUMIFS(Data!$H$4:$H$2311,Data!$B$4:$B$2311,"Inedible Tallow",Data!$C$4:$C$2311,"New Zealand",Data!$E$4:$E$2311,2025,Data!$F$4:$F$2311,2)</f>
        <v>5.74533473744597</v>
      </c>
      <c r="D82" s="12" t="n">
        <f aca="false">SUMIFS(Data!$H$4:$H$2311,Data!$B$4:$B$2311,"Inedible Tallow",Data!$C$4:$C$2311,"New Zealand",Data!$E$4:$E$2311,2025,Data!$F$4:$F$2311,3)</f>
        <v>6.43633181043504</v>
      </c>
      <c r="E82" s="12" t="n">
        <f aca="false">SUMIFS(Data!$H$4:$H$2311,Data!$B$4:$B$2311,"Inedible Tallow",Data!$C$4:$C$2311,"New Zealand",Data!$E$4:$E$2311,2025,Data!$F$4:$F$2311,4)</f>
        <v>13.7441773987588</v>
      </c>
      <c r="F82" s="12" t="n">
        <f aca="false">SUMIFS(Data!$H$4:$H$2311,Data!$B$4:$B$2311,"Inedible Tallow",Data!$C$4:$C$2311,"New Zealand",Data!$E$4:$E$2311,2025,Data!$F$4:$F$2311,5)</f>
        <v>14.3877574483972</v>
      </c>
      <c r="G82" s="12" t="n">
        <f aca="false">SUMIFS(Data!$H$4:$H$2311,Data!$B$4:$B$2311,"Inedible Tallow",Data!$C$4:$C$2311,"New Zealand",Data!$E$4:$E$2311,2025,Data!$F$4:$F$2311,6)</f>
        <v>0</v>
      </c>
      <c r="H82" s="12" t="n">
        <f aca="false">SUMIFS(Data!$H$4:$H$2311,Data!$B$4:$B$2311,"Inedible Tallow",Data!$C$4:$C$2311,"New Zealand",Data!$E$4:$E$2311,2025,Data!$F$4:$F$2311,7)</f>
        <v>0</v>
      </c>
      <c r="I82" s="12" t="n">
        <f aca="false">SUMIFS(Data!$H$4:$H$2311,Data!$B$4:$B$2311,"Inedible Tallow",Data!$C$4:$C$2311,"New Zealand",Data!$E$4:$E$2311,2025,Data!$F$4:$F$2311,8)</f>
        <v>0</v>
      </c>
      <c r="J82" s="12" t="n">
        <f aca="false">SUMIFS(Data!$H$4:$H$2311,Data!$B$4:$B$2311,"Inedible Tallow",Data!$C$4:$C$2311,"New Zealand",Data!$E$4:$E$2311,2025,Data!$F$4:$F$2311,9)</f>
        <v>7.52282495404827</v>
      </c>
      <c r="K82" s="12" t="n">
        <f aca="false">SUMIFS(Data!$H$4:$H$2311,Data!$B$4:$B$2311,"Inedible Tallow",Data!$C$4:$C$2311,"New Zealand",Data!$E$4:$E$2311,2025,Data!$F$4:$F$2311,10)</f>
        <v>1.97755751491256</v>
      </c>
      <c r="L82" s="12" t="n">
        <f aca="false">SUMIFS(Data!$H$4:$H$2311,Data!$B$4:$B$2311,"Inedible Tallow",Data!$C$4:$C$2311,"New Zealand",Data!$E$4:$E$2311,2025,Data!$F$4:$F$2311,11)</f>
        <v>10.9844396192175</v>
      </c>
      <c r="M82" s="12" t="n">
        <f aca="false">SUMIFS(Data!$H$4:$H$2311,Data!$B$4:$B$2311,"Inedible Tallow",Data!$C$4:$C$2311,"New Zealand",Data!$E$4:$E$2311,2025,Data!$F$4:$F$2311,12)</f>
        <v>3.7456384021648</v>
      </c>
      <c r="N82" s="13" t="n">
        <f aca="false">SUM(B82:M82)</f>
        <v>64.5440618853802</v>
      </c>
    </row>
    <row r="83" customFormat="false" ht="15" hidden="false" customHeight="false" outlineLevel="0" collapsed="false">
      <c r="A83" s="11" t="s">
        <v>130</v>
      </c>
      <c r="B83" s="12" t="n">
        <f aca="false">SUMIFS(Data!$H$4:$H$2311,Data!$B$4:$B$2311,"Inedible Tallow",Data!$C$4:$C$2311,"Ireland",Data!$E$4:$E$2311,2025,Data!$F$4:$F$2311,1)</f>
        <v>6.13220191512821</v>
      </c>
      <c r="C83" s="12" t="n">
        <f aca="false">SUMIFS(Data!$H$4:$H$2311,Data!$B$4:$B$2311,"Inedible Tallow",Data!$C$4:$C$2311,"Ireland",Data!$E$4:$E$2311,2025,Data!$F$4:$F$2311,2)</f>
        <v>2.20160449348069</v>
      </c>
      <c r="D83" s="12" t="n">
        <f aca="false">SUMIFS(Data!$H$4:$H$2311,Data!$B$4:$B$2311,"Inedible Tallow",Data!$C$4:$C$2311,"Ireland",Data!$E$4:$E$2311,2025,Data!$F$4:$F$2311,3)</f>
        <v>4.63146459011462</v>
      </c>
      <c r="E83" s="12" t="n">
        <f aca="false">SUMIFS(Data!$H$4:$H$2311,Data!$B$4:$B$2311,"Inedible Tallow",Data!$C$4:$C$2311,"Ireland",Data!$E$4:$E$2311,2025,Data!$F$4:$F$2311,4)</f>
        <v>0</v>
      </c>
      <c r="F83" s="12" t="n">
        <f aca="false">SUMIFS(Data!$H$4:$H$2311,Data!$B$4:$B$2311,"Inedible Tallow",Data!$C$4:$C$2311,"Ireland",Data!$E$4:$E$2311,2025,Data!$F$4:$F$2311,5)</f>
        <v>5.20245303068328</v>
      </c>
      <c r="G83" s="12" t="n">
        <f aca="false">SUMIFS(Data!$H$4:$H$2311,Data!$B$4:$B$2311,"Inedible Tallow",Data!$C$4:$C$2311,"Ireland",Data!$E$4:$E$2311,2025,Data!$F$4:$F$2311,6)</f>
        <v>12.3808542017652</v>
      </c>
      <c r="H83" s="12" t="n">
        <f aca="false">SUMIFS(Data!$H$4:$H$2311,Data!$B$4:$B$2311,"Inedible Tallow",Data!$C$4:$C$2311,"Ireland",Data!$E$4:$E$2311,2025,Data!$F$4:$F$2311,7)</f>
        <v>8.01922880669712</v>
      </c>
      <c r="I83" s="12" t="n">
        <f aca="false">SUMIFS(Data!$H$4:$H$2311,Data!$B$4:$B$2311,"Inedible Tallow",Data!$C$4:$C$2311,"Ireland",Data!$E$4:$E$2311,2025,Data!$F$4:$F$2311,8)</f>
        <v>0</v>
      </c>
      <c r="J83" s="12" t="n">
        <f aca="false">SUMIFS(Data!$H$4:$H$2311,Data!$B$4:$B$2311,"Inedible Tallow",Data!$C$4:$C$2311,"Ireland",Data!$E$4:$E$2311,2025,Data!$F$4:$F$2311,9)</f>
        <v>16.3723697556996</v>
      </c>
      <c r="K83" s="12" t="n">
        <f aca="false">SUMIFS(Data!$H$4:$H$2311,Data!$B$4:$B$2311,"Inedible Tallow",Data!$C$4:$C$2311,"Ireland",Data!$E$4:$E$2311,2025,Data!$F$4:$F$2311,10)</f>
        <v>0</v>
      </c>
      <c r="L83" s="12" t="n">
        <f aca="false">SUMIFS(Data!$H$4:$H$2311,Data!$B$4:$B$2311,"Inedible Tallow",Data!$C$4:$C$2311,"Ireland",Data!$E$4:$E$2311,2025,Data!$F$4:$F$2311,11)</f>
        <v>0</v>
      </c>
      <c r="M83" s="12" t="n">
        <f aca="false">SUMIFS(Data!$H$4:$H$2311,Data!$B$4:$B$2311,"Inedible Tallow",Data!$C$4:$C$2311,"Ireland",Data!$E$4:$E$2311,2025,Data!$F$4:$F$2311,12)</f>
        <v>0</v>
      </c>
      <c r="N83" s="13" t="n">
        <f aca="false">SUM(B83:M83)</f>
        <v>54.9401767935687</v>
      </c>
    </row>
    <row r="84" customFormat="false" ht="15" hidden="false" customHeight="false" outlineLevel="0" collapsed="false">
      <c r="A84" s="11" t="s">
        <v>75</v>
      </c>
      <c r="B84" s="12" t="n">
        <f aca="false">SUMIFS(Data!$H$4:$H$2311,Data!$B$4:$B$2311,"Inedible Tallow",Data!$C$4:$C$2311,"Vietnam",Data!$E$4:$E$2311,2025,Data!$F$4:$F$2311,1)</f>
        <v>0</v>
      </c>
      <c r="C84" s="12" t="n">
        <f aca="false">SUMIFS(Data!$H$4:$H$2311,Data!$B$4:$B$2311,"Inedible Tallow",Data!$C$4:$C$2311,"Vietnam",Data!$E$4:$E$2311,2025,Data!$F$4:$F$2311,2)</f>
        <v>0</v>
      </c>
      <c r="D84" s="12" t="n">
        <f aca="false">SUMIFS(Data!$H$4:$H$2311,Data!$B$4:$B$2311,"Inedible Tallow",Data!$C$4:$C$2311,"Vietnam",Data!$E$4:$E$2311,2025,Data!$F$4:$F$2311,3)</f>
        <v>5.50275570111857</v>
      </c>
      <c r="E84" s="12" t="n">
        <f aca="false">SUMIFS(Data!$H$4:$H$2311,Data!$B$4:$B$2311,"Inedible Tallow",Data!$C$4:$C$2311,"Vietnam",Data!$E$4:$E$2311,2025,Data!$F$4:$F$2311,4)</f>
        <v>5.75391071944497</v>
      </c>
      <c r="F84" s="12" t="n">
        <f aca="false">SUMIFS(Data!$H$4:$H$2311,Data!$B$4:$B$2311,"Inedible Tallow",Data!$C$4:$C$2311,"Vietnam",Data!$E$4:$E$2311,2025,Data!$F$4:$F$2311,5)</f>
        <v>14.4456596569374</v>
      </c>
      <c r="G84" s="12" t="n">
        <f aca="false">SUMIFS(Data!$H$4:$H$2311,Data!$B$4:$B$2311,"Inedible Tallow",Data!$C$4:$C$2311,"Vietnam",Data!$E$4:$E$2311,2025,Data!$F$4:$F$2311,6)</f>
        <v>0</v>
      </c>
      <c r="H84" s="12" t="n">
        <f aca="false">SUMIFS(Data!$H$4:$H$2311,Data!$B$4:$B$2311,"Inedible Tallow",Data!$C$4:$C$2311,"Vietnam",Data!$E$4:$E$2311,2025,Data!$F$4:$F$2311,7)</f>
        <v>4.73468061202439</v>
      </c>
      <c r="I84" s="12" t="n">
        <f aca="false">SUMIFS(Data!$H$4:$H$2311,Data!$B$4:$B$2311,"Inedible Tallow",Data!$C$4:$C$2311,"Vietnam",Data!$E$4:$E$2311,2025,Data!$F$4:$F$2311,8)</f>
        <v>8.54517239785615</v>
      </c>
      <c r="J84" s="12" t="n">
        <f aca="false">SUMIFS(Data!$H$4:$H$2311,Data!$B$4:$B$2311,"Inedible Tallow",Data!$C$4:$C$2311,"Vietnam",Data!$E$4:$E$2311,2025,Data!$F$4:$F$2311,9)</f>
        <v>0</v>
      </c>
      <c r="K84" s="12" t="n">
        <f aca="false">SUMIFS(Data!$H$4:$H$2311,Data!$B$4:$B$2311,"Inedible Tallow",Data!$C$4:$C$2311,"Vietnam",Data!$E$4:$E$2311,2025,Data!$F$4:$F$2311,10)</f>
        <v>0</v>
      </c>
      <c r="L84" s="12" t="n">
        <f aca="false">SUMIFS(Data!$H$4:$H$2311,Data!$B$4:$B$2311,"Inedible Tallow",Data!$C$4:$C$2311,"Vietnam",Data!$E$4:$E$2311,2025,Data!$F$4:$F$2311,11)</f>
        <v>5.23835971932535</v>
      </c>
      <c r="M84" s="12" t="n">
        <f aca="false">SUMIFS(Data!$H$4:$H$2311,Data!$B$4:$B$2311,"Inedible Tallow",Data!$C$4:$C$2311,"Vietnam",Data!$E$4:$E$2311,2025,Data!$F$4:$F$2311,12)</f>
        <v>3.77526632557984</v>
      </c>
      <c r="N84" s="13" t="n">
        <f aca="false">SUM(B84:M84)</f>
        <v>47.9958051322867</v>
      </c>
    </row>
    <row r="85" customFormat="false" ht="15" hidden="false" customHeight="false" outlineLevel="0" collapsed="false">
      <c r="A85" s="11" t="s">
        <v>51</v>
      </c>
      <c r="B85" s="12" t="n">
        <f aca="false">SUMIFS(Data!$H$4:$H$2311,Data!$B$4:$B$2311,"Inedible Tallow",Data!$C$4:$C$2311,"India",Data!$E$4:$E$2311,2025,Data!$F$4:$F$2311,1)</f>
        <v>7.66546844692721</v>
      </c>
      <c r="C85" s="12" t="n">
        <f aca="false">SUMIFS(Data!$H$4:$H$2311,Data!$B$4:$B$2311,"Inedible Tallow",Data!$C$4:$C$2311,"India",Data!$E$4:$E$2311,2025,Data!$F$4:$F$2311,2)</f>
        <v>0</v>
      </c>
      <c r="D85" s="12" t="n">
        <f aca="false">SUMIFS(Data!$H$4:$H$2311,Data!$B$4:$B$2311,"Inedible Tallow",Data!$C$4:$C$2311,"India",Data!$E$4:$E$2311,2025,Data!$F$4:$F$2311,3)</f>
        <v>0</v>
      </c>
      <c r="E85" s="12" t="n">
        <f aca="false">SUMIFS(Data!$H$4:$H$2311,Data!$B$4:$B$2311,"Inedible Tallow",Data!$C$4:$C$2311,"India",Data!$E$4:$E$2311,2025,Data!$F$4:$F$2311,4)</f>
        <v>0</v>
      </c>
      <c r="F85" s="12" t="n">
        <f aca="false">SUMIFS(Data!$H$4:$H$2311,Data!$B$4:$B$2311,"Inedible Tallow",Data!$C$4:$C$2311,"India",Data!$E$4:$E$2311,2025,Data!$F$4:$F$2311,5)</f>
        <v>2.84118535768297</v>
      </c>
      <c r="G85" s="12" t="n">
        <f aca="false">SUMIFS(Data!$H$4:$H$2311,Data!$B$4:$B$2311,"Inedible Tallow",Data!$C$4:$C$2311,"India",Data!$E$4:$E$2311,2025,Data!$F$4:$F$2311,6)</f>
        <v>0</v>
      </c>
      <c r="H85" s="12" t="n">
        <f aca="false">SUMIFS(Data!$H$4:$H$2311,Data!$B$4:$B$2311,"Inedible Tallow",Data!$C$4:$C$2311,"India",Data!$E$4:$E$2311,2025,Data!$F$4:$F$2311,7)</f>
        <v>17.876105367479</v>
      </c>
      <c r="I85" s="12" t="n">
        <f aca="false">SUMIFS(Data!$H$4:$H$2311,Data!$B$4:$B$2311,"Inedible Tallow",Data!$C$4:$C$2311,"India",Data!$E$4:$E$2311,2025,Data!$F$4:$F$2311,8)</f>
        <v>3.48345145223866</v>
      </c>
      <c r="J85" s="12" t="n">
        <f aca="false">SUMIFS(Data!$H$4:$H$2311,Data!$B$4:$B$2311,"Inedible Tallow",Data!$C$4:$C$2311,"India",Data!$E$4:$E$2311,2025,Data!$F$4:$F$2311,9)</f>
        <v>0</v>
      </c>
      <c r="K85" s="12" t="n">
        <f aca="false">SUMIFS(Data!$H$4:$H$2311,Data!$B$4:$B$2311,"Inedible Tallow",Data!$C$4:$C$2311,"India",Data!$E$4:$E$2311,2025,Data!$F$4:$F$2311,10)</f>
        <v>0</v>
      </c>
      <c r="L85" s="12" t="n">
        <f aca="false">SUMIFS(Data!$H$4:$H$2311,Data!$B$4:$B$2311,"Inedible Tallow",Data!$C$4:$C$2311,"India",Data!$E$4:$E$2311,2025,Data!$F$4:$F$2311,11)</f>
        <v>0</v>
      </c>
      <c r="M85" s="12" t="n">
        <f aca="false">SUMIFS(Data!$H$4:$H$2311,Data!$B$4:$B$2311,"Inedible Tallow",Data!$C$4:$C$2311,"India",Data!$E$4:$E$2311,2025,Data!$F$4:$F$2311,12)</f>
        <v>0</v>
      </c>
      <c r="N85" s="13" t="n">
        <f aca="false">SUM(B85:M85)</f>
        <v>31.8662106243278</v>
      </c>
    </row>
    <row r="86" customFormat="false" ht="15" hidden="false" customHeight="false" outlineLevel="0" collapsed="false">
      <c r="A86" s="11" t="s">
        <v>93</v>
      </c>
      <c r="B86" s="12" t="n">
        <f aca="false">SUMIFS(Data!$H$4:$H$2311,Data!$B$4:$B$2311,"Inedible Tallow",Data!$C$4:$C$2311,"Paraguay",Data!$E$4:$E$2311,2025,Data!$F$4:$F$2311,1)</f>
        <v>0</v>
      </c>
      <c r="C86" s="12" t="n">
        <f aca="false">SUMIFS(Data!$H$4:$H$2311,Data!$B$4:$B$2311,"Inedible Tallow",Data!$C$4:$C$2311,"Paraguay",Data!$E$4:$E$2311,2025,Data!$F$4:$F$2311,2)</f>
        <v>0</v>
      </c>
      <c r="D86" s="12" t="n">
        <f aca="false">SUMIFS(Data!$H$4:$H$2311,Data!$B$4:$B$2311,"Inedible Tallow",Data!$C$4:$C$2311,"Paraguay",Data!$E$4:$E$2311,2025,Data!$F$4:$F$2311,3)</f>
        <v>3.63167043572826</v>
      </c>
      <c r="E86" s="12" t="n">
        <f aca="false">SUMIFS(Data!$H$4:$H$2311,Data!$B$4:$B$2311,"Inedible Tallow",Data!$C$4:$C$2311,"Paraguay",Data!$E$4:$E$2311,2025,Data!$F$4:$F$2311,4)</f>
        <v>0</v>
      </c>
      <c r="F86" s="12" t="n">
        <f aca="false">SUMIFS(Data!$H$4:$H$2311,Data!$B$4:$B$2311,"Inedible Tallow",Data!$C$4:$C$2311,"Paraguay",Data!$E$4:$E$2311,2025,Data!$F$4:$F$2311,5)</f>
        <v>3.57179068069619</v>
      </c>
      <c r="G86" s="12" t="n">
        <f aca="false">SUMIFS(Data!$H$4:$H$2311,Data!$B$4:$B$2311,"Inedible Tallow",Data!$C$4:$C$2311,"Paraguay",Data!$E$4:$E$2311,2025,Data!$F$4:$F$2311,6)</f>
        <v>0</v>
      </c>
      <c r="H86" s="12" t="n">
        <f aca="false">SUMIFS(Data!$H$4:$H$2311,Data!$B$4:$B$2311,"Inedible Tallow",Data!$C$4:$C$2311,"Paraguay",Data!$E$4:$E$2311,2025,Data!$F$4:$F$2311,7)</f>
        <v>3.91522679272799</v>
      </c>
      <c r="I86" s="12" t="n">
        <f aca="false">SUMIFS(Data!$H$4:$H$2311,Data!$B$4:$B$2311,"Inedible Tallow",Data!$C$4:$C$2311,"Paraguay",Data!$E$4:$E$2311,2025,Data!$F$4:$F$2311,8)</f>
        <v>0</v>
      </c>
      <c r="J86" s="12" t="n">
        <f aca="false">SUMIFS(Data!$H$4:$H$2311,Data!$B$4:$B$2311,"Inedible Tallow",Data!$C$4:$C$2311,"Paraguay",Data!$E$4:$E$2311,2025,Data!$F$4:$F$2311,9)</f>
        <v>0</v>
      </c>
      <c r="K86" s="12" t="n">
        <f aca="false">SUMIFS(Data!$H$4:$H$2311,Data!$B$4:$B$2311,"Inedible Tallow",Data!$C$4:$C$2311,"Paraguay",Data!$E$4:$E$2311,2025,Data!$F$4:$F$2311,10)</f>
        <v>4.4777252315799</v>
      </c>
      <c r="L86" s="12" t="n">
        <f aca="false">SUMIFS(Data!$H$4:$H$2311,Data!$B$4:$B$2311,"Inedible Tallow",Data!$C$4:$C$2311,"Paraguay",Data!$E$4:$E$2311,2025,Data!$F$4:$F$2311,11)</f>
        <v>4.44279519075931</v>
      </c>
      <c r="M86" s="12" t="n">
        <f aca="false">SUMIFS(Data!$H$4:$H$2311,Data!$B$4:$B$2311,"Inedible Tallow",Data!$C$4:$C$2311,"Paraguay",Data!$E$4:$E$2311,2025,Data!$F$4:$F$2311,12)</f>
        <v>0</v>
      </c>
      <c r="N86" s="13" t="n">
        <f aca="false">SUM(B86:M86)</f>
        <v>20.0392083314917</v>
      </c>
    </row>
    <row r="87" customFormat="false" ht="15" hidden="false" customHeight="false" outlineLevel="0" collapsed="false">
      <c r="A87" s="11" t="s">
        <v>47</v>
      </c>
      <c r="B87" s="12" t="n">
        <f aca="false">SUMIFS(Data!$H$4:$H$2311,Data!$B$4:$B$2311,"Inedible Tallow",Data!$C$4:$C$2311,"Mexico",Data!$E$4:$E$2311,2025,Data!$F$4:$F$2311,1)</f>
        <v>1.25456254918996</v>
      </c>
      <c r="C87" s="12" t="n">
        <f aca="false">SUMIFS(Data!$H$4:$H$2311,Data!$B$4:$B$2311,"Inedible Tallow",Data!$C$4:$C$2311,"Mexico",Data!$E$4:$E$2311,2025,Data!$F$4:$F$2311,2)</f>
        <v>1.61054296394008</v>
      </c>
      <c r="D87" s="12" t="n">
        <f aca="false">SUMIFS(Data!$H$4:$H$2311,Data!$B$4:$B$2311,"Inedible Tallow",Data!$C$4:$C$2311,"Mexico",Data!$E$4:$E$2311,2025,Data!$F$4:$F$2311,3)</f>
        <v>0.88140812421563</v>
      </c>
      <c r="E87" s="12" t="n">
        <f aca="false">SUMIFS(Data!$H$4:$H$2311,Data!$B$4:$B$2311,"Inedible Tallow",Data!$C$4:$C$2311,"Mexico",Data!$E$4:$E$2311,2025,Data!$F$4:$F$2311,4)</f>
        <v>1.07962574414616</v>
      </c>
      <c r="F87" s="12" t="n">
        <f aca="false">SUMIFS(Data!$H$4:$H$2311,Data!$B$4:$B$2311,"Inedible Tallow",Data!$C$4:$C$2311,"Mexico",Data!$E$4:$E$2311,2025,Data!$F$4:$F$2311,5)</f>
        <v>1.79026380007329</v>
      </c>
      <c r="G87" s="12" t="n">
        <f aca="false">SUMIFS(Data!$H$4:$H$2311,Data!$B$4:$B$2311,"Inedible Tallow",Data!$C$4:$C$2311,"Mexico",Data!$E$4:$E$2311,2025,Data!$F$4:$F$2311,6)</f>
        <v>1.44797409180486</v>
      </c>
      <c r="H87" s="12" t="n">
        <f aca="false">SUMIFS(Data!$H$4:$H$2311,Data!$B$4:$B$2311,"Inedible Tallow",Data!$C$4:$C$2311,"Mexico",Data!$E$4:$E$2311,2025,Data!$F$4:$F$2311,7)</f>
        <v>1.7988816699021</v>
      </c>
      <c r="I87" s="12" t="n">
        <f aca="false">SUMIFS(Data!$H$4:$H$2311,Data!$B$4:$B$2311,"Inedible Tallow",Data!$C$4:$C$2311,"Mexico",Data!$E$4:$E$2311,2025,Data!$F$4:$F$2311,8)</f>
        <v>2.02472541590704</v>
      </c>
      <c r="J87" s="12" t="n">
        <f aca="false">SUMIFS(Data!$H$4:$H$2311,Data!$B$4:$B$2311,"Inedible Tallow",Data!$C$4:$C$2311,"Mexico",Data!$E$4:$E$2311,2025,Data!$F$4:$F$2311,9)</f>
        <v>2.09319438067384</v>
      </c>
      <c r="K87" s="12" t="n">
        <f aca="false">SUMIFS(Data!$H$4:$H$2311,Data!$B$4:$B$2311,"Inedible Tallow",Data!$C$4:$C$2311,"Mexico",Data!$E$4:$E$2311,2025,Data!$F$4:$F$2311,10)</f>
        <v>1.54436019283214</v>
      </c>
      <c r="L87" s="12" t="n">
        <f aca="false">SUMIFS(Data!$H$4:$H$2311,Data!$B$4:$B$2311,"Inedible Tallow",Data!$C$4:$C$2311,"Mexico",Data!$E$4:$E$2311,2025,Data!$F$4:$F$2311,11)</f>
        <v>0.90433619948287</v>
      </c>
      <c r="M87" s="12" t="n">
        <f aca="false">SUMIFS(Data!$H$4:$H$2311,Data!$B$4:$B$2311,"Inedible Tallow",Data!$C$4:$C$2311,"Mexico",Data!$E$4:$E$2311,2025,Data!$F$4:$F$2311,12)</f>
        <v>1.26917919717283</v>
      </c>
      <c r="N87" s="13" t="n">
        <f aca="false">SUM(B87:M87)</f>
        <v>17.6990543293408</v>
      </c>
    </row>
    <row r="88" customFormat="false" ht="15" hidden="false" customHeight="false" outlineLevel="0" collapsed="false">
      <c r="A88" s="11" t="s">
        <v>92</v>
      </c>
      <c r="B88" s="12" t="n">
        <f aca="false">SUMIFS(Data!$H$4:$H$2311,Data!$B$4:$B$2311,"Inedible Tallow",Data!$C$4:$C$2311,"Colombia",Data!$E$4:$E$2311,2025,Data!$F$4:$F$2311,1)</f>
        <v>0</v>
      </c>
      <c r="C88" s="12" t="n">
        <f aca="false">SUMIFS(Data!$H$4:$H$2311,Data!$B$4:$B$2311,"Inedible Tallow",Data!$C$4:$C$2311,"Colombia",Data!$E$4:$E$2311,2025,Data!$F$4:$F$2311,2)</f>
        <v>0</v>
      </c>
      <c r="D88" s="12" t="n">
        <f aca="false">SUMIFS(Data!$H$4:$H$2311,Data!$B$4:$B$2311,"Inedible Tallow",Data!$C$4:$C$2311,"Colombia",Data!$E$4:$E$2311,2025,Data!$F$4:$F$2311,3)</f>
        <v>0</v>
      </c>
      <c r="E88" s="12" t="n">
        <f aca="false">SUMIFS(Data!$H$4:$H$2311,Data!$B$4:$B$2311,"Inedible Tallow",Data!$C$4:$C$2311,"Colombia",Data!$E$4:$E$2311,2025,Data!$F$4:$F$2311,4)</f>
        <v>4.41120735783345</v>
      </c>
      <c r="F88" s="12" t="n">
        <f aca="false">SUMIFS(Data!$H$4:$H$2311,Data!$B$4:$B$2311,"Inedible Tallow",Data!$C$4:$C$2311,"Colombia",Data!$E$4:$E$2311,2025,Data!$F$4:$F$2311,5)</f>
        <v>0</v>
      </c>
      <c r="G88" s="12" t="n">
        <f aca="false">SUMIFS(Data!$H$4:$H$2311,Data!$B$4:$B$2311,"Inedible Tallow",Data!$C$4:$C$2311,"Colombia",Data!$E$4:$E$2311,2025,Data!$F$4:$F$2311,6)</f>
        <v>0</v>
      </c>
      <c r="H88" s="12" t="n">
        <f aca="false">SUMIFS(Data!$H$4:$H$2311,Data!$B$4:$B$2311,"Inedible Tallow",Data!$C$4:$C$2311,"Colombia",Data!$E$4:$E$2311,2025,Data!$F$4:$F$2311,7)</f>
        <v>0</v>
      </c>
      <c r="I88" s="12" t="n">
        <f aca="false">SUMIFS(Data!$H$4:$H$2311,Data!$B$4:$B$2311,"Inedible Tallow",Data!$C$4:$C$2311,"Colombia",Data!$E$4:$E$2311,2025,Data!$F$4:$F$2311,8)</f>
        <v>0</v>
      </c>
      <c r="J88" s="12" t="n">
        <f aca="false">SUMIFS(Data!$H$4:$H$2311,Data!$B$4:$B$2311,"Inedible Tallow",Data!$C$4:$C$2311,"Colombia",Data!$E$4:$E$2311,2025,Data!$F$4:$F$2311,9)</f>
        <v>0</v>
      </c>
      <c r="K88" s="12" t="n">
        <f aca="false">SUMIFS(Data!$H$4:$H$2311,Data!$B$4:$B$2311,"Inedible Tallow",Data!$C$4:$C$2311,"Colombia",Data!$E$4:$E$2311,2025,Data!$F$4:$F$2311,10)</f>
        <v>0</v>
      </c>
      <c r="L88" s="12" t="n">
        <f aca="false">SUMIFS(Data!$H$4:$H$2311,Data!$B$4:$B$2311,"Inedible Tallow",Data!$C$4:$C$2311,"Colombia",Data!$E$4:$E$2311,2025,Data!$F$4:$F$2311,11)</f>
        <v>0</v>
      </c>
      <c r="M88" s="12" t="n">
        <f aca="false">SUMIFS(Data!$H$4:$H$2311,Data!$B$4:$B$2311,"Inedible Tallow",Data!$C$4:$C$2311,"Colombia",Data!$E$4:$E$2311,2025,Data!$F$4:$F$2311,12)</f>
        <v>0</v>
      </c>
      <c r="N88" s="13" t="n">
        <f aca="false">SUM(B88:M88)</f>
        <v>4.41120735783345</v>
      </c>
    </row>
    <row r="89" customFormat="false" ht="15" hidden="false" customHeight="false" outlineLevel="0" collapsed="false">
      <c r="A89" s="11" t="s">
        <v>127</v>
      </c>
      <c r="B89" s="12" t="n">
        <f aca="false">SUMIFS(Data!$H$4:$H$2311,Data!$B$4:$B$2311,"Inedible Tallow",Data!$C$4:$C$2311,"Korea, South",Data!$E$4:$E$2311,2025,Data!$F$4:$F$2311,1)</f>
        <v>0</v>
      </c>
      <c r="C89" s="12" t="n">
        <f aca="false">SUMIFS(Data!$H$4:$H$2311,Data!$B$4:$B$2311,"Inedible Tallow",Data!$C$4:$C$2311,"Korea, South",Data!$E$4:$E$2311,2025,Data!$F$4:$F$2311,2)</f>
        <v>0</v>
      </c>
      <c r="D89" s="12" t="n">
        <f aca="false">SUMIFS(Data!$H$4:$H$2311,Data!$B$4:$B$2311,"Inedible Tallow",Data!$C$4:$C$2311,"Korea, South",Data!$E$4:$E$2311,2025,Data!$F$4:$F$2311,3)</f>
        <v>0</v>
      </c>
      <c r="E89" s="12" t="n">
        <f aca="false">SUMIFS(Data!$H$4:$H$2311,Data!$B$4:$B$2311,"Inedible Tallow",Data!$C$4:$C$2311,"Korea, South",Data!$E$4:$E$2311,2025,Data!$F$4:$F$2311,4)</f>
        <v>0</v>
      </c>
      <c r="F89" s="12" t="n">
        <f aca="false">SUMIFS(Data!$H$4:$H$2311,Data!$B$4:$B$2311,"Inedible Tallow",Data!$C$4:$C$2311,"Korea, South",Data!$E$4:$E$2311,2025,Data!$F$4:$F$2311,5)</f>
        <v>0</v>
      </c>
      <c r="G89" s="12" t="n">
        <f aca="false">SUMIFS(Data!$H$4:$H$2311,Data!$B$4:$B$2311,"Inedible Tallow",Data!$C$4:$C$2311,"Korea, South",Data!$E$4:$E$2311,2025,Data!$F$4:$F$2311,6)</f>
        <v>0</v>
      </c>
      <c r="H89" s="12" t="n">
        <f aca="false">SUMIFS(Data!$H$4:$H$2311,Data!$B$4:$B$2311,"Inedible Tallow",Data!$C$4:$C$2311,"Korea, South",Data!$E$4:$E$2311,2025,Data!$F$4:$F$2311,7)</f>
        <v>1.3622649781352</v>
      </c>
      <c r="I89" s="12" t="n">
        <f aca="false">SUMIFS(Data!$H$4:$H$2311,Data!$B$4:$B$2311,"Inedible Tallow",Data!$C$4:$C$2311,"Korea, South",Data!$E$4:$E$2311,2025,Data!$F$4:$F$2311,8)</f>
        <v>1.4503793350853</v>
      </c>
      <c r="J89" s="12" t="n">
        <f aca="false">SUMIFS(Data!$H$4:$H$2311,Data!$B$4:$B$2311,"Inedible Tallow",Data!$C$4:$C$2311,"Korea, South",Data!$E$4:$E$2311,2025,Data!$F$4:$F$2311,9)</f>
        <v>0</v>
      </c>
      <c r="K89" s="12" t="n">
        <f aca="false">SUMIFS(Data!$H$4:$H$2311,Data!$B$4:$B$2311,"Inedible Tallow",Data!$C$4:$C$2311,"Korea, South",Data!$E$4:$E$2311,2025,Data!$F$4:$F$2311,10)</f>
        <v>0</v>
      </c>
      <c r="L89" s="12" t="n">
        <f aca="false">SUMIFS(Data!$H$4:$H$2311,Data!$B$4:$B$2311,"Inedible Tallow",Data!$C$4:$C$2311,"Korea, South",Data!$E$4:$E$2311,2025,Data!$F$4:$F$2311,11)</f>
        <v>0</v>
      </c>
      <c r="M89" s="12" t="n">
        <f aca="false">SUMIFS(Data!$H$4:$H$2311,Data!$B$4:$B$2311,"Inedible Tallow",Data!$C$4:$C$2311,"Korea, South",Data!$E$4:$E$2311,2025,Data!$F$4:$F$2311,12)</f>
        <v>0</v>
      </c>
      <c r="N89" s="13" t="n">
        <f aca="false">SUM(B89:M89)</f>
        <v>2.8126443132205</v>
      </c>
    </row>
    <row r="90" customFormat="false" ht="15" hidden="false" customHeight="false" outlineLevel="0" collapsed="false">
      <c r="A90" s="11" t="s">
        <v>112</v>
      </c>
      <c r="B90" s="12" t="n">
        <f aca="false">SUMIFS(Data!$H$4:$H$2311,Data!$B$4:$B$2311,"Inedible Tallow",Data!$C$4:$C$2311,"Costa Rica",Data!$E$4:$E$2311,2025,Data!$F$4:$F$2311,1)</f>
        <v>0</v>
      </c>
      <c r="C90" s="12" t="n">
        <f aca="false">SUMIFS(Data!$H$4:$H$2311,Data!$B$4:$B$2311,"Inedible Tallow",Data!$C$4:$C$2311,"Costa Rica",Data!$E$4:$E$2311,2025,Data!$F$4:$F$2311,2)</f>
        <v>0</v>
      </c>
      <c r="D90" s="12" t="n">
        <f aca="false">SUMIFS(Data!$H$4:$H$2311,Data!$B$4:$B$2311,"Inedible Tallow",Data!$C$4:$C$2311,"Costa Rica",Data!$E$4:$E$2311,2025,Data!$F$4:$F$2311,3)</f>
        <v>0.05070632030255</v>
      </c>
      <c r="E90" s="12" t="n">
        <f aca="false">SUMIFS(Data!$H$4:$H$2311,Data!$B$4:$B$2311,"Inedible Tallow",Data!$C$4:$C$2311,"Costa Rica",Data!$E$4:$E$2311,2025,Data!$F$4:$F$2311,4)</f>
        <v>0</v>
      </c>
      <c r="F90" s="12" t="n">
        <f aca="false">SUMIFS(Data!$H$4:$H$2311,Data!$B$4:$B$2311,"Inedible Tallow",Data!$C$4:$C$2311,"Costa Rica",Data!$E$4:$E$2311,2025,Data!$F$4:$F$2311,5)</f>
        <v>0.05070632030255</v>
      </c>
      <c r="G90" s="12" t="n">
        <f aca="false">SUMIFS(Data!$H$4:$H$2311,Data!$B$4:$B$2311,"Inedible Tallow",Data!$C$4:$C$2311,"Costa Rica",Data!$E$4:$E$2311,2025,Data!$F$4:$F$2311,6)</f>
        <v>0.093564184071314</v>
      </c>
      <c r="H90" s="12" t="n">
        <f aca="false">SUMIFS(Data!$H$4:$H$2311,Data!$B$4:$B$2311,"Inedible Tallow",Data!$C$4:$C$2311,"Costa Rica",Data!$E$4:$E$2311,2025,Data!$F$4:$F$2311,7)</f>
        <v>0</v>
      </c>
      <c r="I90" s="12" t="n">
        <f aca="false">SUMIFS(Data!$H$4:$H$2311,Data!$B$4:$B$2311,"Inedible Tallow",Data!$C$4:$C$2311,"Costa Rica",Data!$E$4:$E$2311,2025,Data!$F$4:$F$2311,8)</f>
        <v>0.293280947384706</v>
      </c>
      <c r="J90" s="12" t="n">
        <f aca="false">SUMIFS(Data!$H$4:$H$2311,Data!$B$4:$B$2311,"Inedible Tallow",Data!$C$4:$C$2311,"Costa Rica",Data!$E$4:$E$2311,2025,Data!$F$4:$F$2311,9)</f>
        <v>0.144931891160419</v>
      </c>
      <c r="K90" s="12" t="n">
        <f aca="false">SUMIFS(Data!$H$4:$H$2311,Data!$B$4:$B$2311,"Inedible Tallow",Data!$C$4:$C$2311,"Costa Rica",Data!$E$4:$E$2311,2025,Data!$F$4:$F$2311,10)</f>
        <v>0.0490087608837255</v>
      </c>
      <c r="L90" s="12" t="n">
        <f aca="false">SUMIFS(Data!$H$4:$H$2311,Data!$B$4:$B$2311,"Inedible Tallow",Data!$C$4:$C$2311,"Costa Rica",Data!$E$4:$E$2311,2025,Data!$F$4:$F$2311,11)</f>
        <v>0.0482591891922965</v>
      </c>
      <c r="M90" s="12" t="n">
        <f aca="false">SUMIFS(Data!$H$4:$H$2311,Data!$B$4:$B$2311,"Inedible Tallow",Data!$C$4:$C$2311,"Costa Rica",Data!$E$4:$E$2311,2025,Data!$F$4:$F$2311,12)</f>
        <v>0.0483914665496075</v>
      </c>
      <c r="N90" s="13" t="n">
        <f aca="false">SUM(B90:M90)</f>
        <v>0.778849079847168</v>
      </c>
    </row>
    <row r="91" customFormat="false" ht="15" hidden="false" customHeight="false" outlineLevel="0" collapsed="false">
      <c r="A91" s="11" t="s">
        <v>45</v>
      </c>
      <c r="B91" s="12" t="n">
        <f aca="false">SUMIFS(Data!$H$4:$H$2311,Data!$B$4:$B$2311,"Inedible Tallow",Data!$C$4:$C$2311,"Chile",Data!$E$4:$E$2311,2025,Data!$F$4:$F$2311,1)</f>
        <v>0</v>
      </c>
      <c r="C91" s="12" t="n">
        <f aca="false">SUMIFS(Data!$H$4:$H$2311,Data!$B$4:$B$2311,"Inedible Tallow",Data!$C$4:$C$2311,"Chile",Data!$E$4:$E$2311,2025,Data!$F$4:$F$2311,2)</f>
        <v>0</v>
      </c>
      <c r="D91" s="12" t="n">
        <f aca="false">SUMIFS(Data!$H$4:$H$2311,Data!$B$4:$B$2311,"Inedible Tallow",Data!$C$4:$C$2311,"Chile",Data!$E$4:$E$2311,2025,Data!$F$4:$F$2311,3)</f>
        <v>0</v>
      </c>
      <c r="E91" s="12" t="n">
        <f aca="false">SUMIFS(Data!$H$4:$H$2311,Data!$B$4:$B$2311,"Inedible Tallow",Data!$C$4:$C$2311,"Chile",Data!$E$4:$E$2311,2025,Data!$F$4:$F$2311,4)</f>
        <v>0</v>
      </c>
      <c r="F91" s="12" t="n">
        <f aca="false">SUMIFS(Data!$H$4:$H$2311,Data!$B$4:$B$2311,"Inedible Tallow",Data!$C$4:$C$2311,"Chile",Data!$E$4:$E$2311,2025,Data!$F$4:$F$2311,5)</f>
        <v>0</v>
      </c>
      <c r="G91" s="12" t="n">
        <f aca="false">SUMIFS(Data!$H$4:$H$2311,Data!$B$4:$B$2311,"Inedible Tallow",Data!$C$4:$C$2311,"Chile",Data!$E$4:$E$2311,2025,Data!$F$4:$F$2311,6)</f>
        <v>0</v>
      </c>
      <c r="H91" s="12" t="n">
        <f aca="false">SUMIFS(Data!$H$4:$H$2311,Data!$B$4:$B$2311,"Inedible Tallow",Data!$C$4:$C$2311,"Chile",Data!$E$4:$E$2311,2025,Data!$F$4:$F$2311,7)</f>
        <v>0</v>
      </c>
      <c r="I91" s="12" t="n">
        <f aca="false">SUMIFS(Data!$H$4:$H$2311,Data!$B$4:$B$2311,"Inedible Tallow",Data!$C$4:$C$2311,"Chile",Data!$E$4:$E$2311,2025,Data!$F$4:$F$2311,8)</f>
        <v>0</v>
      </c>
      <c r="J91" s="12" t="n">
        <f aca="false">SUMIFS(Data!$H$4:$H$2311,Data!$B$4:$B$2311,"Inedible Tallow",Data!$C$4:$C$2311,"Chile",Data!$E$4:$E$2311,2025,Data!$F$4:$F$2311,9)</f>
        <v>0</v>
      </c>
      <c r="K91" s="12" t="n">
        <f aca="false">SUMIFS(Data!$H$4:$H$2311,Data!$B$4:$B$2311,"Inedible Tallow",Data!$C$4:$C$2311,"Chile",Data!$E$4:$E$2311,2025,Data!$F$4:$F$2311,10)</f>
        <v>0.094137385952995</v>
      </c>
      <c r="L91" s="12" t="n">
        <f aca="false">SUMIFS(Data!$H$4:$H$2311,Data!$B$4:$B$2311,"Inedible Tallow",Data!$C$4:$C$2311,"Chile",Data!$E$4:$E$2311,2025,Data!$F$4:$F$2311,11)</f>
        <v>0</v>
      </c>
      <c r="M91" s="12" t="n">
        <f aca="false">SUMIFS(Data!$H$4:$H$2311,Data!$B$4:$B$2311,"Inedible Tallow",Data!$C$4:$C$2311,"Chile",Data!$E$4:$E$2311,2025,Data!$F$4:$F$2311,12)</f>
        <v>0</v>
      </c>
      <c r="N91" s="13" t="n">
        <f aca="false">SUM(B91:M91)</f>
        <v>0.094137385952995</v>
      </c>
    </row>
    <row r="92" customFormat="false" ht="15" hidden="false" customHeight="false" outlineLevel="0" collapsed="false">
      <c r="A92" s="11" t="s">
        <v>70</v>
      </c>
      <c r="B92" s="12" t="n">
        <f aca="false">SUMIFS(Data!$H$4:$H$2311,Data!$B$4:$B$2311,"Inedible Tallow",Data!$C$4:$C$2311,"Sweden",Data!$E$4:$E$2311,2025,Data!$F$4:$F$2311,1)</f>
        <v>0</v>
      </c>
      <c r="C92" s="12" t="n">
        <f aca="false">SUMIFS(Data!$H$4:$H$2311,Data!$B$4:$B$2311,"Inedible Tallow",Data!$C$4:$C$2311,"Sweden",Data!$E$4:$E$2311,2025,Data!$F$4:$F$2311,2)</f>
        <v>0</v>
      </c>
      <c r="D92" s="12" t="n">
        <f aca="false">SUMIFS(Data!$H$4:$H$2311,Data!$B$4:$B$2311,"Inedible Tallow",Data!$C$4:$C$2311,"Sweden",Data!$E$4:$E$2311,2025,Data!$F$4:$F$2311,3)</f>
        <v>0.0001587328287732</v>
      </c>
      <c r="E92" s="12" t="n">
        <f aca="false">SUMIFS(Data!$H$4:$H$2311,Data!$B$4:$B$2311,"Inedible Tallow",Data!$C$4:$C$2311,"Sweden",Data!$E$4:$E$2311,2025,Data!$F$4:$F$2311,4)</f>
        <v>0.00052249556137845</v>
      </c>
      <c r="F92" s="12" t="n">
        <f aca="false">SUMIFS(Data!$H$4:$H$2311,Data!$B$4:$B$2311,"Inedible Tallow",Data!$C$4:$C$2311,"Sweden",Data!$E$4:$E$2311,2025,Data!$F$4:$F$2311,5)</f>
        <v>0.000264554714622</v>
      </c>
      <c r="G92" s="12" t="n">
        <f aca="false">SUMIFS(Data!$H$4:$H$2311,Data!$B$4:$B$2311,"Inedible Tallow",Data!$C$4:$C$2311,"Sweden",Data!$E$4:$E$2311,2025,Data!$F$4:$F$2311,6)</f>
        <v>0.00025353160151275</v>
      </c>
      <c r="H92" s="12" t="n">
        <f aca="false">SUMIFS(Data!$H$4:$H$2311,Data!$B$4:$B$2311,"Inedible Tallow",Data!$C$4:$C$2311,"Sweden",Data!$E$4:$E$2311,2025,Data!$F$4:$F$2311,7)</f>
        <v>0.0010008986703199</v>
      </c>
      <c r="I92" s="12" t="n">
        <f aca="false">SUMIFS(Data!$H$4:$H$2311,Data!$B$4:$B$2311,"Inedible Tallow",Data!$C$4:$C$2311,"Sweden",Data!$E$4:$E$2311,2025,Data!$F$4:$F$2311,8)</f>
        <v>0.000529109429244</v>
      </c>
      <c r="J92" s="12" t="n">
        <f aca="false">SUMIFS(Data!$H$4:$H$2311,Data!$B$4:$B$2311,"Inedible Tallow",Data!$C$4:$C$2311,"Sweden",Data!$E$4:$E$2311,2025,Data!$F$4:$F$2311,9)</f>
        <v>0.0002425084884035</v>
      </c>
      <c r="K92" s="12" t="n">
        <f aca="false">SUMIFS(Data!$H$4:$H$2311,Data!$B$4:$B$2311,"Inedible Tallow",Data!$C$4:$C$2311,"Sweden",Data!$E$4:$E$2311,2025,Data!$F$4:$F$2311,10)</f>
        <v>0.00024471311102535</v>
      </c>
      <c r="L92" s="12" t="n">
        <f aca="false">SUMIFS(Data!$H$4:$H$2311,Data!$B$4:$B$2311,"Inedible Tallow",Data!$C$4:$C$2311,"Sweden",Data!$E$4:$E$2311,2025,Data!$F$4:$F$2311,11)</f>
        <v>0</v>
      </c>
      <c r="M92" s="12" t="n">
        <f aca="false">SUMIFS(Data!$H$4:$H$2311,Data!$B$4:$B$2311,"Inedible Tallow",Data!$C$4:$C$2311,"Sweden",Data!$E$4:$E$2311,2025,Data!$F$4:$F$2311,12)</f>
        <v>0.00034171650638675</v>
      </c>
      <c r="N92" s="13" t="n">
        <f aca="false">SUM(B92:M92)</f>
        <v>0.0035582609116659</v>
      </c>
    </row>
    <row r="93" customFormat="false" ht="15" hidden="false" customHeight="false" outlineLevel="0" collapsed="false">
      <c r="A93" s="11" t="s">
        <v>59</v>
      </c>
      <c r="B93" s="12" t="n">
        <f aca="false">SUMIFS(Data!$H$4:$H$2311,Data!$B$4:$B$2311,"Inedible Tallow",Data!$C$4:$C$2311,"Germany",Data!$E$4:$E$2311,2025,Data!$F$4:$F$2311,1)</f>
        <v>0</v>
      </c>
      <c r="C93" s="12" t="n">
        <f aca="false">SUMIFS(Data!$H$4:$H$2311,Data!$B$4:$B$2311,"Inedible Tallow",Data!$C$4:$C$2311,"Germany",Data!$E$4:$E$2311,2025,Data!$F$4:$F$2311,2)</f>
        <v>0</v>
      </c>
      <c r="D93" s="12" t="n">
        <f aca="false">SUMIFS(Data!$H$4:$H$2311,Data!$B$4:$B$2311,"Inedible Tallow",Data!$C$4:$C$2311,"Germany",Data!$E$4:$E$2311,2025,Data!$F$4:$F$2311,3)</f>
        <v>0</v>
      </c>
      <c r="E93" s="12" t="n">
        <f aca="false">SUMIFS(Data!$H$4:$H$2311,Data!$B$4:$B$2311,"Inedible Tallow",Data!$C$4:$C$2311,"Germany",Data!$E$4:$E$2311,2025,Data!$F$4:$F$2311,4)</f>
        <v>0</v>
      </c>
      <c r="F93" s="12" t="n">
        <f aca="false">SUMIFS(Data!$H$4:$H$2311,Data!$B$4:$B$2311,"Inedible Tallow",Data!$C$4:$C$2311,"Germany",Data!$E$4:$E$2311,2025,Data!$F$4:$F$2311,5)</f>
        <v>0</v>
      </c>
      <c r="G93" s="12" t="n">
        <f aca="false">SUMIFS(Data!$H$4:$H$2311,Data!$B$4:$B$2311,"Inedible Tallow",Data!$C$4:$C$2311,"Germany",Data!$E$4:$E$2311,2025,Data!$F$4:$F$2311,6)</f>
        <v>0</v>
      </c>
      <c r="H93" s="12" t="n">
        <f aca="false">SUMIFS(Data!$H$4:$H$2311,Data!$B$4:$B$2311,"Inedible Tallow",Data!$C$4:$C$2311,"Germany",Data!$E$4:$E$2311,2025,Data!$F$4:$F$2311,7)</f>
        <v>7.275254652105E-005</v>
      </c>
      <c r="I93" s="12" t="n">
        <f aca="false">SUMIFS(Data!$H$4:$H$2311,Data!$B$4:$B$2311,"Inedible Tallow",Data!$C$4:$C$2311,"Germany",Data!$E$4:$E$2311,2025,Data!$F$4:$F$2311,8)</f>
        <v>0</v>
      </c>
      <c r="J93" s="12" t="n">
        <f aca="false">SUMIFS(Data!$H$4:$H$2311,Data!$B$4:$B$2311,"Inedible Tallow",Data!$C$4:$C$2311,"Germany",Data!$E$4:$E$2311,2025,Data!$F$4:$F$2311,9)</f>
        <v>0</v>
      </c>
      <c r="K93" s="12" t="n">
        <f aca="false">SUMIFS(Data!$H$4:$H$2311,Data!$B$4:$B$2311,"Inedible Tallow",Data!$C$4:$C$2311,"Germany",Data!$E$4:$E$2311,2025,Data!$F$4:$F$2311,10)</f>
        <v>0</v>
      </c>
      <c r="L93" s="12" t="n">
        <f aca="false">SUMIFS(Data!$H$4:$H$2311,Data!$B$4:$B$2311,"Inedible Tallow",Data!$C$4:$C$2311,"Germany",Data!$E$4:$E$2311,2025,Data!$F$4:$F$2311,11)</f>
        <v>0</v>
      </c>
      <c r="M93" s="12" t="n">
        <f aca="false">SUMIFS(Data!$H$4:$H$2311,Data!$B$4:$B$2311,"Inedible Tallow",Data!$C$4:$C$2311,"Germany",Data!$E$4:$E$2311,2025,Data!$F$4:$F$2311,12)</f>
        <v>0</v>
      </c>
      <c r="N93" s="13" t="n">
        <f aca="false">SUM(B93:M93)</f>
        <v>7.275254652105E-005</v>
      </c>
    </row>
    <row r="95" customFormat="false" ht="15" hidden="false" customHeight="false" outlineLevel="0" collapsed="false">
      <c r="A95" s="8"/>
      <c r="B95" s="9" t="s">
        <v>178</v>
      </c>
      <c r="C95" s="9" t="s">
        <v>179</v>
      </c>
      <c r="D95" s="9" t="s">
        <v>180</v>
      </c>
      <c r="E95" s="9" t="s">
        <v>181</v>
      </c>
      <c r="F95" s="9" t="s">
        <v>182</v>
      </c>
      <c r="G95" s="9" t="s">
        <v>183</v>
      </c>
      <c r="H95" s="9" t="s">
        <v>184</v>
      </c>
      <c r="I95" s="9" t="s">
        <v>185</v>
      </c>
      <c r="J95" s="9" t="s">
        <v>186</v>
      </c>
      <c r="K95" s="9" t="s">
        <v>187</v>
      </c>
      <c r="L95" s="9" t="s">
        <v>188</v>
      </c>
      <c r="M95" s="9" t="s">
        <v>189</v>
      </c>
      <c r="N95" s="9" t="s">
        <v>33</v>
      </c>
    </row>
    <row r="96" customFormat="false" ht="15" hidden="false" customHeight="false" outlineLevel="0" collapsed="false">
      <c r="A96" s="10" t="s">
        <v>35</v>
      </c>
      <c r="B96" s="10" t="n">
        <f aca="false">SUM(B97:B111)</f>
        <v>100.083213480917</v>
      </c>
      <c r="C96" s="10" t="n">
        <f aca="false">SUM(C97:C111)</f>
        <v>144.17394410765</v>
      </c>
      <c r="D96" s="10" t="n">
        <f aca="false">SUM(D97:D111)</f>
        <v>99.8848437420258</v>
      </c>
      <c r="E96" s="10" t="n">
        <f aca="false">SUM(E97:E111)</f>
        <v>198.474989780031</v>
      </c>
      <c r="F96" s="10" t="n">
        <f aca="false">SUM(F97:F111)</f>
        <v>203.081184985654</v>
      </c>
      <c r="G96" s="10" t="n">
        <f aca="false">SUM(G97:G111)</f>
        <v>153.985553152137</v>
      </c>
      <c r="H96" s="10" t="n">
        <f aca="false">SUM(H97:H111)</f>
        <v>270.562813920499</v>
      </c>
      <c r="I96" s="10" t="n">
        <f aca="false">SUM(I97:I111)</f>
        <v>249.720737145695</v>
      </c>
      <c r="J96" s="10"/>
      <c r="K96" s="10"/>
      <c r="L96" s="10"/>
      <c r="M96" s="10"/>
      <c r="N96" s="10" t="n">
        <f aca="false">SUM(B96:M96)</f>
        <v>1419.96728031461</v>
      </c>
    </row>
    <row r="97" customFormat="false" ht="15" hidden="false" customHeight="false" outlineLevel="0" collapsed="false">
      <c r="A97" s="11" t="s">
        <v>49</v>
      </c>
      <c r="B97" s="12" t="n">
        <f aca="false">SUMIFS(Data!$H$4:$H$2311,Data!$B$4:$B$2311,"Inedible Tallow",Data!$C$4:$C$2311,"Brazil",Data!$E$4:$E$2311,2026,Data!$F$4:$F$2311,1)</f>
        <v>0</v>
      </c>
      <c r="C97" s="12" t="n">
        <f aca="false">SUMIFS(Data!$H$4:$H$2311,Data!$B$4:$B$2311,"Inedible Tallow",Data!$C$4:$C$2311,"Brazil",Data!$E$4:$E$2311,2026,Data!$F$4:$F$2311,2)</f>
        <v>0</v>
      </c>
      <c r="D97" s="12" t="n">
        <f aca="false">SUMIFS(Data!$H$4:$H$2311,Data!$B$4:$B$2311,"Inedible Tallow",Data!$C$4:$C$2311,"Brazil",Data!$E$4:$E$2311,2026,Data!$F$4:$F$2311,3)</f>
        <v>13.2352512896179</v>
      </c>
      <c r="E97" s="12" t="n">
        <f aca="false">SUMIFS(Data!$H$4:$H$2311,Data!$B$4:$B$2311,"Inedible Tallow",Data!$C$4:$C$2311,"Brazil",Data!$E$4:$E$2311,2026,Data!$F$4:$F$2311,4)</f>
        <v>49.894408497243</v>
      </c>
      <c r="F97" s="12" t="n">
        <f aca="false">SUMIFS(Data!$H$4:$H$2311,Data!$B$4:$B$2311,"Inedible Tallow",Data!$C$4:$C$2311,"Brazil",Data!$E$4:$E$2311,2026,Data!$F$4:$F$2311,5)</f>
        <v>46.240092177943</v>
      </c>
      <c r="G97" s="12" t="n">
        <f aca="false">SUMIFS(Data!$H$4:$H$2311,Data!$B$4:$B$2311,"Inedible Tallow",Data!$C$4:$C$2311,"Brazil",Data!$E$4:$E$2311,2026,Data!$F$4:$F$2311,6)</f>
        <v>36.5584875248435</v>
      </c>
      <c r="H97" s="12" t="n">
        <f aca="false">SUMIFS(Data!$H$4:$H$2311,Data!$B$4:$B$2311,"Inedible Tallow",Data!$C$4:$C$2311,"Brazil",Data!$E$4:$E$2311,2026,Data!$F$4:$F$2311,7)</f>
        <v>107.621267968037</v>
      </c>
      <c r="I97" s="12" t="n">
        <f aca="false">SUMIFS(Data!$H$4:$H$2311,Data!$B$4:$B$2311,"Inedible Tallow",Data!$C$4:$C$2311,"Brazil",Data!$E$4:$E$2311,2026,Data!$F$4:$F$2311,8)</f>
        <v>135.190419980023</v>
      </c>
      <c r="J97" s="12"/>
      <c r="K97" s="12"/>
      <c r="L97" s="12"/>
      <c r="M97" s="12"/>
      <c r="N97" s="13" t="n">
        <f aca="false">SUM(B97:M97)</f>
        <v>388.739927437708</v>
      </c>
    </row>
    <row r="98" customFormat="false" ht="15" hidden="false" customHeight="false" outlineLevel="0" collapsed="false">
      <c r="A98" s="11" t="s">
        <v>109</v>
      </c>
      <c r="B98" s="12" t="n">
        <f aca="false">SUMIFS(Data!$H$4:$H$2311,Data!$B$4:$B$2311,"Inedible Tallow",Data!$C$4:$C$2311,"Australia",Data!$E$4:$E$2311,2026,Data!$F$4:$F$2311,1)</f>
        <v>42.650373506086</v>
      </c>
      <c r="C98" s="12" t="n">
        <f aca="false">SUMIFS(Data!$H$4:$H$2311,Data!$B$4:$B$2311,"Inedible Tallow",Data!$C$4:$C$2311,"Australia",Data!$E$4:$E$2311,2026,Data!$F$4:$F$2311,2)</f>
        <v>68.4565417183213</v>
      </c>
      <c r="D98" s="12" t="n">
        <f aca="false">SUMIFS(Data!$H$4:$H$2311,Data!$B$4:$B$2311,"Inedible Tallow",Data!$C$4:$C$2311,"Australia",Data!$E$4:$E$2311,2026,Data!$F$4:$F$2311,3)</f>
        <v>0</v>
      </c>
      <c r="E98" s="12" t="n">
        <f aca="false">SUMIFS(Data!$H$4:$H$2311,Data!$B$4:$B$2311,"Inedible Tallow",Data!$C$4:$C$2311,"Australia",Data!$E$4:$E$2311,2026,Data!$F$4:$F$2311,4)</f>
        <v>91.37513931291</v>
      </c>
      <c r="F98" s="12" t="n">
        <f aca="false">SUMIFS(Data!$H$4:$H$2311,Data!$B$4:$B$2311,"Inedible Tallow",Data!$C$4:$C$2311,"Australia",Data!$E$4:$E$2311,2026,Data!$F$4:$F$2311,5)</f>
        <v>1.35776093411876</v>
      </c>
      <c r="G98" s="12" t="n">
        <f aca="false">SUMIFS(Data!$H$4:$H$2311,Data!$B$4:$B$2311,"Inedible Tallow",Data!$C$4:$C$2311,"Australia",Data!$E$4:$E$2311,2026,Data!$F$4:$F$2311,6)</f>
        <v>39.5860979760528</v>
      </c>
      <c r="H98" s="12" t="n">
        <f aca="false">SUMIFS(Data!$H$4:$H$2311,Data!$B$4:$B$2311,"Inedible Tallow",Data!$C$4:$C$2311,"Australia",Data!$E$4:$E$2311,2026,Data!$F$4:$F$2311,7)</f>
        <v>28.1704209442657</v>
      </c>
      <c r="I98" s="12" t="n">
        <f aca="false">SUMIFS(Data!$H$4:$H$2311,Data!$B$4:$B$2311,"Inedible Tallow",Data!$C$4:$C$2311,"Australia",Data!$E$4:$E$2311,2026,Data!$F$4:$F$2311,8)</f>
        <v>66.0690610823472</v>
      </c>
      <c r="J98" s="12"/>
      <c r="K98" s="12"/>
      <c r="L98" s="12"/>
      <c r="M98" s="12"/>
      <c r="N98" s="13" t="n">
        <f aca="false">SUM(B98:M98)</f>
        <v>337.665395474102</v>
      </c>
    </row>
    <row r="99" customFormat="false" ht="15" hidden="false" customHeight="false" outlineLevel="0" collapsed="false">
      <c r="A99" s="11" t="s">
        <v>43</v>
      </c>
      <c r="B99" s="12" t="n">
        <f aca="false">SUMIFS(Data!$H$4:$H$2311,Data!$B$4:$B$2311,"Inedible Tallow",Data!$C$4:$C$2311,"Canada",Data!$E$4:$E$2311,2026,Data!$F$4:$F$2311,1)</f>
        <v>16.6258352185337</v>
      </c>
      <c r="C99" s="12" t="n">
        <f aca="false">SUMIFS(Data!$H$4:$H$2311,Data!$B$4:$B$2311,"Inedible Tallow",Data!$C$4:$C$2311,"Canada",Data!$E$4:$E$2311,2026,Data!$F$4:$F$2311,2)</f>
        <v>36.435500447261</v>
      </c>
      <c r="D99" s="12" t="n">
        <f aca="false">SUMIFS(Data!$H$4:$H$2311,Data!$B$4:$B$2311,"Inedible Tallow",Data!$C$4:$C$2311,"Canada",Data!$E$4:$E$2311,2026,Data!$F$4:$F$2311,3)</f>
        <v>30.72445200083</v>
      </c>
      <c r="E99" s="12" t="n">
        <f aca="false">SUMIFS(Data!$H$4:$H$2311,Data!$B$4:$B$2311,"Inedible Tallow",Data!$C$4:$C$2311,"Canada",Data!$E$4:$E$2311,2026,Data!$F$4:$F$2311,4)</f>
        <v>29.1255714905595</v>
      </c>
      <c r="F99" s="12" t="n">
        <f aca="false">SUMIFS(Data!$H$4:$H$2311,Data!$B$4:$B$2311,"Inedible Tallow",Data!$C$4:$C$2311,"Canada",Data!$E$4:$E$2311,2026,Data!$F$4:$F$2311,5)</f>
        <v>40.3539834676015</v>
      </c>
      <c r="G99" s="12" t="n">
        <f aca="false">SUMIFS(Data!$H$4:$H$2311,Data!$B$4:$B$2311,"Inedible Tallow",Data!$C$4:$C$2311,"Canada",Data!$E$4:$E$2311,2026,Data!$F$4:$F$2311,6)</f>
        <v>39.8740635782962</v>
      </c>
      <c r="H99" s="12" t="n">
        <f aca="false">SUMIFS(Data!$H$4:$H$2311,Data!$B$4:$B$2311,"Inedible Tallow",Data!$C$4:$C$2311,"Canada",Data!$E$4:$E$2311,2026,Data!$F$4:$F$2311,7)</f>
        <v>41.2831304900706</v>
      </c>
      <c r="I99" s="12" t="n">
        <f aca="false">SUMIFS(Data!$H$4:$H$2311,Data!$B$4:$B$2311,"Inedible Tallow",Data!$C$4:$C$2311,"Canada",Data!$E$4:$E$2311,2026,Data!$F$4:$F$2311,8)</f>
        <v>14.952209182892</v>
      </c>
      <c r="J99" s="12"/>
      <c r="K99" s="12"/>
      <c r="L99" s="12"/>
      <c r="M99" s="12"/>
      <c r="N99" s="13" t="n">
        <f aca="false">SUM(B99:M99)</f>
        <v>249.374745876045</v>
      </c>
    </row>
    <row r="100" customFormat="false" ht="15" hidden="false" customHeight="false" outlineLevel="0" collapsed="false">
      <c r="A100" s="11" t="s">
        <v>74</v>
      </c>
      <c r="B100" s="12" t="n">
        <f aca="false">SUMIFS(Data!$H$4:$H$2311,Data!$B$4:$B$2311,"Inedible Tallow",Data!$C$4:$C$2311,"United Kingdom",Data!$E$4:$E$2311,2026,Data!$F$4:$F$2311,1)</f>
        <v>0</v>
      </c>
      <c r="C100" s="12" t="n">
        <f aca="false">SUMIFS(Data!$H$4:$H$2311,Data!$B$4:$B$2311,"Inedible Tallow",Data!$C$4:$C$2311,"United Kingdom",Data!$E$4:$E$2311,2026,Data!$F$4:$F$2311,2)</f>
        <v>19.8017814982315</v>
      </c>
      <c r="D100" s="12" t="n">
        <f aca="false">SUMIFS(Data!$H$4:$H$2311,Data!$B$4:$B$2311,"Inedible Tallow",Data!$C$4:$C$2311,"United Kingdom",Data!$E$4:$E$2311,2026,Data!$F$4:$F$2311,3)</f>
        <v>25.9866937356255</v>
      </c>
      <c r="E100" s="12" t="n">
        <f aca="false">SUMIFS(Data!$H$4:$H$2311,Data!$B$4:$B$2311,"Inedible Tallow",Data!$C$4:$C$2311,"United Kingdom",Data!$E$4:$E$2311,2026,Data!$F$4:$F$2311,4)</f>
        <v>0</v>
      </c>
      <c r="F100" s="12" t="n">
        <f aca="false">SUMIFS(Data!$H$4:$H$2311,Data!$B$4:$B$2311,"Inedible Tallow",Data!$C$4:$C$2311,"United Kingdom",Data!$E$4:$E$2311,2026,Data!$F$4:$F$2311,5)</f>
        <v>40.488712365268</v>
      </c>
      <c r="G100" s="12" t="n">
        <f aca="false">SUMIFS(Data!$H$4:$H$2311,Data!$B$4:$B$2311,"Inedible Tallow",Data!$C$4:$C$2311,"United Kingdom",Data!$E$4:$E$2311,2026,Data!$F$4:$F$2311,6)</f>
        <v>0</v>
      </c>
      <c r="H100" s="12" t="n">
        <f aca="false">SUMIFS(Data!$H$4:$H$2311,Data!$B$4:$B$2311,"Inedible Tallow",Data!$C$4:$C$2311,"United Kingdom",Data!$E$4:$E$2311,2026,Data!$F$4:$F$2311,7)</f>
        <v>32.6605978844138</v>
      </c>
      <c r="I100" s="12" t="n">
        <f aca="false">SUMIFS(Data!$H$4:$H$2311,Data!$B$4:$B$2311,"Inedible Tallow",Data!$C$4:$C$2311,"United Kingdom",Data!$E$4:$E$2311,2026,Data!$F$4:$F$2311,8)</f>
        <v>1.41097391034235</v>
      </c>
      <c r="J100" s="12"/>
      <c r="K100" s="12"/>
      <c r="L100" s="12"/>
      <c r="M100" s="12"/>
      <c r="N100" s="13" t="n">
        <f aca="false">SUM(B100:M100)</f>
        <v>120.348759393881</v>
      </c>
    </row>
    <row r="101" customFormat="false" ht="15" hidden="false" customHeight="false" outlineLevel="0" collapsed="false">
      <c r="A101" s="11" t="s">
        <v>68</v>
      </c>
      <c r="B101" s="12" t="n">
        <f aca="false">SUMIFS(Data!$H$4:$H$2311,Data!$B$4:$B$2311,"Inedible Tallow",Data!$C$4:$C$2311,"Argentina",Data!$E$4:$E$2311,2026,Data!$F$4:$F$2311,1)</f>
        <v>31.4534810186686</v>
      </c>
      <c r="C101" s="12" t="n">
        <f aca="false">SUMIFS(Data!$H$4:$H$2311,Data!$B$4:$B$2311,"Inedible Tallow",Data!$C$4:$C$2311,"Argentina",Data!$E$4:$E$2311,2026,Data!$F$4:$F$2311,2)</f>
        <v>0</v>
      </c>
      <c r="D101" s="12" t="n">
        <f aca="false">SUMIFS(Data!$H$4:$H$2311,Data!$B$4:$B$2311,"Inedible Tallow",Data!$C$4:$C$2311,"Argentina",Data!$E$4:$E$2311,2026,Data!$F$4:$F$2311,3)</f>
        <v>18.0166346272635</v>
      </c>
      <c r="E101" s="12" t="n">
        <f aca="false">SUMIFS(Data!$H$4:$H$2311,Data!$B$4:$B$2311,"Inedible Tallow",Data!$C$4:$C$2311,"Argentina",Data!$E$4:$E$2311,2026,Data!$F$4:$F$2311,4)</f>
        <v>17.3463588022972</v>
      </c>
      <c r="F101" s="12" t="n">
        <f aca="false">SUMIFS(Data!$H$4:$H$2311,Data!$B$4:$B$2311,"Inedible Tallow",Data!$C$4:$C$2311,"Argentina",Data!$E$4:$E$2311,2026,Data!$F$4:$F$2311,5)</f>
        <v>8.63696406533949</v>
      </c>
      <c r="G101" s="12" t="n">
        <f aca="false">SUMIFS(Data!$H$4:$H$2311,Data!$B$4:$B$2311,"Inedible Tallow",Data!$C$4:$C$2311,"Argentina",Data!$E$4:$E$2311,2026,Data!$F$4:$F$2311,6)</f>
        <v>10.5934167278931</v>
      </c>
      <c r="H101" s="12" t="n">
        <f aca="false">SUMIFS(Data!$H$4:$H$2311,Data!$B$4:$B$2311,"Inedible Tallow",Data!$C$4:$C$2311,"Argentina",Data!$E$4:$E$2311,2026,Data!$F$4:$F$2311,7)</f>
        <v>0</v>
      </c>
      <c r="I101" s="12" t="n">
        <f aca="false">SUMIFS(Data!$H$4:$H$2311,Data!$B$4:$B$2311,"Inedible Tallow",Data!$C$4:$C$2311,"Argentina",Data!$E$4:$E$2311,2026,Data!$F$4:$F$2311,8)</f>
        <v>2.09369923925424</v>
      </c>
      <c r="J101" s="12"/>
      <c r="K101" s="12"/>
      <c r="L101" s="12"/>
      <c r="M101" s="12"/>
      <c r="N101" s="13" t="n">
        <f aca="false">SUM(B101:M101)</f>
        <v>88.1405544807163</v>
      </c>
    </row>
    <row r="102" customFormat="false" ht="15" hidden="false" customHeight="false" outlineLevel="0" collapsed="false">
      <c r="A102" s="11" t="s">
        <v>78</v>
      </c>
      <c r="B102" s="12" t="n">
        <f aca="false">SUMIFS(Data!$H$4:$H$2311,Data!$B$4:$B$2311,"Inedible Tallow",Data!$C$4:$C$2311,"New Zealand",Data!$E$4:$E$2311,2026,Data!$F$4:$F$2311,1)</f>
        <v>9.25958476771188</v>
      </c>
      <c r="C102" s="12" t="n">
        <f aca="false">SUMIFS(Data!$H$4:$H$2311,Data!$B$4:$B$2311,"Inedible Tallow",Data!$C$4:$C$2311,"New Zealand",Data!$E$4:$E$2311,2026,Data!$F$4:$F$2311,2)</f>
        <v>13.8558525576687</v>
      </c>
      <c r="D102" s="12" t="n">
        <f aca="false">SUMIFS(Data!$H$4:$H$2311,Data!$B$4:$B$2311,"Inedible Tallow",Data!$C$4:$C$2311,"New Zealand",Data!$E$4:$E$2311,2026,Data!$F$4:$F$2311,3)</f>
        <v>0</v>
      </c>
      <c r="E102" s="12" t="n">
        <f aca="false">SUMIFS(Data!$H$4:$H$2311,Data!$B$4:$B$2311,"Inedible Tallow",Data!$C$4:$C$2311,"New Zealand",Data!$E$4:$E$2311,2026,Data!$F$4:$F$2311,4)</f>
        <v>6.72699146152237</v>
      </c>
      <c r="F102" s="12" t="n">
        <f aca="false">SUMIFS(Data!$H$4:$H$2311,Data!$B$4:$B$2311,"Inedible Tallow",Data!$C$4:$C$2311,"New Zealand",Data!$E$4:$E$2311,2026,Data!$F$4:$F$2311,5)</f>
        <v>12.1574112897954</v>
      </c>
      <c r="G102" s="12" t="n">
        <f aca="false">SUMIFS(Data!$H$4:$H$2311,Data!$B$4:$B$2311,"Inedible Tallow",Data!$C$4:$C$2311,"New Zealand",Data!$E$4:$E$2311,2026,Data!$F$4:$F$2311,6)</f>
        <v>19.059121298722</v>
      </c>
      <c r="H102" s="12" t="n">
        <f aca="false">SUMIFS(Data!$H$4:$H$2311,Data!$B$4:$B$2311,"Inedible Tallow",Data!$C$4:$C$2311,"New Zealand",Data!$E$4:$E$2311,2026,Data!$F$4:$F$2311,7)</f>
        <v>10.1397737356176</v>
      </c>
      <c r="I102" s="12" t="n">
        <f aca="false">SUMIFS(Data!$H$4:$H$2311,Data!$B$4:$B$2311,"Inedible Tallow",Data!$C$4:$C$2311,"New Zealand",Data!$E$4:$E$2311,2026,Data!$F$4:$F$2311,8)</f>
        <v>16.4800435245508</v>
      </c>
      <c r="J102" s="12"/>
      <c r="K102" s="12"/>
      <c r="L102" s="12"/>
      <c r="M102" s="12"/>
      <c r="N102" s="13" t="n">
        <f aca="false">SUM(B102:M102)</f>
        <v>87.6787786355888</v>
      </c>
    </row>
    <row r="103" customFormat="false" ht="15" hidden="false" customHeight="false" outlineLevel="0" collapsed="false">
      <c r="A103" s="11" t="s">
        <v>130</v>
      </c>
      <c r="B103" s="12" t="n">
        <f aca="false">SUMIFS(Data!$H$4:$H$2311,Data!$B$4:$B$2311,"Inedible Tallow",Data!$C$4:$C$2311,"Ireland",Data!$E$4:$E$2311,2026,Data!$F$4:$F$2311,1)</f>
        <v>0</v>
      </c>
      <c r="C103" s="12" t="n">
        <f aca="false">SUMIFS(Data!$H$4:$H$2311,Data!$B$4:$B$2311,"Inedible Tallow",Data!$C$4:$C$2311,"Ireland",Data!$E$4:$E$2311,2026,Data!$F$4:$F$2311,2)</f>
        <v>5.62403640079179</v>
      </c>
      <c r="D103" s="12" t="n">
        <f aca="false">SUMIFS(Data!$H$4:$H$2311,Data!$B$4:$B$2311,"Inedible Tallow",Data!$C$4:$C$2311,"Ireland",Data!$E$4:$E$2311,2026,Data!$F$4:$F$2311,3)</f>
        <v>7.38143589144116</v>
      </c>
      <c r="E103" s="12" t="n">
        <f aca="false">SUMIFS(Data!$H$4:$H$2311,Data!$B$4:$B$2311,"Inedible Tallow",Data!$C$4:$C$2311,"Ireland",Data!$E$4:$E$2311,2026,Data!$F$4:$F$2311,4)</f>
        <v>0</v>
      </c>
      <c r="F103" s="12" t="n">
        <f aca="false">SUMIFS(Data!$H$4:$H$2311,Data!$B$4:$B$2311,"Inedible Tallow",Data!$C$4:$C$2311,"Ireland",Data!$E$4:$E$2311,2026,Data!$F$4:$F$2311,5)</f>
        <v>32.3471292076808</v>
      </c>
      <c r="G103" s="12" t="n">
        <f aca="false">SUMIFS(Data!$H$4:$H$2311,Data!$B$4:$B$2311,"Inedible Tallow",Data!$C$4:$C$2311,"Ireland",Data!$E$4:$E$2311,2026,Data!$F$4:$F$2311,6)</f>
        <v>0</v>
      </c>
      <c r="H103" s="12" t="n">
        <f aca="false">SUMIFS(Data!$H$4:$H$2311,Data!$B$4:$B$2311,"Inedible Tallow",Data!$C$4:$C$2311,"Ireland",Data!$E$4:$E$2311,2026,Data!$F$4:$F$2311,7)</f>
        <v>10.2005154980948</v>
      </c>
      <c r="I103" s="12" t="n">
        <f aca="false">SUMIFS(Data!$H$4:$H$2311,Data!$B$4:$B$2311,"Inedible Tallow",Data!$C$4:$C$2311,"Ireland",Data!$E$4:$E$2311,2026,Data!$F$4:$F$2311,8)</f>
        <v>0</v>
      </c>
      <c r="J103" s="12"/>
      <c r="K103" s="12"/>
      <c r="L103" s="12"/>
      <c r="M103" s="12"/>
      <c r="N103" s="13" t="n">
        <f aca="false">SUM(B103:M103)</f>
        <v>55.5531169980086</v>
      </c>
    </row>
    <row r="104" customFormat="false" ht="15" hidden="false" customHeight="false" outlineLevel="0" collapsed="false">
      <c r="A104" s="11" t="s">
        <v>190</v>
      </c>
      <c r="B104" s="12" t="n">
        <f aca="false">SUMIFS(Data!$H$4:$H$2311,Data!$B$4:$B$2311,"Inedible Tallow",Data!$C$4:$C$2311,"Uruguay",Data!$E$4:$E$2311,2026,Data!$F$4:$F$2311,1)</f>
        <v>0</v>
      </c>
      <c r="C104" s="12" t="n">
        <f aca="false">SUMIFS(Data!$H$4:$H$2311,Data!$B$4:$B$2311,"Inedible Tallow",Data!$C$4:$C$2311,"Uruguay",Data!$E$4:$E$2311,2026,Data!$F$4:$F$2311,2)</f>
        <v>0</v>
      </c>
      <c r="D104" s="12" t="n">
        <f aca="false">SUMIFS(Data!$H$4:$H$2311,Data!$B$4:$B$2311,"Inedible Tallow",Data!$C$4:$C$2311,"Uruguay",Data!$E$4:$E$2311,2026,Data!$F$4:$F$2311,3)</f>
        <v>4.44791432448725</v>
      </c>
      <c r="E104" s="12" t="n">
        <f aca="false">SUMIFS(Data!$H$4:$H$2311,Data!$B$4:$B$2311,"Inedible Tallow",Data!$C$4:$C$2311,"Uruguay",Data!$E$4:$E$2311,2026,Data!$F$4:$F$2311,4)</f>
        <v>0</v>
      </c>
      <c r="F104" s="12" t="n">
        <f aca="false">SUMIFS(Data!$H$4:$H$2311,Data!$B$4:$B$2311,"Inedible Tallow",Data!$C$4:$C$2311,"Uruguay",Data!$E$4:$E$2311,2026,Data!$F$4:$F$2311,5)</f>
        <v>13.6651769517275</v>
      </c>
      <c r="G104" s="12" t="n">
        <f aca="false">SUMIFS(Data!$H$4:$H$2311,Data!$B$4:$B$2311,"Inedible Tallow",Data!$C$4:$C$2311,"Uruguay",Data!$E$4:$E$2311,2026,Data!$F$4:$F$2311,6)</f>
        <v>0.935531609582048</v>
      </c>
      <c r="H104" s="12" t="n">
        <f aca="false">SUMIFS(Data!$H$4:$H$2311,Data!$B$4:$B$2311,"Inedible Tallow",Data!$C$4:$C$2311,"Uruguay",Data!$E$4:$E$2311,2026,Data!$F$4:$F$2311,7)</f>
        <v>33.3168964019575</v>
      </c>
      <c r="I104" s="12" t="n">
        <f aca="false">SUMIFS(Data!$H$4:$H$2311,Data!$B$4:$B$2311,"Inedible Tallow",Data!$C$4:$C$2311,"Uruguay",Data!$E$4:$E$2311,2026,Data!$F$4:$F$2311,8)</f>
        <v>1.47584052174505</v>
      </c>
      <c r="J104" s="12"/>
      <c r="K104" s="12"/>
      <c r="L104" s="12"/>
      <c r="M104" s="12"/>
      <c r="N104" s="13" t="n">
        <f aca="false">SUM(B104:M104)</f>
        <v>53.8413598094994</v>
      </c>
    </row>
    <row r="105" customFormat="false" ht="15" hidden="false" customHeight="false" outlineLevel="0" collapsed="false">
      <c r="A105" s="11" t="s">
        <v>47</v>
      </c>
      <c r="B105" s="12" t="n">
        <f aca="false">SUMIFS(Data!$H$4:$H$2311,Data!$B$4:$B$2311,"Inedible Tallow",Data!$C$4:$C$2311,"Mexico",Data!$E$4:$E$2311,2026,Data!$F$4:$F$2311,1)</f>
        <v>0</v>
      </c>
      <c r="C105" s="12" t="n">
        <f aca="false">SUMIFS(Data!$H$4:$H$2311,Data!$B$4:$B$2311,"Inedible Tallow",Data!$C$4:$C$2311,"Mexico",Data!$E$4:$E$2311,2026,Data!$F$4:$F$2311,2)</f>
        <v>0</v>
      </c>
      <c r="D105" s="12" t="n">
        <f aca="false">SUMIFS(Data!$H$4:$H$2311,Data!$B$4:$B$2311,"Inedible Tallow",Data!$C$4:$C$2311,"Mexico",Data!$E$4:$E$2311,2026,Data!$F$4:$F$2311,3)</f>
        <v>0</v>
      </c>
      <c r="E105" s="12" t="n">
        <f aca="false">SUMIFS(Data!$H$4:$H$2311,Data!$B$4:$B$2311,"Inedible Tallow",Data!$C$4:$C$2311,"Mexico",Data!$E$4:$E$2311,2026,Data!$F$4:$F$2311,4)</f>
        <v>0.907069931533964</v>
      </c>
      <c r="F105" s="12" t="n">
        <f aca="false">SUMIFS(Data!$H$4:$H$2311,Data!$B$4:$B$2311,"Inedible Tallow",Data!$C$4:$C$2311,"Mexico",Data!$E$4:$E$2311,2026,Data!$F$4:$F$2311,5)</f>
        <v>2.99760994657109</v>
      </c>
      <c r="G105" s="12" t="n">
        <f aca="false">SUMIFS(Data!$H$4:$H$2311,Data!$B$4:$B$2311,"Inedible Tallow",Data!$C$4:$C$2311,"Mexico",Data!$E$4:$E$2311,2026,Data!$F$4:$F$2311,6)</f>
        <v>6.69141105702833</v>
      </c>
      <c r="H105" s="12" t="n">
        <f aca="false">SUMIFS(Data!$H$4:$H$2311,Data!$B$4:$B$2311,"Inedible Tallow",Data!$C$4:$C$2311,"Mexico",Data!$E$4:$E$2311,2026,Data!$F$4:$F$2311,7)</f>
        <v>5.65720715276014</v>
      </c>
      <c r="I105" s="12" t="n">
        <f aca="false">SUMIFS(Data!$H$4:$H$2311,Data!$B$4:$B$2311,"Inedible Tallow",Data!$C$4:$C$2311,"Mexico",Data!$E$4:$E$2311,2026,Data!$F$4:$F$2311,8)</f>
        <v>6.72429520805584</v>
      </c>
      <c r="J105" s="12"/>
      <c r="K105" s="12"/>
      <c r="L105" s="12"/>
      <c r="M105" s="12"/>
      <c r="N105" s="13" t="n">
        <f aca="false">SUM(B105:M105)</f>
        <v>22.9775932959494</v>
      </c>
    </row>
    <row r="106" customFormat="false" ht="15" hidden="false" customHeight="false" outlineLevel="0" collapsed="false">
      <c r="A106" s="11" t="s">
        <v>93</v>
      </c>
      <c r="B106" s="12" t="n">
        <f aca="false">SUMIFS(Data!$H$4:$H$2311,Data!$B$4:$B$2311,"Inedible Tallow",Data!$C$4:$C$2311,"Paraguay",Data!$E$4:$E$2311,2026,Data!$F$4:$F$2311,1)</f>
        <v>0</v>
      </c>
      <c r="C106" s="12" t="n">
        <f aca="false">SUMIFS(Data!$H$4:$H$2311,Data!$B$4:$B$2311,"Inedible Tallow",Data!$C$4:$C$2311,"Paraguay",Data!$E$4:$E$2311,2026,Data!$F$4:$F$2311,2)</f>
        <v>0</v>
      </c>
      <c r="D106" s="12" t="n">
        <f aca="false">SUMIFS(Data!$H$4:$H$2311,Data!$B$4:$B$2311,"Inedible Tallow",Data!$C$4:$C$2311,"Paraguay",Data!$E$4:$E$2311,2026,Data!$F$4:$F$2311,3)</f>
        <v>0</v>
      </c>
      <c r="E106" s="12" t="n">
        <f aca="false">SUMIFS(Data!$H$4:$H$2311,Data!$B$4:$B$2311,"Inedible Tallow",Data!$C$4:$C$2311,"Paraguay",Data!$E$4:$E$2311,2026,Data!$F$4:$F$2311,4)</f>
        <v>0</v>
      </c>
      <c r="F106" s="12" t="n">
        <f aca="false">SUMIFS(Data!$H$4:$H$2311,Data!$B$4:$B$2311,"Inedible Tallow",Data!$C$4:$C$2311,"Paraguay",Data!$E$4:$E$2311,2026,Data!$F$4:$F$2311,5)</f>
        <v>4.59703279400656</v>
      </c>
      <c r="G106" s="12" t="n">
        <f aca="false">SUMIFS(Data!$H$4:$H$2311,Data!$B$4:$B$2311,"Inedible Tallow",Data!$C$4:$C$2311,"Paraguay",Data!$E$4:$E$2311,2026,Data!$F$4:$F$2311,6)</f>
        <v>0</v>
      </c>
      <c r="H106" s="12" t="n">
        <f aca="false">SUMIFS(Data!$H$4:$H$2311,Data!$B$4:$B$2311,"Inedible Tallow",Data!$C$4:$C$2311,"Paraguay",Data!$E$4:$E$2311,2026,Data!$F$4:$F$2311,7)</f>
        <v>0</v>
      </c>
      <c r="I106" s="12" t="n">
        <f aca="false">SUMIFS(Data!$H$4:$H$2311,Data!$B$4:$B$2311,"Inedible Tallow",Data!$C$4:$C$2311,"Paraguay",Data!$E$4:$E$2311,2026,Data!$F$4:$F$2311,8)</f>
        <v>4.95919717521097</v>
      </c>
      <c r="J106" s="12"/>
      <c r="K106" s="12"/>
      <c r="L106" s="12"/>
      <c r="M106" s="12"/>
      <c r="N106" s="13" t="n">
        <f aca="false">SUM(B106:M106)</f>
        <v>9.55622996921753</v>
      </c>
    </row>
    <row r="107" customFormat="false" ht="15" hidden="false" customHeight="false" outlineLevel="0" collapsed="false">
      <c r="A107" s="11" t="s">
        <v>51</v>
      </c>
      <c r="B107" s="12" t="n">
        <f aca="false">SUMIFS(Data!$H$4:$H$2311,Data!$B$4:$B$2311,"Inedible Tallow",Data!$C$4:$C$2311,"India",Data!$E$4:$E$2311,2026,Data!$F$4:$F$2311,1)</f>
        <v>0</v>
      </c>
      <c r="C107" s="12" t="n">
        <f aca="false">SUMIFS(Data!$H$4:$H$2311,Data!$B$4:$B$2311,"Inedible Tallow",Data!$C$4:$C$2311,"India",Data!$E$4:$E$2311,2026,Data!$F$4:$F$2311,2)</f>
        <v>0</v>
      </c>
      <c r="D107" s="12" t="n">
        <f aca="false">SUMIFS(Data!$H$4:$H$2311,Data!$B$4:$B$2311,"Inedible Tallow",Data!$C$4:$C$2311,"India",Data!$E$4:$E$2311,2026,Data!$F$4:$F$2311,3)</f>
        <v>0</v>
      </c>
      <c r="E107" s="12" t="n">
        <f aca="false">SUMIFS(Data!$H$4:$H$2311,Data!$B$4:$B$2311,"Inedible Tallow",Data!$C$4:$C$2311,"India",Data!$E$4:$E$2311,2026,Data!$F$4:$F$2311,4)</f>
        <v>2.90728214850865</v>
      </c>
      <c r="F107" s="12" t="n">
        <f aca="false">SUMIFS(Data!$H$4:$H$2311,Data!$B$4:$B$2311,"Inedible Tallow",Data!$C$4:$C$2311,"India",Data!$E$4:$E$2311,2026,Data!$F$4:$F$2311,5)</f>
        <v>0</v>
      </c>
      <c r="G107" s="12" t="n">
        <f aca="false">SUMIFS(Data!$H$4:$H$2311,Data!$B$4:$B$2311,"Inedible Tallow",Data!$C$4:$C$2311,"India",Data!$E$4:$E$2311,2026,Data!$F$4:$F$2311,6)</f>
        <v>0</v>
      </c>
      <c r="H107" s="12" t="n">
        <f aca="false">SUMIFS(Data!$H$4:$H$2311,Data!$B$4:$B$2311,"Inedible Tallow",Data!$C$4:$C$2311,"India",Data!$E$4:$E$2311,2026,Data!$F$4:$F$2311,7)</f>
        <v>0</v>
      </c>
      <c r="I107" s="12" t="n">
        <f aca="false">SUMIFS(Data!$H$4:$H$2311,Data!$B$4:$B$2311,"Inedible Tallow",Data!$C$4:$C$2311,"India",Data!$E$4:$E$2311,2026,Data!$F$4:$F$2311,8)</f>
        <v>0</v>
      </c>
      <c r="J107" s="12"/>
      <c r="K107" s="12"/>
      <c r="L107" s="12"/>
      <c r="M107" s="12"/>
      <c r="N107" s="13" t="n">
        <f aca="false">SUM(B107:M107)</f>
        <v>2.90728214850865</v>
      </c>
    </row>
    <row r="108" customFormat="false" ht="15" hidden="false" customHeight="false" outlineLevel="0" collapsed="false">
      <c r="A108" s="11" t="s">
        <v>112</v>
      </c>
      <c r="B108" s="12" t="n">
        <f aca="false">SUMIFS(Data!$H$4:$H$2311,Data!$B$4:$B$2311,"Inedible Tallow",Data!$C$4:$C$2311,"Costa Rica",Data!$E$4:$E$2311,2026,Data!$F$4:$F$2311,1)</f>
        <v>0.093696461428625</v>
      </c>
      <c r="C108" s="12" t="n">
        <f aca="false">SUMIFS(Data!$H$4:$H$2311,Data!$B$4:$B$2311,"Inedible Tallow",Data!$C$4:$C$2311,"Costa Rica",Data!$E$4:$E$2311,2026,Data!$F$4:$F$2311,2)</f>
        <v>0</v>
      </c>
      <c r="D108" s="12" t="n">
        <f aca="false">SUMIFS(Data!$H$4:$H$2311,Data!$B$4:$B$2311,"Inedible Tallow",Data!$C$4:$C$2311,"Costa Rica",Data!$E$4:$E$2311,2026,Data!$F$4:$F$2311,3)</f>
        <v>0.0921752718195485</v>
      </c>
      <c r="E108" s="12" t="n">
        <f aca="false">SUMIFS(Data!$H$4:$H$2311,Data!$B$4:$B$2311,"Inedible Tallow",Data!$C$4:$C$2311,"Costa Rica",Data!$E$4:$E$2311,2026,Data!$F$4:$F$2311,4)</f>
        <v>0.191912399232042</v>
      </c>
      <c r="F108" s="12" t="n">
        <f aca="false">SUMIFS(Data!$H$4:$H$2311,Data!$B$4:$B$2311,"Inedible Tallow",Data!$C$4:$C$2311,"Costa Rica",Data!$E$4:$E$2311,2026,Data!$F$4:$F$2311,5)</f>
        <v>0.238892907303666</v>
      </c>
      <c r="G108" s="12" t="n">
        <f aca="false">SUMIFS(Data!$H$4:$H$2311,Data!$B$4:$B$2311,"Inedible Tallow",Data!$C$4:$C$2311,"Costa Rica",Data!$E$4:$E$2311,2026,Data!$F$4:$F$2311,6)</f>
        <v>0.626024639700526</v>
      </c>
      <c r="H108" s="12" t="n">
        <f aca="false">SUMIFS(Data!$H$4:$H$2311,Data!$B$4:$B$2311,"Inedible Tallow",Data!$C$4:$C$2311,"Costa Rica",Data!$E$4:$E$2311,2026,Data!$F$4:$F$2311,7)</f>
        <v>0.408362248245276</v>
      </c>
      <c r="I108" s="12" t="n">
        <f aca="false">SUMIFS(Data!$H$4:$H$2311,Data!$B$4:$B$2311,"Inedible Tallow",Data!$C$4:$C$2311,"Costa Rica",Data!$E$4:$E$2311,2026,Data!$F$4:$F$2311,8)</f>
        <v>0.364732766558864</v>
      </c>
      <c r="J108" s="12"/>
      <c r="K108" s="12"/>
      <c r="L108" s="12"/>
      <c r="M108" s="12"/>
      <c r="N108" s="13" t="n">
        <f aca="false">SUM(B108:M108)</f>
        <v>2.01579669428855</v>
      </c>
    </row>
    <row r="109" customFormat="false" ht="15" hidden="false" customHeight="false" outlineLevel="0" collapsed="false">
      <c r="A109" s="11" t="s">
        <v>156</v>
      </c>
      <c r="B109" s="12" t="n">
        <f aca="false">SUMIFS(Data!$H$4:$H$2311,Data!$B$4:$B$2311,"Inedible Tallow",Data!$C$4:$C$2311,"Turkey",Data!$E$4:$E$2311,2026,Data!$F$4:$F$2311,1)</f>
        <v>0</v>
      </c>
      <c r="C109" s="12" t="n">
        <f aca="false">SUMIFS(Data!$H$4:$H$2311,Data!$B$4:$B$2311,"Inedible Tallow",Data!$C$4:$C$2311,"Turkey",Data!$E$4:$E$2311,2026,Data!$F$4:$F$2311,2)</f>
        <v>0</v>
      </c>
      <c r="D109" s="12" t="n">
        <f aca="false">SUMIFS(Data!$H$4:$H$2311,Data!$B$4:$B$2311,"Inedible Tallow",Data!$C$4:$C$2311,"Turkey",Data!$E$4:$E$2311,2026,Data!$F$4:$F$2311,3)</f>
        <v>0</v>
      </c>
      <c r="E109" s="12" t="n">
        <f aca="false">SUMIFS(Data!$H$4:$H$2311,Data!$B$4:$B$2311,"Inedible Tallow",Data!$C$4:$C$2311,"Turkey",Data!$E$4:$E$2311,2026,Data!$F$4:$F$2311,4)</f>
        <v>0</v>
      </c>
      <c r="F109" s="12" t="n">
        <f aca="false">SUMIFS(Data!$H$4:$H$2311,Data!$B$4:$B$2311,"Inedible Tallow",Data!$C$4:$C$2311,"Turkey",Data!$E$4:$E$2311,2026,Data!$F$4:$F$2311,5)</f>
        <v>0</v>
      </c>
      <c r="G109" s="12" t="n">
        <f aca="false">SUMIFS(Data!$H$4:$H$2311,Data!$B$4:$B$2311,"Inedible Tallow",Data!$C$4:$C$2311,"Turkey",Data!$E$4:$E$2311,2026,Data!$F$4:$F$2311,6)</f>
        <v>0</v>
      </c>
      <c r="H109" s="12" t="n">
        <f aca="false">SUMIFS(Data!$H$4:$H$2311,Data!$B$4:$B$2311,"Inedible Tallow",Data!$C$4:$C$2311,"Turkey",Data!$E$4:$E$2311,2026,Data!$F$4:$F$2311,7)</f>
        <v>1.10354589959324</v>
      </c>
      <c r="I109" s="12" t="n">
        <f aca="false">SUMIFS(Data!$H$4:$H$2311,Data!$B$4:$B$2311,"Inedible Tallow",Data!$C$4:$C$2311,"Turkey",Data!$E$4:$E$2311,2026,Data!$F$4:$F$2311,8)</f>
        <v>0</v>
      </c>
      <c r="J109" s="12"/>
      <c r="K109" s="12"/>
      <c r="L109" s="12"/>
      <c r="M109" s="12"/>
      <c r="N109" s="13" t="n">
        <f aca="false">SUM(B109:M109)</f>
        <v>1.10354589959324</v>
      </c>
    </row>
    <row r="110" customFormat="false" ht="15" hidden="false" customHeight="false" outlineLevel="0" collapsed="false">
      <c r="A110" s="11" t="s">
        <v>67</v>
      </c>
      <c r="B110" s="12" t="n">
        <f aca="false">SUMIFS(Data!$H$4:$H$2311,Data!$B$4:$B$2311,"Inedible Tallow",Data!$C$4:$C$2311,"Japan",Data!$E$4:$E$2311,2026,Data!$F$4:$F$2311,1)</f>
        <v>0</v>
      </c>
      <c r="C110" s="12" t="n">
        <f aca="false">SUMIFS(Data!$H$4:$H$2311,Data!$B$4:$B$2311,"Inedible Tallow",Data!$C$4:$C$2311,"Japan",Data!$E$4:$E$2311,2026,Data!$F$4:$F$2311,2)</f>
        <v>0</v>
      </c>
      <c r="D110" s="12" t="n">
        <f aca="false">SUMIFS(Data!$H$4:$H$2311,Data!$B$4:$B$2311,"Inedible Tallow",Data!$C$4:$C$2311,"Japan",Data!$E$4:$E$2311,2026,Data!$F$4:$F$2311,3)</f>
        <v>0</v>
      </c>
      <c r="E110" s="12" t="n">
        <f aca="false">SUMIFS(Data!$H$4:$H$2311,Data!$B$4:$B$2311,"Inedible Tallow",Data!$C$4:$C$2311,"Japan",Data!$E$4:$E$2311,2026,Data!$F$4:$F$2311,4)</f>
        <v>0</v>
      </c>
      <c r="F110" s="12" t="n">
        <f aca="false">SUMIFS(Data!$H$4:$H$2311,Data!$B$4:$B$2311,"Inedible Tallow",Data!$C$4:$C$2311,"Japan",Data!$E$4:$E$2311,2026,Data!$F$4:$F$2311,5)</f>
        <v>0</v>
      </c>
      <c r="G110" s="12" t="n">
        <f aca="false">SUMIFS(Data!$H$4:$H$2311,Data!$B$4:$B$2311,"Inedible Tallow",Data!$C$4:$C$2311,"Japan",Data!$E$4:$E$2311,2026,Data!$F$4:$F$2311,6)</f>
        <v>0.0608828583250096</v>
      </c>
      <c r="H110" s="12" t="n">
        <f aca="false">SUMIFS(Data!$H$4:$H$2311,Data!$B$4:$B$2311,"Inedible Tallow",Data!$C$4:$C$2311,"Japan",Data!$E$4:$E$2311,2026,Data!$F$4:$F$2311,7)</f>
        <v>0.00059745273052135</v>
      </c>
      <c r="I110" s="12" t="n">
        <f aca="false">SUMIFS(Data!$H$4:$H$2311,Data!$B$4:$B$2311,"Inedible Tallow",Data!$C$4:$C$2311,"Japan",Data!$E$4:$E$2311,2026,Data!$F$4:$F$2311,8)</f>
        <v>0</v>
      </c>
      <c r="J110" s="12"/>
      <c r="K110" s="12"/>
      <c r="L110" s="12"/>
      <c r="M110" s="12"/>
      <c r="N110" s="13" t="n">
        <f aca="false">SUM(B110:M110)</f>
        <v>0.061480311055531</v>
      </c>
    </row>
    <row r="111" customFormat="false" ht="15" hidden="false" customHeight="false" outlineLevel="0" collapsed="false">
      <c r="A111" s="11" t="s">
        <v>70</v>
      </c>
      <c r="B111" s="12" t="n">
        <f aca="false">SUMIFS(Data!$H$4:$H$2311,Data!$B$4:$B$2311,"Inedible Tallow",Data!$C$4:$C$2311,"Sweden",Data!$E$4:$E$2311,2026,Data!$F$4:$F$2311,1)</f>
        <v>0.0002425084884035</v>
      </c>
      <c r="C111" s="12" t="n">
        <f aca="false">SUMIFS(Data!$H$4:$H$2311,Data!$B$4:$B$2311,"Inedible Tallow",Data!$C$4:$C$2311,"Sweden",Data!$E$4:$E$2311,2026,Data!$F$4:$F$2311,2)</f>
        <v>0.00023148537529425</v>
      </c>
      <c r="D111" s="12" t="n">
        <f aca="false">SUMIFS(Data!$H$4:$H$2311,Data!$B$4:$B$2311,"Inedible Tallow",Data!$C$4:$C$2311,"Sweden",Data!$E$4:$E$2311,2026,Data!$F$4:$F$2311,3)</f>
        <v>0.0002866009408405</v>
      </c>
      <c r="E111" s="12" t="n">
        <f aca="false">SUMIFS(Data!$H$4:$H$2311,Data!$B$4:$B$2311,"Inedible Tallow",Data!$C$4:$C$2311,"Sweden",Data!$E$4:$E$2311,2026,Data!$F$4:$F$2311,4)</f>
        <v>0.0002557362241346</v>
      </c>
      <c r="F111" s="12" t="n">
        <f aca="false">SUMIFS(Data!$H$4:$H$2311,Data!$B$4:$B$2311,"Inedible Tallow",Data!$C$4:$C$2311,"Sweden",Data!$E$4:$E$2311,2026,Data!$F$4:$F$2311,5)</f>
        <v>0.0004188782981515</v>
      </c>
      <c r="G111" s="12" t="n">
        <f aca="false">SUMIFS(Data!$H$4:$H$2311,Data!$B$4:$B$2311,"Inedible Tallow",Data!$C$4:$C$2311,"Sweden",Data!$E$4:$E$2311,2026,Data!$F$4:$F$2311,6)</f>
        <v>0.0005158816935129</v>
      </c>
      <c r="H111" s="12" t="n">
        <f aca="false">SUMIFS(Data!$H$4:$H$2311,Data!$B$4:$B$2311,"Inedible Tallow",Data!$C$4:$C$2311,"Sweden",Data!$E$4:$E$2311,2026,Data!$F$4:$F$2311,7)</f>
        <v>0.0004982447125381</v>
      </c>
      <c r="I111" s="12" t="n">
        <f aca="false">SUMIFS(Data!$H$4:$H$2311,Data!$B$4:$B$2311,"Inedible Tallow",Data!$C$4:$C$2311,"Sweden",Data!$E$4:$E$2311,2026,Data!$F$4:$F$2311,8)</f>
        <v>0.000264554714622</v>
      </c>
      <c r="J111" s="12"/>
      <c r="K111" s="12"/>
      <c r="L111" s="12"/>
      <c r="M111" s="12"/>
      <c r="N111" s="13" t="n">
        <f aca="false">SUM(B111:M111)</f>
        <v>0.00271389044749735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8.5"/>
    <col collapsed="false" customWidth="true" hidden="false" outlineLevel="0" max="17" min="17" style="0" width="7"/>
  </cols>
  <sheetData>
    <row r="1" customFormat="false" ht="15" hidden="false" customHeight="false" outlineLevel="0" collapsed="false">
      <c r="A1" s="7" t="s">
        <v>193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15" hidden="false" customHeight="false" outlineLevel="0" collapsed="false">
      <c r="A3" s="8"/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Q3" s="6" t="s">
        <v>34</v>
      </c>
    </row>
    <row r="4" customFormat="false" ht="15" hidden="false" customHeight="false" outlineLevel="0" collapsed="false">
      <c r="A4" s="10" t="s">
        <v>35</v>
      </c>
      <c r="B4" s="10" t="n">
        <f aca="false">SUM(B5:B6)</f>
        <v>0.98482256216137</v>
      </c>
      <c r="C4" s="10" t="n">
        <f aca="false">SUM(C5:C6)</f>
        <v>0.877497123684468</v>
      </c>
      <c r="D4" s="10" t="n">
        <f aca="false">SUM(D5:D6)</f>
        <v>1.00535200801604</v>
      </c>
      <c r="E4" s="10" t="n">
        <f aca="false">SUM(E5:E6)</f>
        <v>1.92555267188574</v>
      </c>
      <c r="F4" s="10" t="n">
        <f aca="false">SUM(F5:F6)</f>
        <v>2.25021642229248</v>
      </c>
      <c r="G4" s="10" t="n">
        <f aca="false">SUM(G5:G6)</f>
        <v>1.07959708405208</v>
      </c>
      <c r="H4" s="10" t="n">
        <f aca="false">SUM(H5:H6)</f>
        <v>1.28950802236891</v>
      </c>
      <c r="I4" s="10" t="n">
        <f aca="false">SUM(I5:I6)</f>
        <v>3.31484852798744</v>
      </c>
      <c r="J4" s="10" t="n">
        <f aca="false">SUM(J5:J6)</f>
        <v>3.24100469326858</v>
      </c>
      <c r="K4" s="10" t="n">
        <f aca="false">SUM(K5:K6)</f>
        <v>4.01611252852646</v>
      </c>
      <c r="L4" s="10" t="n">
        <f aca="false">SUM(L5:L6)</f>
        <v>2.07476594017779</v>
      </c>
      <c r="M4" s="10" t="n">
        <f aca="false">SUM(M5:M6)</f>
        <v>2.03573089203532</v>
      </c>
      <c r="N4" s="10" t="n">
        <f aca="false">SUM(B4:M4)</f>
        <v>24.0950084764567</v>
      </c>
      <c r="Q4" s="6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</row>
    <row r="5" customFormat="false" ht="15" hidden="false" customHeight="false" outlineLevel="0" collapsed="false">
      <c r="A5" s="11" t="s">
        <v>43</v>
      </c>
      <c r="B5" s="12" t="n">
        <f aca="false">SUMIFS(Data!$H$4:$H$2311,Data!$B$4:$B$2311,"Edible Tallow",Data!$C$4:$C$2311,"Canada",Data!$E$4:$E$2311,2020,Data!$F$4:$F$2311,1)</f>
        <v>0.98482256216137</v>
      </c>
      <c r="C5" s="12" t="n">
        <f aca="false">SUMIFS(Data!$H$4:$H$2311,Data!$B$4:$B$2311,"Edible Tallow",Data!$C$4:$C$2311,"Canada",Data!$E$4:$E$2311,2020,Data!$F$4:$F$2311,2)</f>
        <v>0.877497123684468</v>
      </c>
      <c r="D5" s="12" t="n">
        <f aca="false">SUMIFS(Data!$H$4:$H$2311,Data!$B$4:$B$2311,"Edible Tallow",Data!$C$4:$C$2311,"Canada",Data!$E$4:$E$2311,2020,Data!$F$4:$F$2311,3)</f>
        <v>1.00535200801604</v>
      </c>
      <c r="E5" s="12" t="n">
        <f aca="false">SUMIFS(Data!$H$4:$H$2311,Data!$B$4:$B$2311,"Edible Tallow",Data!$C$4:$C$2311,"Canada",Data!$E$4:$E$2311,2020,Data!$F$4:$F$2311,4)</f>
        <v>1.92555267188574</v>
      </c>
      <c r="F5" s="12" t="n">
        <f aca="false">SUMIFS(Data!$H$4:$H$2311,Data!$B$4:$B$2311,"Edible Tallow",Data!$C$4:$C$2311,"Canada",Data!$E$4:$E$2311,2020,Data!$F$4:$F$2311,5)</f>
        <v>2.25021642229248</v>
      </c>
      <c r="G5" s="12" t="n">
        <f aca="false">SUMIFS(Data!$H$4:$H$2311,Data!$B$4:$B$2311,"Edible Tallow",Data!$C$4:$C$2311,"Canada",Data!$E$4:$E$2311,2020,Data!$F$4:$F$2311,6)</f>
        <v>1.03621011085407</v>
      </c>
      <c r="H5" s="12" t="n">
        <f aca="false">SUMIFS(Data!$H$4:$H$2311,Data!$B$4:$B$2311,"Edible Tallow",Data!$C$4:$C$2311,"Canada",Data!$E$4:$E$2311,2020,Data!$F$4:$F$2311,7)</f>
        <v>1.28950802236891</v>
      </c>
      <c r="I5" s="12" t="n">
        <f aca="false">SUMIFS(Data!$H$4:$H$2311,Data!$B$4:$B$2311,"Edible Tallow",Data!$C$4:$C$2311,"Canada",Data!$E$4:$E$2311,2020,Data!$F$4:$F$2311,8)</f>
        <v>3.31484852798744</v>
      </c>
      <c r="J5" s="12" t="n">
        <f aca="false">SUMIFS(Data!$H$4:$H$2311,Data!$B$4:$B$2311,"Edible Tallow",Data!$C$4:$C$2311,"Canada",Data!$E$4:$E$2311,2020,Data!$F$4:$F$2311,9)</f>
        <v>3.24100469326858</v>
      </c>
      <c r="K5" s="12" t="n">
        <f aca="false">SUMIFS(Data!$H$4:$H$2311,Data!$B$4:$B$2311,"Edible Tallow",Data!$C$4:$C$2311,"Canada",Data!$E$4:$E$2311,2020,Data!$F$4:$F$2311,10)</f>
        <v>4.01611252852646</v>
      </c>
      <c r="L5" s="12" t="n">
        <f aca="false">SUMIFS(Data!$H$4:$H$2311,Data!$B$4:$B$2311,"Edible Tallow",Data!$C$4:$C$2311,"Canada",Data!$E$4:$E$2311,2020,Data!$F$4:$F$2311,11)</f>
        <v>2.07476594017779</v>
      </c>
      <c r="M5" s="12" t="n">
        <f aca="false">SUMIFS(Data!$H$4:$H$2311,Data!$B$4:$B$2311,"Edible Tallow",Data!$C$4:$C$2311,"Canada",Data!$E$4:$E$2311,2020,Data!$F$4:$F$2311,12)</f>
        <v>2.03573089203532</v>
      </c>
      <c r="N5" s="13" t="n">
        <f aca="false">SUM(B5:M5)</f>
        <v>24.0516215032587</v>
      </c>
      <c r="Q5" s="4" t="s">
        <v>44</v>
      </c>
      <c r="R5" s="5" t="n">
        <f aca="false">SUMIFS(Data!$H$4:$H$2311,Data!$B$4:$B$2311,"Edible Tallow",Data!$C$4:$C$2311,"World Total",Data!$E$4:$E$2311,2020,Data!$F$4:$F$2311,10)</f>
        <v>4.01611252852646</v>
      </c>
      <c r="S5" s="5" t="n">
        <f aca="false">SUMIFS(Data!$H$4:$H$2311,Data!$B$4:$B$2311,"Edible Tallow",Data!$C$4:$C$2311,"World Total",Data!$E$4:$E$2311,2021,Data!$F$4:$F$2311,10)</f>
        <v>5.30919424416539</v>
      </c>
      <c r="T5" s="5" t="n">
        <f aca="false">SUMIFS(Data!$H$4:$H$2311,Data!$B$4:$B$2311,"Edible Tallow",Data!$C$4:$C$2311,"World Total",Data!$E$4:$E$2311,2022,Data!$F$4:$F$2311,10)</f>
        <v>9.6390840965919</v>
      </c>
      <c r="U5" s="5" t="n">
        <f aca="false">SUMIFS(Data!$H$4:$H$2311,Data!$B$4:$B$2311,"Edible Tallow",Data!$C$4:$C$2311,"World Total",Data!$E$4:$E$2311,2023,Data!$F$4:$F$2311,10)</f>
        <v>1.26133514988428</v>
      </c>
      <c r="V5" s="5" t="n">
        <f aca="false">SUMIFS(Data!$H$4:$H$2311,Data!$B$4:$B$2311,"Edible Tallow",Data!$C$4:$C$2311,"World Total",Data!$E$4:$E$2311,2024,Data!$F$4:$F$2311,10)</f>
        <v>1.27809689567821</v>
      </c>
      <c r="W5" s="5" t="n">
        <f aca="false">SUMIFS(Data!$H$4:$H$2311,Data!$B$4:$B$2311,"Edible Tallow",Data!$C$4:$C$2311,"World Total",Data!$E$4:$E$2311,2025,Data!$F$4:$F$2311,10)</f>
        <v>5.09183168138671</v>
      </c>
    </row>
    <row r="6" customFormat="false" ht="15" hidden="false" customHeight="false" outlineLevel="0" collapsed="false">
      <c r="A6" s="11" t="s">
        <v>78</v>
      </c>
      <c r="B6" s="12" t="n">
        <f aca="false">SUMIFS(Data!$H$4:$H$2311,Data!$B$4:$B$2311,"Edible Tallow",Data!$C$4:$C$2311,"New Zealand",Data!$E$4:$E$2311,2020,Data!$F$4:$F$2311,1)</f>
        <v>0</v>
      </c>
      <c r="C6" s="12" t="n">
        <f aca="false">SUMIFS(Data!$H$4:$H$2311,Data!$B$4:$B$2311,"Edible Tallow",Data!$C$4:$C$2311,"New Zealand",Data!$E$4:$E$2311,2020,Data!$F$4:$F$2311,2)</f>
        <v>0</v>
      </c>
      <c r="D6" s="12" t="n">
        <f aca="false">SUMIFS(Data!$H$4:$H$2311,Data!$B$4:$B$2311,"Edible Tallow",Data!$C$4:$C$2311,"New Zealand",Data!$E$4:$E$2311,2020,Data!$F$4:$F$2311,3)</f>
        <v>0</v>
      </c>
      <c r="E6" s="12" t="n">
        <f aca="false">SUMIFS(Data!$H$4:$H$2311,Data!$B$4:$B$2311,"Edible Tallow",Data!$C$4:$C$2311,"New Zealand",Data!$E$4:$E$2311,2020,Data!$F$4:$F$2311,4)</f>
        <v>0</v>
      </c>
      <c r="F6" s="12" t="n">
        <f aca="false">SUMIFS(Data!$H$4:$H$2311,Data!$B$4:$B$2311,"Edible Tallow",Data!$C$4:$C$2311,"New Zealand",Data!$E$4:$E$2311,2020,Data!$F$4:$F$2311,5)</f>
        <v>0</v>
      </c>
      <c r="G6" s="12" t="n">
        <f aca="false">SUMIFS(Data!$H$4:$H$2311,Data!$B$4:$B$2311,"Edible Tallow",Data!$C$4:$C$2311,"New Zealand",Data!$E$4:$E$2311,2020,Data!$F$4:$F$2311,6)</f>
        <v>0.043386973198008</v>
      </c>
      <c r="H6" s="12" t="n">
        <f aca="false">SUMIFS(Data!$H$4:$H$2311,Data!$B$4:$B$2311,"Edible Tallow",Data!$C$4:$C$2311,"New Zealand",Data!$E$4:$E$2311,2020,Data!$F$4:$F$2311,7)</f>
        <v>0</v>
      </c>
      <c r="I6" s="12" t="n">
        <f aca="false">SUMIFS(Data!$H$4:$H$2311,Data!$B$4:$B$2311,"Edible Tallow",Data!$C$4:$C$2311,"New Zealand",Data!$E$4:$E$2311,2020,Data!$F$4:$F$2311,8)</f>
        <v>0</v>
      </c>
      <c r="J6" s="12" t="n">
        <f aca="false">SUMIFS(Data!$H$4:$H$2311,Data!$B$4:$B$2311,"Edible Tallow",Data!$C$4:$C$2311,"New Zealand",Data!$E$4:$E$2311,2020,Data!$F$4:$F$2311,9)</f>
        <v>0</v>
      </c>
      <c r="K6" s="12" t="n">
        <f aca="false">SUMIFS(Data!$H$4:$H$2311,Data!$B$4:$B$2311,"Edible Tallow",Data!$C$4:$C$2311,"New Zealand",Data!$E$4:$E$2311,2020,Data!$F$4:$F$2311,10)</f>
        <v>0</v>
      </c>
      <c r="L6" s="12" t="n">
        <f aca="false">SUMIFS(Data!$H$4:$H$2311,Data!$B$4:$B$2311,"Edible Tallow",Data!$C$4:$C$2311,"New Zealand",Data!$E$4:$E$2311,2020,Data!$F$4:$F$2311,11)</f>
        <v>0</v>
      </c>
      <c r="M6" s="12" t="n">
        <f aca="false">SUMIFS(Data!$H$4:$H$2311,Data!$B$4:$B$2311,"Edible Tallow",Data!$C$4:$C$2311,"New Zealand",Data!$E$4:$E$2311,2020,Data!$F$4:$F$2311,12)</f>
        <v>0</v>
      </c>
      <c r="N6" s="13" t="n">
        <f aca="false">SUM(B6:M6)</f>
        <v>0.043386973198008</v>
      </c>
      <c r="Q6" s="4" t="s">
        <v>46</v>
      </c>
      <c r="R6" s="5" t="n">
        <f aca="false">SUMIFS(Data!$H$4:$H$2311,Data!$B$4:$B$2311,"Edible Tallow",Data!$C$4:$C$2311,"World Total",Data!$E$4:$E$2311,2020,Data!$F$4:$F$2311,11)</f>
        <v>2.07476594017779</v>
      </c>
      <c r="S6" s="5" t="n">
        <f aca="false">SUMIFS(Data!$H$4:$H$2311,Data!$B$4:$B$2311,"Edible Tallow",Data!$C$4:$C$2311,"World Total",Data!$E$4:$E$2311,2021,Data!$F$4:$F$2311,11)</f>
        <v>6.70333145154467</v>
      </c>
      <c r="T6" s="5" t="n">
        <f aca="false">SUMIFS(Data!$H$4:$H$2311,Data!$B$4:$B$2311,"Edible Tallow",Data!$C$4:$C$2311,"World Total",Data!$E$4:$E$2311,2022,Data!$F$4:$F$2311,11)</f>
        <v>6.38464884231101</v>
      </c>
      <c r="U6" s="5" t="n">
        <f aca="false">SUMIFS(Data!$H$4:$H$2311,Data!$B$4:$B$2311,"Edible Tallow",Data!$C$4:$C$2311,"World Total",Data!$E$4:$E$2311,2023,Data!$F$4:$F$2311,11)</f>
        <v>5.10491170740215</v>
      </c>
      <c r="V6" s="5" t="n">
        <f aca="false">SUMIFS(Data!$H$4:$H$2311,Data!$B$4:$B$2311,"Edible Tallow",Data!$C$4:$C$2311,"World Total",Data!$E$4:$E$2311,2024,Data!$F$4:$F$2311,11)</f>
        <v>1.50285155810795</v>
      </c>
      <c r="W6" s="5" t="n">
        <f aca="false">SUMIFS(Data!$H$4:$H$2311,Data!$B$4:$B$2311,"Edible Tallow",Data!$C$4:$C$2311,"World Total",Data!$E$4:$E$2311,2025,Data!$F$4:$F$2311,11)</f>
        <v>7.87954171275409</v>
      </c>
    </row>
    <row r="7" customFormat="false" ht="15" hidden="false" customHeight="false" outlineLevel="0" collapsed="false">
      <c r="Q7" s="4" t="s">
        <v>48</v>
      </c>
      <c r="R7" s="5" t="n">
        <f aca="false">SUMIFS(Data!$H$4:$H$2311,Data!$B$4:$B$2311,"Edible Tallow",Data!$C$4:$C$2311,"World Total",Data!$E$4:$E$2311,2020,Data!$F$4:$F$2311,12)</f>
        <v>2.03573089203532</v>
      </c>
      <c r="S7" s="5" t="n">
        <f aca="false">SUMIFS(Data!$H$4:$H$2311,Data!$B$4:$B$2311,"Edible Tallow",Data!$C$4:$C$2311,"World Total",Data!$E$4:$E$2311,2021,Data!$F$4:$F$2311,12)</f>
        <v>3.21175596494449</v>
      </c>
      <c r="T7" s="5" t="n">
        <f aca="false">SUMIFS(Data!$H$4:$H$2311,Data!$B$4:$B$2311,"Edible Tallow",Data!$C$4:$C$2311,"World Total",Data!$E$4:$E$2311,2022,Data!$F$4:$F$2311,12)</f>
        <v>4.07246488736357</v>
      </c>
      <c r="U7" s="5" t="n">
        <f aca="false">SUMIFS(Data!$H$4:$H$2311,Data!$B$4:$B$2311,"Edible Tallow",Data!$C$4:$C$2311,"World Total",Data!$E$4:$E$2311,2023,Data!$F$4:$F$2311,12)</f>
        <v>1.5580376715781</v>
      </c>
      <c r="V7" s="5" t="n">
        <f aca="false">SUMIFS(Data!$H$4:$H$2311,Data!$B$4:$B$2311,"Edible Tallow",Data!$C$4:$C$2311,"World Total",Data!$E$4:$E$2311,2024,Data!$F$4:$F$2311,12)</f>
        <v>1.1931902646429</v>
      </c>
      <c r="W7" s="5" t="n">
        <f aca="false">SUMIFS(Data!$H$4:$H$2311,Data!$B$4:$B$2311,"Edible Tallow",Data!$C$4:$C$2311,"World Total",Data!$E$4:$E$2311,2025,Data!$F$4:$F$2311,12)</f>
        <v>4.7555275235366</v>
      </c>
    </row>
    <row r="8" customFormat="false" ht="15" hidden="false" customHeight="false" outlineLevel="0" collapsed="false">
      <c r="A8" s="8"/>
      <c r="B8" s="9" t="s">
        <v>80</v>
      </c>
      <c r="C8" s="9" t="s">
        <v>81</v>
      </c>
      <c r="D8" s="9" t="s">
        <v>82</v>
      </c>
      <c r="E8" s="9" t="s">
        <v>83</v>
      </c>
      <c r="F8" s="9" t="s">
        <v>84</v>
      </c>
      <c r="G8" s="9" t="s">
        <v>85</v>
      </c>
      <c r="H8" s="9" t="s">
        <v>86</v>
      </c>
      <c r="I8" s="9" t="s">
        <v>87</v>
      </c>
      <c r="J8" s="9" t="s">
        <v>88</v>
      </c>
      <c r="K8" s="9" t="s">
        <v>89</v>
      </c>
      <c r="L8" s="9" t="s">
        <v>90</v>
      </c>
      <c r="M8" s="9" t="s">
        <v>91</v>
      </c>
      <c r="N8" s="9" t="s">
        <v>33</v>
      </c>
      <c r="Q8" s="4" t="s">
        <v>50</v>
      </c>
      <c r="R8" s="5" t="n">
        <f aca="false">SUMIFS(Data!$H$4:$H$2311,Data!$B$4:$B$2311,"Edible Tallow",Data!$C$4:$C$2311,"World Total",Data!$E$4:$E$2311,2021,Data!$F$4:$F$2311,1)</f>
        <v>0.284517572462852</v>
      </c>
      <c r="S8" s="5" t="n">
        <f aca="false">SUMIFS(Data!$H$4:$H$2311,Data!$B$4:$B$2311,"Edible Tallow",Data!$C$4:$C$2311,"World Total",Data!$E$4:$E$2311,2022,Data!$F$4:$F$2311,1)</f>
        <v>1.61560918672509</v>
      </c>
      <c r="T8" s="5" t="n">
        <f aca="false">SUMIFS(Data!$H$4:$H$2311,Data!$B$4:$B$2311,"Edible Tallow",Data!$C$4:$C$2311,"World Total",Data!$E$4:$E$2311,2023,Data!$F$4:$F$2311,1)</f>
        <v>5.83886364755534</v>
      </c>
      <c r="U8" s="5" t="n">
        <f aca="false">SUMIFS(Data!$H$4:$H$2311,Data!$B$4:$B$2311,"Edible Tallow",Data!$C$4:$C$2311,"World Total",Data!$E$4:$E$2311,2024,Data!$F$4:$F$2311,1)</f>
        <v>1.34462358791516</v>
      </c>
      <c r="V8" s="5" t="n">
        <f aca="false">SUMIFS(Data!$H$4:$H$2311,Data!$B$4:$B$2311,"Edible Tallow",Data!$C$4:$C$2311,"World Total",Data!$E$4:$E$2311,2025,Data!$F$4:$F$2311,1)</f>
        <v>1.49254715197342</v>
      </c>
      <c r="W8" s="5" t="n">
        <f aca="false">SUMIFS(Data!$H$4:$H$2311,Data!$B$4:$B$2311,"Edible Tallow",Data!$C$4:$C$2311,"World Total",Data!$E$4:$E$2311,2026,Data!$F$4:$F$2311,1)</f>
        <v>6.45933043362618</v>
      </c>
    </row>
    <row r="9" customFormat="false" ht="15" hidden="false" customHeight="false" outlineLevel="0" collapsed="false">
      <c r="A9" s="10" t="s">
        <v>35</v>
      </c>
      <c r="B9" s="10" t="n">
        <f aca="false">SUM(B10:B10)</f>
        <v>0.284517572462852</v>
      </c>
      <c r="C9" s="10" t="n">
        <f aca="false">SUM(C10:C10)</f>
        <v>1.82143716394625</v>
      </c>
      <c r="D9" s="10" t="n">
        <f aca="false">SUM(D10:D10)</f>
        <v>1.94539648010501</v>
      </c>
      <c r="E9" s="10" t="n">
        <f aca="false">SUM(E10:E10)</f>
        <v>1.12853529701191</v>
      </c>
      <c r="F9" s="10" t="n">
        <f aca="false">SUM(F10:F10)</f>
        <v>0.671453093446367</v>
      </c>
      <c r="G9" s="10" t="n">
        <f aca="false">SUM(G10:G10)</f>
        <v>0.472479287956539</v>
      </c>
      <c r="H9" s="10" t="n">
        <f aca="false">SUM(H10:H10)</f>
        <v>0.922085616211384</v>
      </c>
      <c r="I9" s="10" t="n">
        <f aca="false">SUM(I10:I10)</f>
        <v>3.30911650917063</v>
      </c>
      <c r="J9" s="10" t="n">
        <f aca="false">SUM(J10:J10)</f>
        <v>4.59194011575009</v>
      </c>
      <c r="K9" s="10" t="n">
        <f aca="false">SUM(K10:K10)</f>
        <v>5.30919424416539</v>
      </c>
      <c r="L9" s="10" t="n">
        <f aca="false">SUM(L10:L10)</f>
        <v>6.70333145154467</v>
      </c>
      <c r="M9" s="10" t="n">
        <f aca="false">SUM(M10:M10)</f>
        <v>3.21175596494449</v>
      </c>
      <c r="N9" s="10" t="n">
        <f aca="false">SUM(B9:M9)</f>
        <v>30.3712427967156</v>
      </c>
      <c r="Q9" s="4" t="s">
        <v>52</v>
      </c>
      <c r="R9" s="5" t="n">
        <f aca="false">SUMIFS(Data!$H$4:$H$2311,Data!$B$4:$B$2311,"Edible Tallow",Data!$C$4:$C$2311,"World Total",Data!$E$4:$E$2311,2021,Data!$F$4:$F$2311,2)</f>
        <v>1.82143716394625</v>
      </c>
      <c r="S9" s="5" t="n">
        <f aca="false">SUMIFS(Data!$H$4:$H$2311,Data!$B$4:$B$2311,"Edible Tallow",Data!$C$4:$C$2311,"World Total",Data!$E$4:$E$2311,2022,Data!$F$4:$F$2311,2)</f>
        <v>0.887889714723869</v>
      </c>
      <c r="T9" s="5" t="n">
        <f aca="false">SUMIFS(Data!$H$4:$H$2311,Data!$B$4:$B$2311,"Edible Tallow",Data!$C$4:$C$2311,"World Total",Data!$E$4:$E$2311,2023,Data!$F$4:$F$2311,2)</f>
        <v>2.26183037426439</v>
      </c>
      <c r="U9" s="5" t="n">
        <f aca="false">SUMIFS(Data!$H$4:$H$2311,Data!$B$4:$B$2311,"Edible Tallow",Data!$C$4:$C$2311,"World Total",Data!$E$4:$E$2311,2024,Data!$F$4:$F$2311,2)</f>
        <v>4.69275750824729</v>
      </c>
      <c r="V9" s="5" t="n">
        <f aca="false">SUMIFS(Data!$H$4:$H$2311,Data!$B$4:$B$2311,"Edible Tallow",Data!$C$4:$C$2311,"World Total",Data!$E$4:$E$2311,2025,Data!$F$4:$F$2311,2)</f>
        <v>1.41647223916125</v>
      </c>
      <c r="W9" s="5" t="n">
        <f aca="false">SUMIFS(Data!$H$4:$H$2311,Data!$B$4:$B$2311,"Edible Tallow",Data!$C$4:$C$2311,"World Total",Data!$E$4:$E$2311,2026,Data!$F$4:$F$2311,2)</f>
        <v>6.03344364015982</v>
      </c>
    </row>
    <row r="10" customFormat="false" ht="15" hidden="false" customHeight="false" outlineLevel="0" collapsed="false">
      <c r="A10" s="11" t="s">
        <v>43</v>
      </c>
      <c r="B10" s="12" t="n">
        <f aca="false">SUMIFS(Data!$H$4:$H$2311,Data!$B$4:$B$2311,"Edible Tallow",Data!$C$4:$C$2311,"Canada",Data!$E$4:$E$2311,2021,Data!$F$4:$F$2311,1)</f>
        <v>0.284517572462852</v>
      </c>
      <c r="C10" s="12" t="n">
        <f aca="false">SUMIFS(Data!$H$4:$H$2311,Data!$B$4:$B$2311,"Edible Tallow",Data!$C$4:$C$2311,"Canada",Data!$E$4:$E$2311,2021,Data!$F$4:$F$2311,2)</f>
        <v>1.82143716394625</v>
      </c>
      <c r="D10" s="12" t="n">
        <f aca="false">SUMIFS(Data!$H$4:$H$2311,Data!$B$4:$B$2311,"Edible Tallow",Data!$C$4:$C$2311,"Canada",Data!$E$4:$E$2311,2021,Data!$F$4:$F$2311,3)</f>
        <v>1.94539648010501</v>
      </c>
      <c r="E10" s="12" t="n">
        <f aca="false">SUMIFS(Data!$H$4:$H$2311,Data!$B$4:$B$2311,"Edible Tallow",Data!$C$4:$C$2311,"Canada",Data!$E$4:$E$2311,2021,Data!$F$4:$F$2311,4)</f>
        <v>1.12853529701191</v>
      </c>
      <c r="F10" s="12" t="n">
        <f aca="false">SUMIFS(Data!$H$4:$H$2311,Data!$B$4:$B$2311,"Edible Tallow",Data!$C$4:$C$2311,"Canada",Data!$E$4:$E$2311,2021,Data!$F$4:$F$2311,5)</f>
        <v>0.671453093446367</v>
      </c>
      <c r="G10" s="12" t="n">
        <f aca="false">SUMIFS(Data!$H$4:$H$2311,Data!$B$4:$B$2311,"Edible Tallow",Data!$C$4:$C$2311,"Canada",Data!$E$4:$E$2311,2021,Data!$F$4:$F$2311,6)</f>
        <v>0.472479287956539</v>
      </c>
      <c r="H10" s="12" t="n">
        <f aca="false">SUMIFS(Data!$H$4:$H$2311,Data!$B$4:$B$2311,"Edible Tallow",Data!$C$4:$C$2311,"Canada",Data!$E$4:$E$2311,2021,Data!$F$4:$F$2311,7)</f>
        <v>0.922085616211384</v>
      </c>
      <c r="I10" s="12" t="n">
        <f aca="false">SUMIFS(Data!$H$4:$H$2311,Data!$B$4:$B$2311,"Edible Tallow",Data!$C$4:$C$2311,"Canada",Data!$E$4:$E$2311,2021,Data!$F$4:$F$2311,8)</f>
        <v>3.30911650917063</v>
      </c>
      <c r="J10" s="12" t="n">
        <f aca="false">SUMIFS(Data!$H$4:$H$2311,Data!$B$4:$B$2311,"Edible Tallow",Data!$C$4:$C$2311,"Canada",Data!$E$4:$E$2311,2021,Data!$F$4:$F$2311,9)</f>
        <v>4.59194011575009</v>
      </c>
      <c r="K10" s="12" t="n">
        <f aca="false">SUMIFS(Data!$H$4:$H$2311,Data!$B$4:$B$2311,"Edible Tallow",Data!$C$4:$C$2311,"Canada",Data!$E$4:$E$2311,2021,Data!$F$4:$F$2311,10)</f>
        <v>5.30919424416539</v>
      </c>
      <c r="L10" s="12" t="n">
        <f aca="false">SUMIFS(Data!$H$4:$H$2311,Data!$B$4:$B$2311,"Edible Tallow",Data!$C$4:$C$2311,"Canada",Data!$E$4:$E$2311,2021,Data!$F$4:$F$2311,11)</f>
        <v>6.70333145154467</v>
      </c>
      <c r="M10" s="12" t="n">
        <f aca="false">SUMIFS(Data!$H$4:$H$2311,Data!$B$4:$B$2311,"Edible Tallow",Data!$C$4:$C$2311,"Canada",Data!$E$4:$E$2311,2021,Data!$F$4:$F$2311,12)</f>
        <v>3.21175596494449</v>
      </c>
      <c r="N10" s="13" t="n">
        <f aca="false">SUM(B10:M10)</f>
        <v>30.3712427967156</v>
      </c>
      <c r="Q10" s="4" t="s">
        <v>54</v>
      </c>
      <c r="R10" s="5" t="n">
        <f aca="false">SUMIFS(Data!$H$4:$H$2311,Data!$B$4:$B$2311,"Edible Tallow",Data!$C$4:$C$2311,"World Total",Data!$E$4:$E$2311,2021,Data!$F$4:$F$2311,3)</f>
        <v>1.94539648010501</v>
      </c>
      <c r="S10" s="5" t="n">
        <f aca="false">SUMIFS(Data!$H$4:$H$2311,Data!$B$4:$B$2311,"Edible Tallow",Data!$C$4:$C$2311,"World Total",Data!$E$4:$E$2311,2022,Data!$F$4:$F$2311,3)</f>
        <v>2.40307393177845</v>
      </c>
      <c r="T10" s="5" t="n">
        <f aca="false">SUMIFS(Data!$H$4:$H$2311,Data!$B$4:$B$2311,"Edible Tallow",Data!$C$4:$C$2311,"World Total",Data!$E$4:$E$2311,2023,Data!$F$4:$F$2311,3)</f>
        <v>1.66936450011366</v>
      </c>
      <c r="U10" s="5" t="n">
        <f aca="false">SUMIFS(Data!$H$4:$H$2311,Data!$B$4:$B$2311,"Edible Tallow",Data!$C$4:$C$2311,"World Total",Data!$E$4:$E$2311,2024,Data!$F$4:$F$2311,3)</f>
        <v>1.94886876073443</v>
      </c>
      <c r="V10" s="5" t="n">
        <f aca="false">SUMIFS(Data!$H$4:$H$2311,Data!$B$4:$B$2311,"Edible Tallow",Data!$C$4:$C$2311,"World Total",Data!$E$4:$E$2311,2025,Data!$F$4:$F$2311,3)</f>
        <v>1.66899632813581</v>
      </c>
      <c r="W10" s="5" t="n">
        <f aca="false">SUMIFS(Data!$H$4:$H$2311,Data!$B$4:$B$2311,"Edible Tallow",Data!$C$4:$C$2311,"World Total",Data!$E$4:$E$2311,2026,Data!$F$4:$F$2311,3)</f>
        <v>6.91497301861965</v>
      </c>
    </row>
    <row r="11" customFormat="false" ht="15" hidden="false" customHeight="false" outlineLevel="0" collapsed="false">
      <c r="Q11" s="4" t="s">
        <v>56</v>
      </c>
      <c r="R11" s="5" t="n">
        <f aca="false">SUMIFS(Data!$H$4:$H$2311,Data!$B$4:$B$2311,"Edible Tallow",Data!$C$4:$C$2311,"World Total",Data!$E$4:$E$2311,2021,Data!$F$4:$F$2311,4)</f>
        <v>1.12853529701191</v>
      </c>
      <c r="S11" s="5" t="n">
        <f aca="false">SUMIFS(Data!$H$4:$H$2311,Data!$B$4:$B$2311,"Edible Tallow",Data!$C$4:$C$2311,"World Total",Data!$E$4:$E$2311,2022,Data!$F$4:$F$2311,4)</f>
        <v>5.36085957530844</v>
      </c>
      <c r="T11" s="5" t="n">
        <f aca="false">SUMIFS(Data!$H$4:$H$2311,Data!$B$4:$B$2311,"Edible Tallow",Data!$C$4:$C$2311,"World Total",Data!$E$4:$E$2311,2023,Data!$F$4:$F$2311,4)</f>
        <v>1.40401612134779</v>
      </c>
      <c r="U11" s="5" t="n">
        <f aca="false">SUMIFS(Data!$H$4:$H$2311,Data!$B$4:$B$2311,"Edible Tallow",Data!$C$4:$C$2311,"World Total",Data!$E$4:$E$2311,2024,Data!$F$4:$F$2311,4)</f>
        <v>1.02674125669323</v>
      </c>
      <c r="V11" s="5" t="n">
        <f aca="false">SUMIFS(Data!$H$4:$H$2311,Data!$B$4:$B$2311,"Edible Tallow",Data!$C$4:$C$2311,"World Total",Data!$E$4:$E$2311,2025,Data!$F$4:$F$2311,4)</f>
        <v>1.64248794573069</v>
      </c>
      <c r="W11" s="5" t="n">
        <f aca="false">SUMIFS(Data!$H$4:$H$2311,Data!$B$4:$B$2311,"Edible Tallow",Data!$C$4:$C$2311,"World Total",Data!$E$4:$E$2311,2026,Data!$F$4:$F$2311,4)</f>
        <v>4.98785286004978</v>
      </c>
    </row>
    <row r="12" customFormat="false" ht="15" hidden="false" customHeight="false" outlineLevel="0" collapsed="false">
      <c r="A12" s="8"/>
      <c r="B12" s="9" t="s">
        <v>97</v>
      </c>
      <c r="C12" s="9" t="s">
        <v>98</v>
      </c>
      <c r="D12" s="9" t="s">
        <v>99</v>
      </c>
      <c r="E12" s="9" t="s">
        <v>100</v>
      </c>
      <c r="F12" s="9" t="s">
        <v>101</v>
      </c>
      <c r="G12" s="9" t="s">
        <v>102</v>
      </c>
      <c r="H12" s="9" t="s">
        <v>103</v>
      </c>
      <c r="I12" s="9" t="s">
        <v>104</v>
      </c>
      <c r="J12" s="9" t="s">
        <v>105</v>
      </c>
      <c r="K12" s="9" t="s">
        <v>106</v>
      </c>
      <c r="L12" s="9" t="s">
        <v>107</v>
      </c>
      <c r="M12" s="9" t="s">
        <v>108</v>
      </c>
      <c r="N12" s="9" t="s">
        <v>33</v>
      </c>
      <c r="Q12" s="4" t="s">
        <v>58</v>
      </c>
      <c r="R12" s="5" t="n">
        <f aca="false">SUMIFS(Data!$H$4:$H$2311,Data!$B$4:$B$2311,"Edible Tallow",Data!$C$4:$C$2311,"World Total",Data!$E$4:$E$2311,2021,Data!$F$4:$F$2311,5)</f>
        <v>0.671453093446367</v>
      </c>
      <c r="S12" s="5" t="n">
        <f aca="false">SUMIFS(Data!$H$4:$H$2311,Data!$B$4:$B$2311,"Edible Tallow",Data!$C$4:$C$2311,"World Total",Data!$E$4:$E$2311,2022,Data!$F$4:$F$2311,5)</f>
        <v>7.97764521480379</v>
      </c>
      <c r="T12" s="5" t="n">
        <f aca="false">SUMIFS(Data!$H$4:$H$2311,Data!$B$4:$B$2311,"Edible Tallow",Data!$C$4:$C$2311,"World Total",Data!$E$4:$E$2311,2023,Data!$F$4:$F$2311,5)</f>
        <v>2.13240138938082</v>
      </c>
      <c r="U12" s="5" t="n">
        <f aca="false">SUMIFS(Data!$H$4:$H$2311,Data!$B$4:$B$2311,"Edible Tallow",Data!$C$4:$C$2311,"World Total",Data!$E$4:$E$2311,2024,Data!$F$4:$F$2311,5)</f>
        <v>2.33574916615239</v>
      </c>
      <c r="V12" s="5" t="n">
        <f aca="false">SUMIFS(Data!$H$4:$H$2311,Data!$B$4:$B$2311,"Edible Tallow",Data!$C$4:$C$2311,"World Total",Data!$E$4:$E$2311,2025,Data!$F$4:$F$2311,5)</f>
        <v>1.33929942428339</v>
      </c>
      <c r="W12" s="5" t="n">
        <f aca="false">SUMIFS(Data!$H$4:$H$2311,Data!$B$4:$B$2311,"Edible Tallow",Data!$C$4:$C$2311,"World Total",Data!$E$4:$E$2311,2026,Data!$F$4:$F$2311,5)</f>
        <v>5.06435987889584</v>
      </c>
    </row>
    <row r="13" customFormat="false" ht="15" hidden="false" customHeight="false" outlineLevel="0" collapsed="false">
      <c r="A13" s="10" t="s">
        <v>35</v>
      </c>
      <c r="B13" s="10" t="n">
        <f aca="false">SUM(B14:B15)</f>
        <v>1.61560918672509</v>
      </c>
      <c r="C13" s="10" t="n">
        <f aca="false">SUM(C14:C15)</f>
        <v>0.887889714723869</v>
      </c>
      <c r="D13" s="10" t="n">
        <f aca="false">SUM(D14:D15)</f>
        <v>2.40307393177845</v>
      </c>
      <c r="E13" s="10" t="n">
        <f aca="false">SUM(E14:E15)</f>
        <v>5.36085957530844</v>
      </c>
      <c r="F13" s="10" t="n">
        <f aca="false">SUM(F14:F15)</f>
        <v>7.97764521480379</v>
      </c>
      <c r="G13" s="10" t="n">
        <f aca="false">SUM(G14:G15)</f>
        <v>6.8191446871157</v>
      </c>
      <c r="H13" s="10" t="n">
        <f aca="false">SUM(H14:H15)</f>
        <v>6.03972681463209</v>
      </c>
      <c r="I13" s="10" t="n">
        <f aca="false">SUM(I14:I15)</f>
        <v>11.6418801312794</v>
      </c>
      <c r="J13" s="10" t="n">
        <f aca="false">SUM(J14:J15)</f>
        <v>9.90570233798795</v>
      </c>
      <c r="K13" s="10" t="n">
        <f aca="false">SUM(K14:K15)</f>
        <v>9.6390840965919</v>
      </c>
      <c r="L13" s="10" t="n">
        <f aca="false">SUM(L14:L15)</f>
        <v>6.38464884231101</v>
      </c>
      <c r="M13" s="10" t="n">
        <f aca="false">SUM(M14:M15)</f>
        <v>4.07246488736357</v>
      </c>
      <c r="N13" s="10" t="n">
        <f aca="false">SUM(B13:M13)</f>
        <v>72.7477294206213</v>
      </c>
      <c r="Q13" s="4" t="s">
        <v>60</v>
      </c>
      <c r="R13" s="5" t="n">
        <f aca="false">SUMIFS(Data!$H$4:$H$2311,Data!$B$4:$B$2311,"Edible Tallow",Data!$C$4:$C$2311,"World Total",Data!$E$4:$E$2311,2021,Data!$F$4:$F$2311,6)</f>
        <v>0.472479287956539</v>
      </c>
      <c r="S13" s="5" t="n">
        <f aca="false">SUMIFS(Data!$H$4:$H$2311,Data!$B$4:$B$2311,"Edible Tallow",Data!$C$4:$C$2311,"World Total",Data!$E$4:$E$2311,2022,Data!$F$4:$F$2311,6)</f>
        <v>6.8191446871157</v>
      </c>
      <c r="T13" s="5" t="n">
        <f aca="false">SUMIFS(Data!$H$4:$H$2311,Data!$B$4:$B$2311,"Edible Tallow",Data!$C$4:$C$2311,"World Total",Data!$E$4:$E$2311,2023,Data!$F$4:$F$2311,6)</f>
        <v>3.28552263787159</v>
      </c>
      <c r="U13" s="5" t="n">
        <f aca="false">SUMIFS(Data!$H$4:$H$2311,Data!$B$4:$B$2311,"Edible Tallow",Data!$C$4:$C$2311,"World Total",Data!$E$4:$E$2311,2024,Data!$F$4:$F$2311,6)</f>
        <v>1.4947848439346</v>
      </c>
      <c r="V13" s="5" t="n">
        <f aca="false">SUMIFS(Data!$H$4:$H$2311,Data!$B$4:$B$2311,"Edible Tallow",Data!$C$4:$C$2311,"World Total",Data!$E$4:$E$2311,2025,Data!$F$4:$F$2311,6)</f>
        <v>3.35202728388232</v>
      </c>
      <c r="W13" s="5" t="n">
        <f aca="false">SUMIFS(Data!$H$4:$H$2311,Data!$B$4:$B$2311,"Edible Tallow",Data!$C$4:$C$2311,"World Total",Data!$E$4:$E$2311,2026,Data!$F$4:$F$2311,6)</f>
        <v>5.65612909229806</v>
      </c>
    </row>
    <row r="14" customFormat="false" ht="15" hidden="false" customHeight="false" outlineLevel="0" collapsed="false">
      <c r="A14" s="11" t="s">
        <v>43</v>
      </c>
      <c r="B14" s="12" t="n">
        <f aca="false">SUMIFS(Data!$H$4:$H$2311,Data!$B$4:$B$2311,"Edible Tallow",Data!$C$4:$C$2311,"Canada",Data!$E$4:$E$2311,2022,Data!$F$4:$F$2311,1)</f>
        <v>1.61560918672509</v>
      </c>
      <c r="C14" s="12" t="n">
        <f aca="false">SUMIFS(Data!$H$4:$H$2311,Data!$B$4:$B$2311,"Edible Tallow",Data!$C$4:$C$2311,"Canada",Data!$E$4:$E$2311,2022,Data!$F$4:$F$2311,2)</f>
        <v>0.887889714723869</v>
      </c>
      <c r="D14" s="12" t="n">
        <f aca="false">SUMIFS(Data!$H$4:$H$2311,Data!$B$4:$B$2311,"Edible Tallow",Data!$C$4:$C$2311,"Canada",Data!$E$4:$E$2311,2022,Data!$F$4:$F$2311,3)</f>
        <v>2.40307393177845</v>
      </c>
      <c r="E14" s="12" t="n">
        <f aca="false">SUMIFS(Data!$H$4:$H$2311,Data!$B$4:$B$2311,"Edible Tallow",Data!$C$4:$C$2311,"Canada",Data!$E$4:$E$2311,2022,Data!$F$4:$F$2311,4)</f>
        <v>5.36085957530844</v>
      </c>
      <c r="F14" s="12" t="n">
        <f aca="false">SUMIFS(Data!$H$4:$H$2311,Data!$B$4:$B$2311,"Edible Tallow",Data!$C$4:$C$2311,"Canada",Data!$E$4:$E$2311,2022,Data!$F$4:$F$2311,5)</f>
        <v>7.97764521480379</v>
      </c>
      <c r="G14" s="12" t="n">
        <f aca="false">SUMIFS(Data!$H$4:$H$2311,Data!$B$4:$B$2311,"Edible Tallow",Data!$C$4:$C$2311,"Canada",Data!$E$4:$E$2311,2022,Data!$F$4:$F$2311,6)</f>
        <v>6.8191446871157</v>
      </c>
      <c r="H14" s="12" t="n">
        <f aca="false">SUMIFS(Data!$H$4:$H$2311,Data!$B$4:$B$2311,"Edible Tallow",Data!$C$4:$C$2311,"Canada",Data!$E$4:$E$2311,2022,Data!$F$4:$F$2311,7)</f>
        <v>6.03972681463209</v>
      </c>
      <c r="I14" s="12" t="n">
        <f aca="false">SUMIFS(Data!$H$4:$H$2311,Data!$B$4:$B$2311,"Edible Tallow",Data!$C$4:$C$2311,"Canada",Data!$E$4:$E$2311,2022,Data!$F$4:$F$2311,8)</f>
        <v>11.6418801312794</v>
      </c>
      <c r="J14" s="12" t="n">
        <f aca="false">SUMIFS(Data!$H$4:$H$2311,Data!$B$4:$B$2311,"Edible Tallow",Data!$C$4:$C$2311,"Canada",Data!$E$4:$E$2311,2022,Data!$F$4:$F$2311,9)</f>
        <v>9.90570233798795</v>
      </c>
      <c r="K14" s="12" t="n">
        <f aca="false">SUMIFS(Data!$H$4:$H$2311,Data!$B$4:$B$2311,"Edible Tallow",Data!$C$4:$C$2311,"Canada",Data!$E$4:$E$2311,2022,Data!$F$4:$F$2311,10)</f>
        <v>9.6390840965919</v>
      </c>
      <c r="L14" s="12" t="n">
        <f aca="false">SUMIFS(Data!$H$4:$H$2311,Data!$B$4:$B$2311,"Edible Tallow",Data!$C$4:$C$2311,"Canada",Data!$E$4:$E$2311,2022,Data!$F$4:$F$2311,11)</f>
        <v>6.28721334091573</v>
      </c>
      <c r="M14" s="12" t="n">
        <f aca="false">SUMIFS(Data!$H$4:$H$2311,Data!$B$4:$B$2311,"Edible Tallow",Data!$C$4:$C$2311,"Canada",Data!$E$4:$E$2311,2022,Data!$F$4:$F$2311,12)</f>
        <v>4.06399693187305</v>
      </c>
      <c r="N14" s="13" t="n">
        <f aca="false">SUM(B14:M14)</f>
        <v>72.6418259637355</v>
      </c>
      <c r="Q14" s="4" t="s">
        <v>62</v>
      </c>
      <c r="R14" s="5" t="n">
        <f aca="false">SUMIFS(Data!$H$4:$H$2311,Data!$B$4:$B$2311,"Edible Tallow",Data!$C$4:$C$2311,"World Total",Data!$E$4:$E$2311,2021,Data!$F$4:$F$2311,7)</f>
        <v>0.922085616211384</v>
      </c>
      <c r="S14" s="5" t="n">
        <f aca="false">SUMIFS(Data!$H$4:$H$2311,Data!$B$4:$B$2311,"Edible Tallow",Data!$C$4:$C$2311,"World Total",Data!$E$4:$E$2311,2022,Data!$F$4:$F$2311,7)</f>
        <v>6.03972681463209</v>
      </c>
      <c r="T14" s="5" t="n">
        <f aca="false">SUMIFS(Data!$H$4:$H$2311,Data!$B$4:$B$2311,"Edible Tallow",Data!$C$4:$C$2311,"World Total",Data!$E$4:$E$2311,2023,Data!$F$4:$F$2311,7)</f>
        <v>3.37031903777581</v>
      </c>
      <c r="U14" s="5" t="n">
        <f aca="false">SUMIFS(Data!$H$4:$H$2311,Data!$B$4:$B$2311,"Edible Tallow",Data!$C$4:$C$2311,"World Total",Data!$E$4:$E$2311,2024,Data!$F$4:$F$2311,7)</f>
        <v>2.83304148171786</v>
      </c>
      <c r="V14" s="5" t="n">
        <f aca="false">SUMIFS(Data!$H$4:$H$2311,Data!$B$4:$B$2311,"Edible Tallow",Data!$C$4:$C$2311,"World Total",Data!$E$4:$E$2311,2025,Data!$F$4:$F$2311,7)</f>
        <v>3.31597288552458</v>
      </c>
      <c r="W14" s="5" t="n">
        <f aca="false">SUMIFS(Data!$H$4:$H$2311,Data!$B$4:$B$2311,"Edible Tallow",Data!$C$4:$C$2311,"World Total",Data!$E$4:$E$2311,2026,Data!$F$4:$F$2311,7)</f>
        <v>5.91326525179753</v>
      </c>
    </row>
    <row r="15" customFormat="false" ht="15" hidden="false" customHeight="false" outlineLevel="0" collapsed="false">
      <c r="A15" s="11" t="s">
        <v>78</v>
      </c>
      <c r="B15" s="12" t="n">
        <f aca="false">SUMIFS(Data!$H$4:$H$2311,Data!$B$4:$B$2311,"Edible Tallow",Data!$C$4:$C$2311,"New Zealand",Data!$E$4:$E$2311,2022,Data!$F$4:$F$2311,1)</f>
        <v>0</v>
      </c>
      <c r="C15" s="12" t="n">
        <f aca="false">SUMIFS(Data!$H$4:$H$2311,Data!$B$4:$B$2311,"Edible Tallow",Data!$C$4:$C$2311,"New Zealand",Data!$E$4:$E$2311,2022,Data!$F$4:$F$2311,2)</f>
        <v>0</v>
      </c>
      <c r="D15" s="12" t="n">
        <f aca="false">SUMIFS(Data!$H$4:$H$2311,Data!$B$4:$B$2311,"Edible Tallow",Data!$C$4:$C$2311,"New Zealand",Data!$E$4:$E$2311,2022,Data!$F$4:$F$2311,3)</f>
        <v>0</v>
      </c>
      <c r="E15" s="12" t="n">
        <f aca="false">SUMIFS(Data!$H$4:$H$2311,Data!$B$4:$B$2311,"Edible Tallow",Data!$C$4:$C$2311,"New Zealand",Data!$E$4:$E$2311,2022,Data!$F$4:$F$2311,4)</f>
        <v>0</v>
      </c>
      <c r="F15" s="12" t="n">
        <f aca="false">SUMIFS(Data!$H$4:$H$2311,Data!$B$4:$B$2311,"Edible Tallow",Data!$C$4:$C$2311,"New Zealand",Data!$E$4:$E$2311,2022,Data!$F$4:$F$2311,5)</f>
        <v>0</v>
      </c>
      <c r="G15" s="12" t="n">
        <f aca="false">SUMIFS(Data!$H$4:$H$2311,Data!$B$4:$B$2311,"Edible Tallow",Data!$C$4:$C$2311,"New Zealand",Data!$E$4:$E$2311,2022,Data!$F$4:$F$2311,6)</f>
        <v>0</v>
      </c>
      <c r="H15" s="12" t="n">
        <f aca="false">SUMIFS(Data!$H$4:$H$2311,Data!$B$4:$B$2311,"Edible Tallow",Data!$C$4:$C$2311,"New Zealand",Data!$E$4:$E$2311,2022,Data!$F$4:$F$2311,7)</f>
        <v>0</v>
      </c>
      <c r="I15" s="12" t="n">
        <f aca="false">SUMIFS(Data!$H$4:$H$2311,Data!$B$4:$B$2311,"Edible Tallow",Data!$C$4:$C$2311,"New Zealand",Data!$E$4:$E$2311,2022,Data!$F$4:$F$2311,8)</f>
        <v>0</v>
      </c>
      <c r="J15" s="12" t="n">
        <f aca="false">SUMIFS(Data!$H$4:$H$2311,Data!$B$4:$B$2311,"Edible Tallow",Data!$C$4:$C$2311,"New Zealand",Data!$E$4:$E$2311,2022,Data!$F$4:$F$2311,9)</f>
        <v>0</v>
      </c>
      <c r="K15" s="12" t="n">
        <f aca="false">SUMIFS(Data!$H$4:$H$2311,Data!$B$4:$B$2311,"Edible Tallow",Data!$C$4:$C$2311,"New Zealand",Data!$E$4:$E$2311,2022,Data!$F$4:$F$2311,10)</f>
        <v>0</v>
      </c>
      <c r="L15" s="12" t="n">
        <f aca="false">SUMIFS(Data!$H$4:$H$2311,Data!$B$4:$B$2311,"Edible Tallow",Data!$C$4:$C$2311,"New Zealand",Data!$E$4:$E$2311,2022,Data!$F$4:$F$2311,11)</f>
        <v>0.0974355013952826</v>
      </c>
      <c r="M15" s="12" t="n">
        <f aca="false">SUMIFS(Data!$H$4:$H$2311,Data!$B$4:$B$2311,"Edible Tallow",Data!$C$4:$C$2311,"New Zealand",Data!$E$4:$E$2311,2022,Data!$F$4:$F$2311,12)</f>
        <v>0.00846795549052585</v>
      </c>
      <c r="N15" s="13" t="n">
        <f aca="false">SUM(B15:M15)</f>
        <v>0.105903456885808</v>
      </c>
      <c r="Q15" s="4" t="s">
        <v>64</v>
      </c>
      <c r="R15" s="5" t="n">
        <f aca="false">SUMIFS(Data!$H$4:$H$2311,Data!$B$4:$B$2311,"Edible Tallow",Data!$C$4:$C$2311,"World Total",Data!$E$4:$E$2311,2021,Data!$F$4:$F$2311,8)</f>
        <v>3.30911650917063</v>
      </c>
      <c r="S15" s="5" t="n">
        <f aca="false">SUMIFS(Data!$H$4:$H$2311,Data!$B$4:$B$2311,"Edible Tallow",Data!$C$4:$C$2311,"World Total",Data!$E$4:$E$2311,2022,Data!$F$4:$F$2311,8)</f>
        <v>11.6418801312794</v>
      </c>
      <c r="T15" s="5" t="n">
        <f aca="false">SUMIFS(Data!$H$4:$H$2311,Data!$B$4:$B$2311,"Edible Tallow",Data!$C$4:$C$2311,"World Total",Data!$E$4:$E$2311,2023,Data!$F$4:$F$2311,8)</f>
        <v>2.11002887901428</v>
      </c>
      <c r="U15" s="5" t="n">
        <f aca="false">SUMIFS(Data!$H$4:$H$2311,Data!$B$4:$B$2311,"Edible Tallow",Data!$C$4:$C$2311,"World Total",Data!$E$4:$E$2311,2024,Data!$F$4:$F$2311,8)</f>
        <v>1.46993654236373</v>
      </c>
      <c r="V15" s="5" t="n">
        <f aca="false">SUMIFS(Data!$H$4:$H$2311,Data!$B$4:$B$2311,"Edible Tallow",Data!$C$4:$C$2311,"World Total",Data!$E$4:$E$2311,2025,Data!$F$4:$F$2311,8)</f>
        <v>4.39729177984433</v>
      </c>
      <c r="W15" s="5" t="n">
        <f aca="false">SUMIFS(Data!$H$4:$H$2311,Data!$B$4:$B$2311,"Edible Tallow",Data!$C$4:$C$2311,"World Total",Data!$E$4:$E$2311,2026,Data!$F$4:$F$2311,8)</f>
        <v>5.07759863774005</v>
      </c>
    </row>
    <row r="16" customFormat="false" ht="15" hidden="false" customHeight="false" outlineLevel="0" collapsed="false">
      <c r="Q16" s="4" t="s">
        <v>66</v>
      </c>
      <c r="R16" s="5" t="n">
        <f aca="false">SUMIFS(Data!$H$4:$H$2311,Data!$B$4:$B$2311,"Edible Tallow",Data!$C$4:$C$2311,"World Total",Data!$E$4:$E$2311,2021,Data!$F$4:$F$2311,9)</f>
        <v>4.59194011575009</v>
      </c>
      <c r="S16" s="5" t="n">
        <f aca="false">SUMIFS(Data!$H$4:$H$2311,Data!$B$4:$B$2311,"Edible Tallow",Data!$C$4:$C$2311,"World Total",Data!$E$4:$E$2311,2022,Data!$F$4:$F$2311,9)</f>
        <v>9.90570233798795</v>
      </c>
      <c r="T16" s="5" t="n">
        <f aca="false">SUMIFS(Data!$H$4:$H$2311,Data!$B$4:$B$2311,"Edible Tallow",Data!$C$4:$C$2311,"World Total",Data!$E$4:$E$2311,2023,Data!$F$4:$F$2311,9)</f>
        <v>2.9097182565058</v>
      </c>
      <c r="U16" s="5" t="n">
        <f aca="false">SUMIFS(Data!$H$4:$H$2311,Data!$B$4:$B$2311,"Edible Tallow",Data!$C$4:$C$2311,"World Total",Data!$E$4:$E$2311,2024,Data!$F$4:$F$2311,9)</f>
        <v>1.11612327165089</v>
      </c>
      <c r="V16" s="5" t="n">
        <f aca="false">SUMIFS(Data!$H$4:$H$2311,Data!$B$4:$B$2311,"Edible Tallow",Data!$C$4:$C$2311,"World Total",Data!$E$4:$E$2311,2025,Data!$F$4:$F$2311,9)</f>
        <v>3.0067723581875</v>
      </c>
    </row>
    <row r="17" customFormat="false" ht="15" hidden="false" customHeight="false" outlineLevel="0" collapsed="false">
      <c r="A17" s="8"/>
      <c r="B17" s="9" t="s">
        <v>114</v>
      </c>
      <c r="C17" s="9" t="s">
        <v>115</v>
      </c>
      <c r="D17" s="9" t="s">
        <v>116</v>
      </c>
      <c r="E17" s="9" t="s">
        <v>117</v>
      </c>
      <c r="F17" s="9" t="s">
        <v>118</v>
      </c>
      <c r="G17" s="9" t="s">
        <v>119</v>
      </c>
      <c r="H17" s="9" t="s">
        <v>120</v>
      </c>
      <c r="I17" s="9" t="s">
        <v>121</v>
      </c>
      <c r="J17" s="9" t="s">
        <v>122</v>
      </c>
      <c r="K17" s="9" t="s">
        <v>123</v>
      </c>
      <c r="L17" s="9" t="s">
        <v>124</v>
      </c>
      <c r="M17" s="9" t="s">
        <v>125</v>
      </c>
      <c r="N17" s="9" t="s">
        <v>33</v>
      </c>
    </row>
    <row r="18" customFormat="false" ht="15" hidden="false" customHeight="false" outlineLevel="0" collapsed="false">
      <c r="A18" s="10" t="s">
        <v>35</v>
      </c>
      <c r="B18" s="10" t="n">
        <f aca="false">SUM(B19:B20)</f>
        <v>5.83886364755534</v>
      </c>
      <c r="C18" s="10" t="n">
        <f aca="false">SUM(C19:C20)</f>
        <v>2.26183037426439</v>
      </c>
      <c r="D18" s="10" t="n">
        <f aca="false">SUM(D19:D20)</f>
        <v>1.66936450011366</v>
      </c>
      <c r="E18" s="10" t="n">
        <f aca="false">SUM(E19:E20)</f>
        <v>1.40401612134779</v>
      </c>
      <c r="F18" s="10" t="n">
        <f aca="false">SUM(F19:F20)</f>
        <v>2.13240138938082</v>
      </c>
      <c r="G18" s="10" t="n">
        <f aca="false">SUM(G19:G20)</f>
        <v>3.28552263787159</v>
      </c>
      <c r="H18" s="10" t="n">
        <f aca="false">SUM(H19:H20)</f>
        <v>3.37031903777581</v>
      </c>
      <c r="I18" s="10" t="n">
        <f aca="false">SUM(I19:I20)</f>
        <v>2.11002887901428</v>
      </c>
      <c r="J18" s="10" t="n">
        <f aca="false">SUM(J19:J20)</f>
        <v>2.9097182565058</v>
      </c>
      <c r="K18" s="10" t="n">
        <f aca="false">SUM(K19:K20)</f>
        <v>1.26133514988428</v>
      </c>
      <c r="L18" s="10" t="n">
        <f aca="false">SUM(L19:L20)</f>
        <v>5.10491170740215</v>
      </c>
      <c r="M18" s="10" t="n">
        <f aca="false">SUM(M19:M20)</f>
        <v>1.5580376715781</v>
      </c>
      <c r="N18" s="10" t="n">
        <f aca="false">SUM(B18:M18)</f>
        <v>32.906349372694</v>
      </c>
    </row>
    <row r="19" customFormat="false" ht="15" hidden="false" customHeight="false" outlineLevel="0" collapsed="false">
      <c r="A19" s="11" t="s">
        <v>43</v>
      </c>
      <c r="B19" s="12" t="n">
        <f aca="false">SUMIFS(Data!$H$4:$H$2311,Data!$B$4:$B$2311,"Edible Tallow",Data!$C$4:$C$2311,"Canada",Data!$E$4:$E$2311,2023,Data!$F$4:$F$2311,1)</f>
        <v>5.83886364755534</v>
      </c>
      <c r="C19" s="12" t="n">
        <f aca="false">SUMIFS(Data!$H$4:$H$2311,Data!$B$4:$B$2311,"Edible Tallow",Data!$C$4:$C$2311,"Canada",Data!$E$4:$E$2311,2023,Data!$F$4:$F$2311,2)</f>
        <v>2.26183037426439</v>
      </c>
      <c r="D19" s="12" t="n">
        <f aca="false">SUMIFS(Data!$H$4:$H$2311,Data!$B$4:$B$2311,"Edible Tallow",Data!$C$4:$C$2311,"Canada",Data!$E$4:$E$2311,2023,Data!$F$4:$F$2311,3)</f>
        <v>1.66121180565806</v>
      </c>
      <c r="E19" s="12" t="n">
        <f aca="false">SUMIFS(Data!$H$4:$H$2311,Data!$B$4:$B$2311,"Edible Tallow",Data!$C$4:$C$2311,"Canada",Data!$E$4:$E$2311,2023,Data!$F$4:$F$2311,4)</f>
        <v>1.40401612134779</v>
      </c>
      <c r="F19" s="12" t="n">
        <f aca="false">SUMIFS(Data!$H$4:$H$2311,Data!$B$4:$B$2311,"Edible Tallow",Data!$C$4:$C$2311,"Canada",Data!$E$4:$E$2311,2023,Data!$F$4:$F$2311,5)</f>
        <v>2.13240138938082</v>
      </c>
      <c r="G19" s="12" t="n">
        <f aca="false">SUMIFS(Data!$H$4:$H$2311,Data!$B$4:$B$2311,"Edible Tallow",Data!$C$4:$C$2311,"Canada",Data!$E$4:$E$2311,2023,Data!$F$4:$F$2311,6)</f>
        <v>3.275352713717</v>
      </c>
      <c r="H19" s="12" t="n">
        <f aca="false">SUMIFS(Data!$H$4:$H$2311,Data!$B$4:$B$2311,"Edible Tallow",Data!$C$4:$C$2311,"Canada",Data!$E$4:$E$2311,2023,Data!$F$4:$F$2311,7)</f>
        <v>3.37031903777581</v>
      </c>
      <c r="I19" s="12" t="n">
        <f aca="false">SUMIFS(Data!$H$4:$H$2311,Data!$B$4:$B$2311,"Edible Tallow",Data!$C$4:$C$2311,"Canada",Data!$E$4:$E$2311,2023,Data!$F$4:$F$2311,8)</f>
        <v>2.11002887901428</v>
      </c>
      <c r="J19" s="12" t="n">
        <f aca="false">SUMIFS(Data!$H$4:$H$2311,Data!$B$4:$B$2311,"Edible Tallow",Data!$C$4:$C$2311,"Canada",Data!$E$4:$E$2311,2023,Data!$F$4:$F$2311,9)</f>
        <v>2.9097182565058</v>
      </c>
      <c r="K19" s="12" t="n">
        <f aca="false">SUMIFS(Data!$H$4:$H$2311,Data!$B$4:$B$2311,"Edible Tallow",Data!$C$4:$C$2311,"Canada",Data!$E$4:$E$2311,2023,Data!$F$4:$F$2311,10)</f>
        <v>1.25161276412193</v>
      </c>
      <c r="L19" s="12" t="n">
        <f aca="false">SUMIFS(Data!$H$4:$H$2311,Data!$B$4:$B$2311,"Edible Tallow",Data!$C$4:$C$2311,"Canada",Data!$E$4:$E$2311,2023,Data!$F$4:$F$2311,11)</f>
        <v>5.10491170740215</v>
      </c>
      <c r="M19" s="12" t="n">
        <f aca="false">SUMIFS(Data!$H$4:$H$2311,Data!$B$4:$B$2311,"Edible Tallow",Data!$C$4:$C$2311,"Canada",Data!$E$4:$E$2311,2023,Data!$F$4:$F$2311,12)</f>
        <v>1.54380462793144</v>
      </c>
      <c r="N19" s="13" t="n">
        <f aca="false">SUM(B19:M19)</f>
        <v>32.8640713246748</v>
      </c>
    </row>
    <row r="20" customFormat="false" ht="15" hidden="false" customHeight="false" outlineLevel="0" collapsed="false">
      <c r="A20" s="11" t="s">
        <v>78</v>
      </c>
      <c r="B20" s="12" t="n">
        <f aca="false">SUMIFS(Data!$H$4:$H$2311,Data!$B$4:$B$2311,"Edible Tallow",Data!$C$4:$C$2311,"New Zealand",Data!$E$4:$E$2311,2023,Data!$F$4:$F$2311,1)</f>
        <v>0</v>
      </c>
      <c r="C20" s="12" t="n">
        <f aca="false">SUMIFS(Data!$H$4:$H$2311,Data!$B$4:$B$2311,"Edible Tallow",Data!$C$4:$C$2311,"New Zealand",Data!$E$4:$E$2311,2023,Data!$F$4:$F$2311,2)</f>
        <v>0</v>
      </c>
      <c r="D20" s="12" t="n">
        <f aca="false">SUMIFS(Data!$H$4:$H$2311,Data!$B$4:$B$2311,"Edible Tallow",Data!$C$4:$C$2311,"New Zealand",Data!$E$4:$E$2311,2023,Data!$F$4:$F$2311,3)</f>
        <v>0.0081526944556013</v>
      </c>
      <c r="E20" s="12" t="n">
        <f aca="false">SUMIFS(Data!$H$4:$H$2311,Data!$B$4:$B$2311,"Edible Tallow",Data!$C$4:$C$2311,"New Zealand",Data!$E$4:$E$2311,2023,Data!$F$4:$F$2311,4)</f>
        <v>0</v>
      </c>
      <c r="F20" s="12" t="n">
        <f aca="false">SUMIFS(Data!$H$4:$H$2311,Data!$B$4:$B$2311,"Edible Tallow",Data!$C$4:$C$2311,"New Zealand",Data!$E$4:$E$2311,2023,Data!$F$4:$F$2311,5)</f>
        <v>0</v>
      </c>
      <c r="G20" s="12" t="n">
        <f aca="false">SUMIFS(Data!$H$4:$H$2311,Data!$B$4:$B$2311,"Edible Tallow",Data!$C$4:$C$2311,"New Zealand",Data!$E$4:$E$2311,2023,Data!$F$4:$F$2311,6)</f>
        <v>0.0101699241545941</v>
      </c>
      <c r="H20" s="12" t="n">
        <f aca="false">SUMIFS(Data!$H$4:$H$2311,Data!$B$4:$B$2311,"Edible Tallow",Data!$C$4:$C$2311,"New Zealand",Data!$E$4:$E$2311,2023,Data!$F$4:$F$2311,7)</f>
        <v>0</v>
      </c>
      <c r="I20" s="12" t="n">
        <f aca="false">SUMIFS(Data!$H$4:$H$2311,Data!$B$4:$B$2311,"Edible Tallow",Data!$C$4:$C$2311,"New Zealand",Data!$E$4:$E$2311,2023,Data!$F$4:$F$2311,8)</f>
        <v>0</v>
      </c>
      <c r="J20" s="12" t="n">
        <f aca="false">SUMIFS(Data!$H$4:$H$2311,Data!$B$4:$B$2311,"Edible Tallow",Data!$C$4:$C$2311,"New Zealand",Data!$E$4:$E$2311,2023,Data!$F$4:$F$2311,9)</f>
        <v>0</v>
      </c>
      <c r="K20" s="12" t="n">
        <f aca="false">SUMIFS(Data!$H$4:$H$2311,Data!$B$4:$B$2311,"Edible Tallow",Data!$C$4:$C$2311,"New Zealand",Data!$E$4:$E$2311,2023,Data!$F$4:$F$2311,10)</f>
        <v>0.0097223857623585</v>
      </c>
      <c r="L20" s="12" t="n">
        <f aca="false">SUMIFS(Data!$H$4:$H$2311,Data!$B$4:$B$2311,"Edible Tallow",Data!$C$4:$C$2311,"New Zealand",Data!$E$4:$E$2311,2023,Data!$F$4:$F$2311,11)</f>
        <v>0</v>
      </c>
      <c r="M20" s="12" t="n">
        <f aca="false">SUMIFS(Data!$H$4:$H$2311,Data!$B$4:$B$2311,"Edible Tallow",Data!$C$4:$C$2311,"New Zealand",Data!$E$4:$E$2311,2023,Data!$F$4:$F$2311,12)</f>
        <v>0.0142330436466636</v>
      </c>
      <c r="N20" s="13" t="n">
        <f aca="false">SUM(B20:M20)</f>
        <v>0.0422780480192175</v>
      </c>
    </row>
    <row r="22" customFormat="false" ht="15" hidden="false" customHeight="false" outlineLevel="0" collapsed="false">
      <c r="A22" s="8"/>
      <c r="B22" s="9" t="s">
        <v>143</v>
      </c>
      <c r="C22" s="9" t="s">
        <v>144</v>
      </c>
      <c r="D22" s="9" t="s">
        <v>145</v>
      </c>
      <c r="E22" s="9" t="s">
        <v>146</v>
      </c>
      <c r="F22" s="9" t="s">
        <v>147</v>
      </c>
      <c r="G22" s="9" t="s">
        <v>148</v>
      </c>
      <c r="H22" s="9" t="s">
        <v>149</v>
      </c>
      <c r="I22" s="9" t="s">
        <v>150</v>
      </c>
      <c r="J22" s="9" t="s">
        <v>151</v>
      </c>
      <c r="K22" s="9" t="s">
        <v>152</v>
      </c>
      <c r="L22" s="9" t="s">
        <v>153</v>
      </c>
      <c r="M22" s="9" t="s">
        <v>154</v>
      </c>
      <c r="N22" s="9" t="s">
        <v>33</v>
      </c>
    </row>
    <row r="23" customFormat="false" ht="15" hidden="false" customHeight="false" outlineLevel="0" collapsed="false">
      <c r="A23" s="10" t="s">
        <v>35</v>
      </c>
      <c r="B23" s="10" t="n">
        <f aca="false">SUM(B24:B27)</f>
        <v>1.34462358791516</v>
      </c>
      <c r="C23" s="10" t="n">
        <f aca="false">SUM(C24:C27)</f>
        <v>4.69275750824729</v>
      </c>
      <c r="D23" s="10" t="n">
        <f aca="false">SUM(D24:D27)</f>
        <v>1.94886876073443</v>
      </c>
      <c r="E23" s="10" t="n">
        <f aca="false">SUM(E24:E27)</f>
        <v>1.02674125669323</v>
      </c>
      <c r="F23" s="10" t="n">
        <f aca="false">SUM(F24:F27)</f>
        <v>2.33574916615239</v>
      </c>
      <c r="G23" s="10" t="n">
        <f aca="false">SUM(G24:G27)</f>
        <v>1.4947848439346</v>
      </c>
      <c r="H23" s="10" t="n">
        <f aca="false">SUM(H24:H27)</f>
        <v>2.83304148171786</v>
      </c>
      <c r="I23" s="10" t="n">
        <f aca="false">SUM(I24:I27)</f>
        <v>1.46993654236373</v>
      </c>
      <c r="J23" s="10" t="n">
        <f aca="false">SUM(J24:J27)</f>
        <v>1.11612327165089</v>
      </c>
      <c r="K23" s="10" t="n">
        <f aca="false">SUM(K24:K27)</f>
        <v>1.27809689567821</v>
      </c>
      <c r="L23" s="10" t="n">
        <f aca="false">SUM(L24:L27)</f>
        <v>1.50285155810795</v>
      </c>
      <c r="M23" s="10" t="n">
        <f aca="false">SUM(M24:M27)</f>
        <v>1.1931902646429</v>
      </c>
      <c r="N23" s="10" t="n">
        <f aca="false">SUM(B23:M23)</f>
        <v>22.2367651378386</v>
      </c>
    </row>
    <row r="24" customFormat="false" ht="15" hidden="false" customHeight="false" outlineLevel="0" collapsed="false">
      <c r="A24" s="11" t="s">
        <v>43</v>
      </c>
      <c r="B24" s="12" t="n">
        <f aca="false">SUMIFS(Data!$H$4:$H$2311,Data!$B$4:$B$2311,"Edible Tallow",Data!$C$4:$C$2311,"Canada",Data!$E$4:$E$2311,2024,Data!$F$4:$F$2311,1)</f>
        <v>1.33504670724584</v>
      </c>
      <c r="C24" s="12" t="n">
        <f aca="false">SUMIFS(Data!$H$4:$H$2311,Data!$B$4:$B$2311,"Edible Tallow",Data!$C$4:$C$2311,"Canada",Data!$E$4:$E$2311,2024,Data!$F$4:$F$2311,2)</f>
        <v>4.69275750824729</v>
      </c>
      <c r="D24" s="12" t="n">
        <f aca="false">SUMIFS(Data!$H$4:$H$2311,Data!$B$4:$B$2311,"Edible Tallow",Data!$C$4:$C$2311,"Canada",Data!$E$4:$E$2311,2024,Data!$F$4:$F$2311,3)</f>
        <v>1.94666413811258</v>
      </c>
      <c r="E24" s="12" t="n">
        <f aca="false">SUMIFS(Data!$H$4:$H$2311,Data!$B$4:$B$2311,"Edible Tallow",Data!$C$4:$C$2311,"Canada",Data!$E$4:$E$2311,2024,Data!$F$4:$F$2311,4)</f>
        <v>0.924819348262478</v>
      </c>
      <c r="F24" s="12" t="n">
        <f aca="false">SUMIFS(Data!$H$4:$H$2311,Data!$B$4:$B$2311,"Edible Tallow",Data!$C$4:$C$2311,"Canada",Data!$E$4:$E$2311,2024,Data!$F$4:$F$2311,5)</f>
        <v>2.33574916615239</v>
      </c>
      <c r="G24" s="12" t="n">
        <f aca="false">SUMIFS(Data!$H$4:$H$2311,Data!$B$4:$B$2311,"Edible Tallow",Data!$C$4:$C$2311,"Canada",Data!$E$4:$E$2311,2024,Data!$F$4:$F$2311,6)</f>
        <v>1.49256258433178</v>
      </c>
      <c r="H24" s="12" t="n">
        <f aca="false">SUMIFS(Data!$H$4:$H$2311,Data!$B$4:$B$2311,"Edible Tallow",Data!$C$4:$C$2311,"Canada",Data!$E$4:$E$2311,2024,Data!$F$4:$F$2311,7)</f>
        <v>2.78451773781094</v>
      </c>
      <c r="I24" s="12" t="n">
        <f aca="false">SUMIFS(Data!$H$4:$H$2311,Data!$B$4:$B$2311,"Edible Tallow",Data!$C$4:$C$2311,"Canada",Data!$E$4:$E$2311,2024,Data!$F$4:$F$2311,8)</f>
        <v>1.46993654236373</v>
      </c>
      <c r="J24" s="12" t="n">
        <f aca="false">SUMIFS(Data!$H$4:$H$2311,Data!$B$4:$B$2311,"Edible Tallow",Data!$C$4:$C$2311,"Canada",Data!$E$4:$E$2311,2024,Data!$F$4:$F$2311,9)</f>
        <v>1.06689845775022</v>
      </c>
      <c r="K24" s="12" t="n">
        <f aca="false">SUMIFS(Data!$H$4:$H$2311,Data!$B$4:$B$2311,"Edible Tallow",Data!$C$4:$C$2311,"Canada",Data!$E$4:$E$2311,2024,Data!$F$4:$F$2311,10)</f>
        <v>1.27809689567821</v>
      </c>
      <c r="L24" s="12" t="n">
        <f aca="false">SUMIFS(Data!$H$4:$H$2311,Data!$B$4:$B$2311,"Edible Tallow",Data!$C$4:$C$2311,"Canada",Data!$E$4:$E$2311,2024,Data!$F$4:$F$2311,11)</f>
        <v>1.46247830403401</v>
      </c>
      <c r="M24" s="12" t="n">
        <f aca="false">SUMIFS(Data!$H$4:$H$2311,Data!$B$4:$B$2311,"Edible Tallow",Data!$C$4:$C$2311,"Canada",Data!$E$4:$E$2311,2024,Data!$F$4:$F$2311,12)</f>
        <v>1.1931902646429</v>
      </c>
      <c r="N24" s="13" t="n">
        <f aca="false">SUM(B24:M24)</f>
        <v>21.9827176546324</v>
      </c>
    </row>
    <row r="25" customFormat="false" ht="15" hidden="false" customHeight="false" outlineLevel="0" collapsed="false">
      <c r="A25" s="11" t="s">
        <v>78</v>
      </c>
      <c r="B25" s="12" t="n">
        <f aca="false">SUMIFS(Data!$H$4:$H$2311,Data!$B$4:$B$2311,"Edible Tallow",Data!$C$4:$C$2311,"New Zealand",Data!$E$4:$E$2311,2024,Data!$F$4:$F$2311,1)</f>
        <v>0.0095768806693164</v>
      </c>
      <c r="C25" s="12" t="n">
        <f aca="false">SUMIFS(Data!$H$4:$H$2311,Data!$B$4:$B$2311,"Edible Tallow",Data!$C$4:$C$2311,"New Zealand",Data!$E$4:$E$2311,2024,Data!$F$4:$F$2311,2)</f>
        <v>0</v>
      </c>
      <c r="D25" s="12" t="n">
        <f aca="false">SUMIFS(Data!$H$4:$H$2311,Data!$B$4:$B$2311,"Edible Tallow",Data!$C$4:$C$2311,"New Zealand",Data!$E$4:$E$2311,2024,Data!$F$4:$F$2311,3)</f>
        <v>0</v>
      </c>
      <c r="E25" s="12" t="n">
        <f aca="false">SUMIFS(Data!$H$4:$H$2311,Data!$B$4:$B$2311,"Edible Tallow",Data!$C$4:$C$2311,"New Zealand",Data!$E$4:$E$2311,2024,Data!$F$4:$F$2311,4)</f>
        <v>0.101921908430747</v>
      </c>
      <c r="F25" s="12" t="n">
        <f aca="false">SUMIFS(Data!$H$4:$H$2311,Data!$B$4:$B$2311,"Edible Tallow",Data!$C$4:$C$2311,"New Zealand",Data!$E$4:$E$2311,2024,Data!$F$4:$F$2311,5)</f>
        <v>0</v>
      </c>
      <c r="G25" s="12" t="n">
        <f aca="false">SUMIFS(Data!$H$4:$H$2311,Data!$B$4:$B$2311,"Edible Tallow",Data!$C$4:$C$2311,"New Zealand",Data!$E$4:$E$2311,2024,Data!$F$4:$F$2311,6)</f>
        <v>0</v>
      </c>
      <c r="H25" s="12" t="n">
        <f aca="false">SUMIFS(Data!$H$4:$H$2311,Data!$B$4:$B$2311,"Edible Tallow",Data!$C$4:$C$2311,"New Zealand",Data!$E$4:$E$2311,2024,Data!$F$4:$F$2311,7)</f>
        <v>0.0485237439069185</v>
      </c>
      <c r="I25" s="12" t="n">
        <f aca="false">SUMIFS(Data!$H$4:$H$2311,Data!$B$4:$B$2311,"Edible Tallow",Data!$C$4:$C$2311,"New Zealand",Data!$E$4:$E$2311,2024,Data!$F$4:$F$2311,8)</f>
        <v>0</v>
      </c>
      <c r="J25" s="12" t="n">
        <f aca="false">SUMIFS(Data!$H$4:$H$2311,Data!$B$4:$B$2311,"Edible Tallow",Data!$C$4:$C$2311,"New Zealand",Data!$E$4:$E$2311,2024,Data!$F$4:$F$2311,9)</f>
        <v>0.0492248139006668</v>
      </c>
      <c r="K25" s="12" t="n">
        <f aca="false">SUMIFS(Data!$H$4:$H$2311,Data!$B$4:$B$2311,"Edible Tallow",Data!$C$4:$C$2311,"New Zealand",Data!$E$4:$E$2311,2024,Data!$F$4:$F$2311,10)</f>
        <v>0</v>
      </c>
      <c r="L25" s="12" t="n">
        <f aca="false">SUMIFS(Data!$H$4:$H$2311,Data!$B$4:$B$2311,"Edible Tallow",Data!$C$4:$C$2311,"New Zealand",Data!$E$4:$E$2311,2024,Data!$F$4:$F$2311,11)</f>
        <v>0.0403732540739391</v>
      </c>
      <c r="M25" s="12" t="n">
        <f aca="false">SUMIFS(Data!$H$4:$H$2311,Data!$B$4:$B$2311,"Edible Tallow",Data!$C$4:$C$2311,"New Zealand",Data!$E$4:$E$2311,2024,Data!$F$4:$F$2311,12)</f>
        <v>0</v>
      </c>
      <c r="N25" s="13" t="n">
        <f aca="false">SUM(B25:M25)</f>
        <v>0.249620600981588</v>
      </c>
    </row>
    <row r="26" customFormat="false" ht="15" hidden="false" customHeight="false" outlineLevel="0" collapsed="false">
      <c r="A26" s="11" t="s">
        <v>194</v>
      </c>
      <c r="B26" s="12" t="n">
        <f aca="false">SUMIFS(Data!$H$4:$H$2311,Data!$B$4:$B$2311,"Edible Tallow",Data!$C$4:$C$2311,"Uganda",Data!$E$4:$E$2311,2024,Data!$F$4:$F$2311,1)</f>
        <v>0</v>
      </c>
      <c r="C26" s="12" t="n">
        <f aca="false">SUMIFS(Data!$H$4:$H$2311,Data!$B$4:$B$2311,"Edible Tallow",Data!$C$4:$C$2311,"Uganda",Data!$E$4:$E$2311,2024,Data!$F$4:$F$2311,2)</f>
        <v>0</v>
      </c>
      <c r="D26" s="12" t="n">
        <f aca="false">SUMIFS(Data!$H$4:$H$2311,Data!$B$4:$B$2311,"Edible Tallow",Data!$C$4:$C$2311,"Uganda",Data!$E$4:$E$2311,2024,Data!$F$4:$F$2311,3)</f>
        <v>0</v>
      </c>
      <c r="E26" s="12" t="n">
        <f aca="false">SUMIFS(Data!$H$4:$H$2311,Data!$B$4:$B$2311,"Edible Tallow",Data!$C$4:$C$2311,"Uganda",Data!$E$4:$E$2311,2024,Data!$F$4:$F$2311,4)</f>
        <v>0</v>
      </c>
      <c r="F26" s="12" t="n">
        <f aca="false">SUMIFS(Data!$H$4:$H$2311,Data!$B$4:$B$2311,"Edible Tallow",Data!$C$4:$C$2311,"Uganda",Data!$E$4:$E$2311,2024,Data!$F$4:$F$2311,5)</f>
        <v>0</v>
      </c>
      <c r="G26" s="12" t="n">
        <f aca="false">SUMIFS(Data!$H$4:$H$2311,Data!$B$4:$B$2311,"Edible Tallow",Data!$C$4:$C$2311,"Uganda",Data!$E$4:$E$2311,2024,Data!$F$4:$F$2311,6)</f>
        <v>0.0022222596028248</v>
      </c>
      <c r="H26" s="12" t="n">
        <f aca="false">SUMIFS(Data!$H$4:$H$2311,Data!$B$4:$B$2311,"Edible Tallow",Data!$C$4:$C$2311,"Uganda",Data!$E$4:$E$2311,2024,Data!$F$4:$F$2311,7)</f>
        <v>0</v>
      </c>
      <c r="I26" s="12" t="n">
        <f aca="false">SUMIFS(Data!$H$4:$H$2311,Data!$B$4:$B$2311,"Edible Tallow",Data!$C$4:$C$2311,"Uganda",Data!$E$4:$E$2311,2024,Data!$F$4:$F$2311,8)</f>
        <v>0</v>
      </c>
      <c r="J26" s="12" t="n">
        <f aca="false">SUMIFS(Data!$H$4:$H$2311,Data!$B$4:$B$2311,"Edible Tallow",Data!$C$4:$C$2311,"Uganda",Data!$E$4:$E$2311,2024,Data!$F$4:$F$2311,9)</f>
        <v>0</v>
      </c>
      <c r="K26" s="12" t="n">
        <f aca="false">SUMIFS(Data!$H$4:$H$2311,Data!$B$4:$B$2311,"Edible Tallow",Data!$C$4:$C$2311,"Uganda",Data!$E$4:$E$2311,2024,Data!$F$4:$F$2311,10)</f>
        <v>0</v>
      </c>
      <c r="L26" s="12" t="n">
        <f aca="false">SUMIFS(Data!$H$4:$H$2311,Data!$B$4:$B$2311,"Edible Tallow",Data!$C$4:$C$2311,"Uganda",Data!$E$4:$E$2311,2024,Data!$F$4:$F$2311,11)</f>
        <v>0</v>
      </c>
      <c r="M26" s="12" t="n">
        <f aca="false">SUMIFS(Data!$H$4:$H$2311,Data!$B$4:$B$2311,"Edible Tallow",Data!$C$4:$C$2311,"Uganda",Data!$E$4:$E$2311,2024,Data!$F$4:$F$2311,12)</f>
        <v>0</v>
      </c>
      <c r="N26" s="13" t="n">
        <f aca="false">SUM(B26:M26)</f>
        <v>0.0022222596028248</v>
      </c>
    </row>
    <row r="27" customFormat="false" ht="15" hidden="false" customHeight="false" outlineLevel="0" collapsed="false">
      <c r="A27" s="11" t="s">
        <v>109</v>
      </c>
      <c r="B27" s="12" t="n">
        <f aca="false">SUMIFS(Data!$H$4:$H$2311,Data!$B$4:$B$2311,"Edible Tallow",Data!$C$4:$C$2311,"Australia",Data!$E$4:$E$2311,2024,Data!$F$4:$F$2311,1)</f>
        <v>0</v>
      </c>
      <c r="C27" s="12" t="n">
        <f aca="false">SUMIFS(Data!$H$4:$H$2311,Data!$B$4:$B$2311,"Edible Tallow",Data!$C$4:$C$2311,"Australia",Data!$E$4:$E$2311,2024,Data!$F$4:$F$2311,2)</f>
        <v>0</v>
      </c>
      <c r="D27" s="12" t="n">
        <f aca="false">SUMIFS(Data!$H$4:$H$2311,Data!$B$4:$B$2311,"Edible Tallow",Data!$C$4:$C$2311,"Australia",Data!$E$4:$E$2311,2024,Data!$F$4:$F$2311,3)</f>
        <v>0.00220462262185</v>
      </c>
      <c r="E27" s="12" t="n">
        <f aca="false">SUMIFS(Data!$H$4:$H$2311,Data!$B$4:$B$2311,"Edible Tallow",Data!$C$4:$C$2311,"Australia",Data!$E$4:$E$2311,2024,Data!$F$4:$F$2311,4)</f>
        <v>0</v>
      </c>
      <c r="F27" s="12" t="n">
        <f aca="false">SUMIFS(Data!$H$4:$H$2311,Data!$B$4:$B$2311,"Edible Tallow",Data!$C$4:$C$2311,"Australia",Data!$E$4:$E$2311,2024,Data!$F$4:$F$2311,5)</f>
        <v>0</v>
      </c>
      <c r="G27" s="12" t="n">
        <f aca="false">SUMIFS(Data!$H$4:$H$2311,Data!$B$4:$B$2311,"Edible Tallow",Data!$C$4:$C$2311,"Australia",Data!$E$4:$E$2311,2024,Data!$F$4:$F$2311,6)</f>
        <v>0</v>
      </c>
      <c r="H27" s="12" t="n">
        <f aca="false">SUMIFS(Data!$H$4:$H$2311,Data!$B$4:$B$2311,"Edible Tallow",Data!$C$4:$C$2311,"Australia",Data!$E$4:$E$2311,2024,Data!$F$4:$F$2311,7)</f>
        <v>0</v>
      </c>
      <c r="I27" s="12" t="n">
        <f aca="false">SUMIFS(Data!$H$4:$H$2311,Data!$B$4:$B$2311,"Edible Tallow",Data!$C$4:$C$2311,"Australia",Data!$E$4:$E$2311,2024,Data!$F$4:$F$2311,8)</f>
        <v>0</v>
      </c>
      <c r="J27" s="12" t="n">
        <f aca="false">SUMIFS(Data!$H$4:$H$2311,Data!$B$4:$B$2311,"Edible Tallow",Data!$C$4:$C$2311,"Australia",Data!$E$4:$E$2311,2024,Data!$F$4:$F$2311,9)</f>
        <v>0</v>
      </c>
      <c r="K27" s="12" t="n">
        <f aca="false">SUMIFS(Data!$H$4:$H$2311,Data!$B$4:$B$2311,"Edible Tallow",Data!$C$4:$C$2311,"Australia",Data!$E$4:$E$2311,2024,Data!$F$4:$F$2311,10)</f>
        <v>0</v>
      </c>
      <c r="L27" s="12" t="n">
        <f aca="false">SUMIFS(Data!$H$4:$H$2311,Data!$B$4:$B$2311,"Edible Tallow",Data!$C$4:$C$2311,"Australia",Data!$E$4:$E$2311,2024,Data!$F$4:$F$2311,11)</f>
        <v>0</v>
      </c>
      <c r="M27" s="12" t="n">
        <f aca="false">SUMIFS(Data!$H$4:$H$2311,Data!$B$4:$B$2311,"Edible Tallow",Data!$C$4:$C$2311,"Australia",Data!$E$4:$E$2311,2024,Data!$F$4:$F$2311,12)</f>
        <v>0</v>
      </c>
      <c r="N27" s="13" t="n">
        <f aca="false">SUM(B27:M27)</f>
        <v>0.00220462262185</v>
      </c>
    </row>
    <row r="29" customFormat="false" ht="15" hidden="false" customHeight="false" outlineLevel="0" collapsed="false">
      <c r="A29" s="8"/>
      <c r="B29" s="9" t="s">
        <v>164</v>
      </c>
      <c r="C29" s="9" t="s">
        <v>165</v>
      </c>
      <c r="D29" s="9" t="s">
        <v>166</v>
      </c>
      <c r="E29" s="9" t="s">
        <v>167</v>
      </c>
      <c r="F29" s="9" t="s">
        <v>168</v>
      </c>
      <c r="G29" s="9" t="s">
        <v>169</v>
      </c>
      <c r="H29" s="9" t="s">
        <v>170</v>
      </c>
      <c r="I29" s="9" t="s">
        <v>171</v>
      </c>
      <c r="J29" s="9" t="s">
        <v>172</v>
      </c>
      <c r="K29" s="9" t="s">
        <v>173</v>
      </c>
      <c r="L29" s="9" t="s">
        <v>174</v>
      </c>
      <c r="M29" s="9" t="s">
        <v>175</v>
      </c>
      <c r="N29" s="9" t="s">
        <v>33</v>
      </c>
    </row>
    <row r="30" customFormat="false" ht="15" hidden="false" customHeight="false" outlineLevel="0" collapsed="false">
      <c r="A30" s="10" t="s">
        <v>35</v>
      </c>
      <c r="B30" s="10" t="n">
        <f aca="false">SUM(B31:B34)</f>
        <v>1.49254715197342</v>
      </c>
      <c r="C30" s="10" t="n">
        <f aca="false">SUM(C31:C34)</f>
        <v>1.41647223916125</v>
      </c>
      <c r="D30" s="10" t="n">
        <f aca="false">SUM(D31:D34)</f>
        <v>1.66899632813581</v>
      </c>
      <c r="E30" s="10" t="n">
        <f aca="false">SUM(E31:E34)</f>
        <v>1.64248794573069</v>
      </c>
      <c r="F30" s="10" t="n">
        <f aca="false">SUM(F31:F34)</f>
        <v>1.33929942428339</v>
      </c>
      <c r="G30" s="10" t="n">
        <f aca="false">SUM(G31:G34)</f>
        <v>3.35202728388232</v>
      </c>
      <c r="H30" s="10" t="n">
        <f aca="false">SUM(H31:H34)</f>
        <v>3.31597288552459</v>
      </c>
      <c r="I30" s="10" t="n">
        <f aca="false">SUM(I31:I34)</f>
        <v>4.39729177984433</v>
      </c>
      <c r="J30" s="10" t="n">
        <f aca="false">SUM(J31:J34)</f>
        <v>3.0067723581875</v>
      </c>
      <c r="K30" s="10" t="n">
        <f aca="false">SUM(K31:K34)</f>
        <v>5.09183168138671</v>
      </c>
      <c r="L30" s="10" t="n">
        <f aca="false">SUM(L31:L34)</f>
        <v>7.87954171275408</v>
      </c>
      <c r="M30" s="10" t="n">
        <f aca="false">SUM(M31:M34)</f>
        <v>4.7555275235366</v>
      </c>
      <c r="N30" s="10" t="n">
        <f aca="false">SUM(B30:M30)</f>
        <v>39.3587683144007</v>
      </c>
    </row>
    <row r="31" customFormat="false" ht="15" hidden="false" customHeight="false" outlineLevel="0" collapsed="false">
      <c r="A31" s="11" t="s">
        <v>43</v>
      </c>
      <c r="B31" s="12" t="n">
        <f aca="false">SUMIFS(Data!$H$4:$H$2311,Data!$B$4:$B$2311,"Edible Tallow",Data!$C$4:$C$2311,"Canada",Data!$E$4:$E$2311,2025,Data!$F$4:$F$2311,1)</f>
        <v>1.43634911671985</v>
      </c>
      <c r="C31" s="12" t="n">
        <f aca="false">SUMIFS(Data!$H$4:$H$2311,Data!$B$4:$B$2311,"Edible Tallow",Data!$C$4:$C$2311,"Canada",Data!$E$4:$E$2311,2025,Data!$F$4:$F$2311,2)</f>
        <v>1.3413894065289</v>
      </c>
      <c r="D31" s="12" t="n">
        <f aca="false">SUMIFS(Data!$H$4:$H$2311,Data!$B$4:$B$2311,"Edible Tallow",Data!$C$4:$C$2311,"Canada",Data!$E$4:$E$2311,2025,Data!$F$4:$F$2311,3)</f>
        <v>1.66236041404404</v>
      </c>
      <c r="E31" s="12" t="n">
        <f aca="false">SUMIFS(Data!$H$4:$H$2311,Data!$B$4:$B$2311,"Edible Tallow",Data!$C$4:$C$2311,"Canada",Data!$E$4:$E$2311,2025,Data!$F$4:$F$2311,4)</f>
        <v>1.63545960881223</v>
      </c>
      <c r="F31" s="12" t="n">
        <f aca="false">SUMIFS(Data!$H$4:$H$2311,Data!$B$4:$B$2311,"Edible Tallow",Data!$C$4:$C$2311,"Canada",Data!$E$4:$E$2311,2025,Data!$F$4:$F$2311,5)</f>
        <v>1.33526716950802</v>
      </c>
      <c r="G31" s="12" t="n">
        <f aca="false">SUMIFS(Data!$H$4:$H$2311,Data!$B$4:$B$2311,"Edible Tallow",Data!$C$4:$C$2311,"Canada",Data!$E$4:$E$2311,2025,Data!$F$4:$F$2311,6)</f>
        <v>2.5904470130321</v>
      </c>
      <c r="H31" s="12" t="n">
        <f aca="false">SUMIFS(Data!$H$4:$H$2311,Data!$B$4:$B$2311,"Edible Tallow",Data!$C$4:$C$2311,"Canada",Data!$E$4:$E$2311,2025,Data!$F$4:$F$2311,7)</f>
        <v>1.49299248574304</v>
      </c>
      <c r="I31" s="12" t="n">
        <f aca="false">SUMIFS(Data!$H$4:$H$2311,Data!$B$4:$B$2311,"Edible Tallow",Data!$C$4:$C$2311,"Canada",Data!$E$4:$E$2311,2025,Data!$F$4:$F$2311,8)</f>
        <v>2.45327759812322</v>
      </c>
      <c r="J31" s="12" t="n">
        <f aca="false">SUMIFS(Data!$H$4:$H$2311,Data!$B$4:$B$2311,"Edible Tallow",Data!$C$4:$C$2311,"Canada",Data!$E$4:$E$2311,2025,Data!$F$4:$F$2311,9)</f>
        <v>1.42181403977399</v>
      </c>
      <c r="K31" s="12" t="n">
        <f aca="false">SUMIFS(Data!$H$4:$H$2311,Data!$B$4:$B$2311,"Edible Tallow",Data!$C$4:$C$2311,"Canada",Data!$E$4:$E$2311,2025,Data!$F$4:$F$2311,10)</f>
        <v>3.76178946749247</v>
      </c>
      <c r="L31" s="12" t="n">
        <f aca="false">SUMIFS(Data!$H$4:$H$2311,Data!$B$4:$B$2311,"Edible Tallow",Data!$C$4:$C$2311,"Canada",Data!$E$4:$E$2311,2025,Data!$F$4:$F$2311,11)</f>
        <v>4.4979350071544</v>
      </c>
      <c r="M31" s="12" t="n">
        <f aca="false">SUMIFS(Data!$H$4:$H$2311,Data!$B$4:$B$2311,"Edible Tallow",Data!$C$4:$C$2311,"Canada",Data!$E$4:$E$2311,2025,Data!$F$4:$F$2311,12)</f>
        <v>1.89861218344673</v>
      </c>
      <c r="N31" s="13" t="n">
        <f aca="false">SUM(B31:M31)</f>
        <v>25.527693510379</v>
      </c>
    </row>
    <row r="32" customFormat="false" ht="15" hidden="false" customHeight="false" outlineLevel="0" collapsed="false">
      <c r="A32" s="11" t="s">
        <v>47</v>
      </c>
      <c r="B32" s="12" t="n">
        <f aca="false">SUMIFS(Data!$H$4:$H$2311,Data!$B$4:$B$2311,"Edible Tallow",Data!$C$4:$C$2311,"Mexico",Data!$E$4:$E$2311,2025,Data!$F$4:$F$2311,1)</f>
        <v>0</v>
      </c>
      <c r="C32" s="12" t="n">
        <f aca="false">SUMIFS(Data!$H$4:$H$2311,Data!$B$4:$B$2311,"Edible Tallow",Data!$C$4:$C$2311,"Mexico",Data!$E$4:$E$2311,2025,Data!$F$4:$F$2311,2)</f>
        <v>0</v>
      </c>
      <c r="D32" s="12" t="n">
        <f aca="false">SUMIFS(Data!$H$4:$H$2311,Data!$B$4:$B$2311,"Edible Tallow",Data!$C$4:$C$2311,"Mexico",Data!$E$4:$E$2311,2025,Data!$F$4:$F$2311,3)</f>
        <v>0</v>
      </c>
      <c r="E32" s="12" t="n">
        <f aca="false">SUMIFS(Data!$H$4:$H$2311,Data!$B$4:$B$2311,"Edible Tallow",Data!$C$4:$C$2311,"Mexico",Data!$E$4:$E$2311,2025,Data!$F$4:$F$2311,4)</f>
        <v>0</v>
      </c>
      <c r="F32" s="12" t="n">
        <f aca="false">SUMIFS(Data!$H$4:$H$2311,Data!$B$4:$B$2311,"Edible Tallow",Data!$C$4:$C$2311,"Mexico",Data!$E$4:$E$2311,2025,Data!$F$4:$F$2311,5)</f>
        <v>0</v>
      </c>
      <c r="G32" s="12" t="n">
        <f aca="false">SUMIFS(Data!$H$4:$H$2311,Data!$B$4:$B$2311,"Edible Tallow",Data!$C$4:$C$2311,"Mexico",Data!$E$4:$E$2311,2025,Data!$F$4:$F$2311,6)</f>
        <v>0.687026547647116</v>
      </c>
      <c r="H32" s="12" t="n">
        <f aca="false">SUMIFS(Data!$H$4:$H$2311,Data!$B$4:$B$2311,"Edible Tallow",Data!$C$4:$C$2311,"Mexico",Data!$E$4:$E$2311,2025,Data!$F$4:$F$2311,7)</f>
        <v>1.755565244628</v>
      </c>
      <c r="I32" s="12" t="n">
        <f aca="false">SUMIFS(Data!$H$4:$H$2311,Data!$B$4:$B$2311,"Edible Tallow",Data!$C$4:$C$2311,"Mexico",Data!$E$4:$E$2311,2025,Data!$F$4:$F$2311,8)</f>
        <v>1.94401418172111</v>
      </c>
      <c r="J32" s="12" t="n">
        <f aca="false">SUMIFS(Data!$H$4:$H$2311,Data!$B$4:$B$2311,"Edible Tallow",Data!$C$4:$C$2311,"Mexico",Data!$E$4:$E$2311,2025,Data!$F$4:$F$2311,9)</f>
        <v>1.58059537024487</v>
      </c>
      <c r="K32" s="12" t="n">
        <f aca="false">SUMIFS(Data!$H$4:$H$2311,Data!$B$4:$B$2311,"Edible Tallow",Data!$C$4:$C$2311,"Mexico",Data!$E$4:$E$2311,2025,Data!$F$4:$F$2311,10)</f>
        <v>1.32845488560651</v>
      </c>
      <c r="L32" s="12" t="n">
        <f aca="false">SUMIFS(Data!$H$4:$H$2311,Data!$B$4:$B$2311,"Edible Tallow",Data!$C$4:$C$2311,"Mexico",Data!$E$4:$E$2311,2025,Data!$F$4:$F$2311,11)</f>
        <v>3.37653607356943</v>
      </c>
      <c r="M32" s="12" t="n">
        <f aca="false">SUMIFS(Data!$H$4:$H$2311,Data!$B$4:$B$2311,"Edible Tallow",Data!$C$4:$C$2311,"Mexico",Data!$E$4:$E$2311,2025,Data!$F$4:$F$2311,12)</f>
        <v>2.8485642295983</v>
      </c>
      <c r="N32" s="13" t="n">
        <f aca="false">SUM(B32:M32)</f>
        <v>13.5207565330153</v>
      </c>
    </row>
    <row r="33" customFormat="false" ht="15" hidden="false" customHeight="false" outlineLevel="0" collapsed="false">
      <c r="A33" s="11" t="s">
        <v>78</v>
      </c>
      <c r="B33" s="12" t="n">
        <f aca="false">SUMIFS(Data!$H$4:$H$2311,Data!$B$4:$B$2311,"Edible Tallow",Data!$C$4:$C$2311,"New Zealand",Data!$E$4:$E$2311,2025,Data!$F$4:$F$2311,1)</f>
        <v>0.0561980352535784</v>
      </c>
      <c r="C33" s="12" t="n">
        <f aca="false">SUMIFS(Data!$H$4:$H$2311,Data!$B$4:$B$2311,"Edible Tallow",Data!$C$4:$C$2311,"New Zealand",Data!$E$4:$E$2311,2025,Data!$F$4:$F$2311,2)</f>
        <v>0.0750828326323455</v>
      </c>
      <c r="D33" s="12" t="n">
        <f aca="false">SUMIFS(Data!$H$4:$H$2311,Data!$B$4:$B$2311,"Edible Tallow",Data!$C$4:$C$2311,"New Zealand",Data!$E$4:$E$2311,2025,Data!$F$4:$F$2311,3)</f>
        <v>0.0066359140917685</v>
      </c>
      <c r="E33" s="12" t="n">
        <f aca="false">SUMIFS(Data!$H$4:$H$2311,Data!$B$4:$B$2311,"Edible Tallow",Data!$C$4:$C$2311,"New Zealand",Data!$E$4:$E$2311,2025,Data!$F$4:$F$2311,4)</f>
        <v>0.0070283369184578</v>
      </c>
      <c r="F33" s="12" t="n">
        <f aca="false">SUMIFS(Data!$H$4:$H$2311,Data!$B$4:$B$2311,"Edible Tallow",Data!$C$4:$C$2311,"New Zealand",Data!$E$4:$E$2311,2025,Data!$F$4:$F$2311,5)</f>
        <v>0.00403225477536365</v>
      </c>
      <c r="G33" s="12" t="n">
        <f aca="false">SUMIFS(Data!$H$4:$H$2311,Data!$B$4:$B$2311,"Edible Tallow",Data!$C$4:$C$2311,"New Zealand",Data!$E$4:$E$2311,2025,Data!$F$4:$F$2311,6)</f>
        <v>0.0745537232031015</v>
      </c>
      <c r="H33" s="12" t="n">
        <f aca="false">SUMIFS(Data!$H$4:$H$2311,Data!$B$4:$B$2311,"Edible Tallow",Data!$C$4:$C$2311,"New Zealand",Data!$E$4:$E$2311,2025,Data!$F$4:$F$2311,7)</f>
        <v>0.0674151551535512</v>
      </c>
      <c r="I33" s="12" t="n">
        <f aca="false">SUMIFS(Data!$H$4:$H$2311,Data!$B$4:$B$2311,"Edible Tallow",Data!$C$4:$C$2311,"New Zealand",Data!$E$4:$E$2311,2025,Data!$F$4:$F$2311,8)</f>
        <v>0</v>
      </c>
      <c r="J33" s="12" t="n">
        <f aca="false">SUMIFS(Data!$H$4:$H$2311,Data!$B$4:$B$2311,"Edible Tallow",Data!$C$4:$C$2311,"New Zealand",Data!$E$4:$E$2311,2025,Data!$F$4:$F$2311,9)</f>
        <v>0.00436294816864115</v>
      </c>
      <c r="K33" s="12" t="n">
        <f aca="false">SUMIFS(Data!$H$4:$H$2311,Data!$B$4:$B$2311,"Edible Tallow",Data!$C$4:$C$2311,"New Zealand",Data!$E$4:$E$2311,2025,Data!$F$4:$F$2311,10)</f>
        <v>0</v>
      </c>
      <c r="L33" s="12" t="n">
        <f aca="false">SUMIFS(Data!$H$4:$H$2311,Data!$B$4:$B$2311,"Edible Tallow",Data!$C$4:$C$2311,"New Zealand",Data!$E$4:$E$2311,2025,Data!$F$4:$F$2311,11)</f>
        <v>0.005070632030255</v>
      </c>
      <c r="M33" s="12" t="n">
        <f aca="false">SUMIFS(Data!$H$4:$H$2311,Data!$B$4:$B$2311,"Edible Tallow",Data!$C$4:$C$2311,"New Zealand",Data!$E$4:$E$2311,2025,Data!$F$4:$F$2311,12)</f>
        <v>0.0083511104915678</v>
      </c>
      <c r="N33" s="13" t="n">
        <f aca="false">SUM(B33:M33)</f>
        <v>0.30873094271863</v>
      </c>
    </row>
    <row r="34" customFormat="false" ht="15" hidden="false" customHeight="false" outlineLevel="0" collapsed="false">
      <c r="A34" s="11" t="s">
        <v>109</v>
      </c>
      <c r="B34" s="12" t="n">
        <f aca="false">SUMIFS(Data!$H$4:$H$2311,Data!$B$4:$B$2311,"Edible Tallow",Data!$C$4:$C$2311,"Australia",Data!$E$4:$E$2311,2025,Data!$F$4:$F$2311,1)</f>
        <v>0</v>
      </c>
      <c r="C34" s="12" t="n">
        <f aca="false">SUMIFS(Data!$H$4:$H$2311,Data!$B$4:$B$2311,"Edible Tallow",Data!$C$4:$C$2311,"Australia",Data!$E$4:$E$2311,2025,Data!$F$4:$F$2311,2)</f>
        <v>0</v>
      </c>
      <c r="D34" s="12" t="n">
        <f aca="false">SUMIFS(Data!$H$4:$H$2311,Data!$B$4:$B$2311,"Edible Tallow",Data!$C$4:$C$2311,"Australia",Data!$E$4:$E$2311,2025,Data!$F$4:$F$2311,3)</f>
        <v>0</v>
      </c>
      <c r="E34" s="12" t="n">
        <f aca="false">SUMIFS(Data!$H$4:$H$2311,Data!$B$4:$B$2311,"Edible Tallow",Data!$C$4:$C$2311,"Australia",Data!$E$4:$E$2311,2025,Data!$F$4:$F$2311,4)</f>
        <v>0</v>
      </c>
      <c r="F34" s="12" t="n">
        <f aca="false">SUMIFS(Data!$H$4:$H$2311,Data!$B$4:$B$2311,"Edible Tallow",Data!$C$4:$C$2311,"Australia",Data!$E$4:$E$2311,2025,Data!$F$4:$F$2311,5)</f>
        <v>0</v>
      </c>
      <c r="G34" s="12" t="n">
        <f aca="false">SUMIFS(Data!$H$4:$H$2311,Data!$B$4:$B$2311,"Edible Tallow",Data!$C$4:$C$2311,"Australia",Data!$E$4:$E$2311,2025,Data!$F$4:$F$2311,6)</f>
        <v>0</v>
      </c>
      <c r="H34" s="12" t="n">
        <f aca="false">SUMIFS(Data!$H$4:$H$2311,Data!$B$4:$B$2311,"Edible Tallow",Data!$C$4:$C$2311,"Australia",Data!$E$4:$E$2311,2025,Data!$F$4:$F$2311,7)</f>
        <v>0</v>
      </c>
      <c r="I34" s="12" t="n">
        <f aca="false">SUMIFS(Data!$H$4:$H$2311,Data!$B$4:$B$2311,"Edible Tallow",Data!$C$4:$C$2311,"Australia",Data!$E$4:$E$2311,2025,Data!$F$4:$F$2311,8)</f>
        <v>0</v>
      </c>
      <c r="J34" s="12" t="n">
        <f aca="false">SUMIFS(Data!$H$4:$H$2311,Data!$B$4:$B$2311,"Edible Tallow",Data!$C$4:$C$2311,"Australia",Data!$E$4:$E$2311,2025,Data!$F$4:$F$2311,9)</f>
        <v>0</v>
      </c>
      <c r="K34" s="12" t="n">
        <f aca="false">SUMIFS(Data!$H$4:$H$2311,Data!$B$4:$B$2311,"Edible Tallow",Data!$C$4:$C$2311,"Australia",Data!$E$4:$E$2311,2025,Data!$F$4:$F$2311,10)</f>
        <v>0.001587328287732</v>
      </c>
      <c r="L34" s="12" t="n">
        <f aca="false">SUMIFS(Data!$H$4:$H$2311,Data!$B$4:$B$2311,"Edible Tallow",Data!$C$4:$C$2311,"Australia",Data!$E$4:$E$2311,2025,Data!$F$4:$F$2311,11)</f>
        <v>0</v>
      </c>
      <c r="M34" s="12" t="n">
        <f aca="false">SUMIFS(Data!$H$4:$H$2311,Data!$B$4:$B$2311,"Edible Tallow",Data!$C$4:$C$2311,"Australia",Data!$E$4:$E$2311,2025,Data!$F$4:$F$2311,12)</f>
        <v>0</v>
      </c>
      <c r="N34" s="13" t="n">
        <f aca="false">SUM(B34:M34)</f>
        <v>0.001587328287732</v>
      </c>
    </row>
    <row r="36" customFormat="false" ht="15" hidden="false" customHeight="false" outlineLevel="0" collapsed="false">
      <c r="A36" s="8"/>
      <c r="B36" s="9" t="s">
        <v>178</v>
      </c>
      <c r="C36" s="9" t="s">
        <v>179</v>
      </c>
      <c r="D36" s="9" t="s">
        <v>180</v>
      </c>
      <c r="E36" s="9" t="s">
        <v>181</v>
      </c>
      <c r="F36" s="9" t="s">
        <v>182</v>
      </c>
      <c r="G36" s="9" t="s">
        <v>183</v>
      </c>
      <c r="H36" s="9" t="s">
        <v>184</v>
      </c>
      <c r="I36" s="9" t="s">
        <v>185</v>
      </c>
      <c r="J36" s="9" t="s">
        <v>186</v>
      </c>
      <c r="K36" s="9" t="s">
        <v>187</v>
      </c>
      <c r="L36" s="9" t="s">
        <v>188</v>
      </c>
      <c r="M36" s="9" t="s">
        <v>189</v>
      </c>
      <c r="N36" s="9" t="s">
        <v>33</v>
      </c>
    </row>
    <row r="37" customFormat="false" ht="15" hidden="false" customHeight="false" outlineLevel="0" collapsed="false">
      <c r="A37" s="10" t="s">
        <v>35</v>
      </c>
      <c r="B37" s="10" t="n">
        <f aca="false">SUM(B38:B41)</f>
        <v>6.45933043362618</v>
      </c>
      <c r="C37" s="10" t="n">
        <f aca="false">SUM(C38:C41)</f>
        <v>6.03344364015982</v>
      </c>
      <c r="D37" s="10" t="n">
        <f aca="false">SUM(D38:D41)</f>
        <v>6.91497301861965</v>
      </c>
      <c r="E37" s="10" t="n">
        <f aca="false">SUM(E38:E41)</f>
        <v>4.98785286004978</v>
      </c>
      <c r="F37" s="10" t="n">
        <f aca="false">SUM(F38:F41)</f>
        <v>5.06435987889584</v>
      </c>
      <c r="G37" s="10" t="n">
        <f aca="false">SUM(G38:G41)</f>
        <v>5.65612909229806</v>
      </c>
      <c r="H37" s="10" t="n">
        <f aca="false">SUM(H38:H41)</f>
        <v>5.91326525179753</v>
      </c>
      <c r="I37" s="10" t="n">
        <f aca="false">SUM(I38:I41)</f>
        <v>5.07759863774005</v>
      </c>
      <c r="J37" s="10"/>
      <c r="K37" s="10"/>
      <c r="L37" s="10"/>
      <c r="M37" s="10"/>
      <c r="N37" s="10" t="n">
        <f aca="false">SUM(B37:M37)</f>
        <v>46.1069528131869</v>
      </c>
    </row>
    <row r="38" customFormat="false" ht="15" hidden="false" customHeight="false" outlineLevel="0" collapsed="false">
      <c r="A38" s="11" t="s">
        <v>47</v>
      </c>
      <c r="B38" s="12" t="n">
        <f aca="false">SUMIFS(Data!$H$4:$H$2311,Data!$B$4:$B$2311,"Edible Tallow",Data!$C$4:$C$2311,"Mexico",Data!$E$4:$E$2311,2026,Data!$F$4:$F$2311,1)</f>
        <v>3.03045882363666</v>
      </c>
      <c r="C38" s="12" t="n">
        <f aca="false">SUMIFS(Data!$H$4:$H$2311,Data!$B$4:$B$2311,"Edible Tallow",Data!$C$4:$C$2311,"Mexico",Data!$E$4:$E$2311,2026,Data!$F$4:$F$2311,2)</f>
        <v>2.56343156742395</v>
      </c>
      <c r="D38" s="12" t="n">
        <f aca="false">SUMIFS(Data!$H$4:$H$2311,Data!$B$4:$B$2311,"Edible Tallow",Data!$C$4:$C$2311,"Mexico",Data!$E$4:$E$2311,2026,Data!$F$4:$F$2311,3)</f>
        <v>3.67231926762993</v>
      </c>
      <c r="E38" s="12" t="n">
        <f aca="false">SUMIFS(Data!$H$4:$H$2311,Data!$B$4:$B$2311,"Edible Tallow",Data!$C$4:$C$2311,"Mexico",Data!$E$4:$E$2311,2026,Data!$F$4:$F$2311,4)</f>
        <v>2.31590094868788</v>
      </c>
      <c r="F38" s="12" t="n">
        <f aca="false">SUMIFS(Data!$H$4:$H$2311,Data!$B$4:$B$2311,"Edible Tallow",Data!$C$4:$C$2311,"Mexico",Data!$E$4:$E$2311,2026,Data!$F$4:$F$2311,5)</f>
        <v>2.3451033799369</v>
      </c>
      <c r="G38" s="12" t="n">
        <f aca="false">SUMIFS(Data!$H$4:$H$2311,Data!$B$4:$B$2311,"Edible Tallow",Data!$C$4:$C$2311,"Mexico",Data!$E$4:$E$2311,2026,Data!$F$4:$F$2311,6)</f>
        <v>3.36308126170828</v>
      </c>
      <c r="H38" s="12" t="n">
        <f aca="false">SUMIFS(Data!$H$4:$H$2311,Data!$B$4:$B$2311,"Edible Tallow",Data!$C$4:$C$2311,"Mexico",Data!$E$4:$E$2311,2026,Data!$F$4:$F$2311,7)</f>
        <v>3.82660096332962</v>
      </c>
      <c r="I38" s="12" t="n">
        <f aca="false">SUMIFS(Data!$H$4:$H$2311,Data!$B$4:$B$2311,"Edible Tallow",Data!$C$4:$C$2311,"Mexico",Data!$E$4:$E$2311,2026,Data!$F$4:$F$2311,8)</f>
        <v>2.94737541550962</v>
      </c>
      <c r="J38" s="12"/>
      <c r="K38" s="12"/>
      <c r="L38" s="12"/>
      <c r="M38" s="12"/>
      <c r="N38" s="13" t="n">
        <f aca="false">SUM(B38:M38)</f>
        <v>24.0642716278628</v>
      </c>
    </row>
    <row r="39" customFormat="false" ht="15" hidden="false" customHeight="false" outlineLevel="0" collapsed="false">
      <c r="A39" s="11" t="s">
        <v>43</v>
      </c>
      <c r="B39" s="12" t="n">
        <f aca="false">SUMIFS(Data!$H$4:$H$2311,Data!$B$4:$B$2311,"Edible Tallow",Data!$C$4:$C$2311,"Canada",Data!$E$4:$E$2311,2026,Data!$F$4:$F$2311,1)</f>
        <v>3.38799790658042</v>
      </c>
      <c r="C39" s="12" t="n">
        <f aca="false">SUMIFS(Data!$H$4:$H$2311,Data!$B$4:$B$2311,"Edible Tallow",Data!$C$4:$C$2311,"Canada",Data!$E$4:$E$2311,2026,Data!$F$4:$F$2311,2)</f>
        <v>3.4329457525947</v>
      </c>
      <c r="D39" s="12" t="n">
        <f aca="false">SUMIFS(Data!$H$4:$H$2311,Data!$B$4:$B$2311,"Edible Tallow",Data!$C$4:$C$2311,"Canada",Data!$E$4:$E$2311,2026,Data!$F$4:$F$2311,3)</f>
        <v>3.23260067183408</v>
      </c>
      <c r="E39" s="12" t="n">
        <f aca="false">SUMIFS(Data!$H$4:$H$2311,Data!$B$4:$B$2311,"Edible Tallow",Data!$C$4:$C$2311,"Canada",Data!$E$4:$E$2311,2026,Data!$F$4:$F$2311,4)</f>
        <v>2.6719519113619</v>
      </c>
      <c r="F39" s="12" t="n">
        <f aca="false">SUMIFS(Data!$H$4:$H$2311,Data!$B$4:$B$2311,"Edible Tallow",Data!$C$4:$C$2311,"Canada",Data!$E$4:$E$2311,2026,Data!$F$4:$F$2311,5)</f>
        <v>2.71925649895893</v>
      </c>
      <c r="G39" s="12" t="n">
        <f aca="false">SUMIFS(Data!$H$4:$H$2311,Data!$B$4:$B$2311,"Edible Tallow",Data!$C$4:$C$2311,"Canada",Data!$E$4:$E$2311,2026,Data!$F$4:$F$2311,6)</f>
        <v>2.28666985734477</v>
      </c>
      <c r="H39" s="12" t="n">
        <f aca="false">SUMIFS(Data!$H$4:$H$2311,Data!$B$4:$B$2311,"Edible Tallow",Data!$C$4:$C$2311,"Canada",Data!$E$4:$E$2311,2026,Data!$F$4:$F$2311,7)</f>
        <v>2.08508136942543</v>
      </c>
      <c r="I39" s="12" t="n">
        <f aca="false">SUMIFS(Data!$H$4:$H$2311,Data!$B$4:$B$2311,"Edible Tallow",Data!$C$4:$C$2311,"Canada",Data!$E$4:$E$2311,2026,Data!$F$4:$F$2311,8)</f>
        <v>2.13022322223043</v>
      </c>
      <c r="J39" s="12"/>
      <c r="K39" s="12"/>
      <c r="L39" s="12"/>
      <c r="M39" s="12"/>
      <c r="N39" s="13" t="n">
        <f aca="false">SUM(B39:M39)</f>
        <v>21.9467271903307</v>
      </c>
    </row>
    <row r="40" customFormat="false" ht="15" hidden="false" customHeight="false" outlineLevel="0" collapsed="false">
      <c r="A40" s="11" t="s">
        <v>78</v>
      </c>
      <c r="B40" s="12" t="n">
        <f aca="false">SUMIFS(Data!$H$4:$H$2311,Data!$B$4:$B$2311,"Edible Tallow",Data!$C$4:$C$2311,"New Zealand",Data!$E$4:$E$2311,2026,Data!$F$4:$F$2311,1)</f>
        <v>0.0402872737916869</v>
      </c>
      <c r="C40" s="12" t="n">
        <f aca="false">SUMIFS(Data!$H$4:$H$2311,Data!$B$4:$B$2311,"Edible Tallow",Data!$C$4:$C$2311,"New Zealand",Data!$E$4:$E$2311,2026,Data!$F$4:$F$2311,2)</f>
        <v>0.0363013160913821</v>
      </c>
      <c r="D40" s="12" t="n">
        <f aca="false">SUMIFS(Data!$H$4:$H$2311,Data!$B$4:$B$2311,"Edible Tallow",Data!$C$4:$C$2311,"New Zealand",Data!$E$4:$E$2311,2026,Data!$F$4:$F$2311,3)</f>
        <v>0.010053079155636</v>
      </c>
      <c r="E40" s="12" t="n">
        <f aca="false">SUMIFS(Data!$H$4:$H$2311,Data!$B$4:$B$2311,"Edible Tallow",Data!$C$4:$C$2311,"New Zealand",Data!$E$4:$E$2311,2026,Data!$F$4:$F$2311,4)</f>
        <v>0</v>
      </c>
      <c r="F40" s="12" t="n">
        <f aca="false">SUMIFS(Data!$H$4:$H$2311,Data!$B$4:$B$2311,"Edible Tallow",Data!$C$4:$C$2311,"New Zealand",Data!$E$4:$E$2311,2026,Data!$F$4:$F$2311,5)</f>
        <v>0</v>
      </c>
      <c r="G40" s="12" t="n">
        <f aca="false">SUMIFS(Data!$H$4:$H$2311,Data!$B$4:$B$2311,"Edible Tallow",Data!$C$4:$C$2311,"New Zealand",Data!$E$4:$E$2311,2026,Data!$F$4:$F$2311,6)</f>
        <v>0.00637797324501205</v>
      </c>
      <c r="H40" s="12" t="n">
        <f aca="false">SUMIFS(Data!$H$4:$H$2311,Data!$B$4:$B$2311,"Edible Tallow",Data!$C$4:$C$2311,"New Zealand",Data!$E$4:$E$2311,2026,Data!$F$4:$F$2311,7)</f>
        <v>0.0015829190424883</v>
      </c>
      <c r="I40" s="12" t="n">
        <f aca="false">SUMIFS(Data!$H$4:$H$2311,Data!$B$4:$B$2311,"Edible Tallow",Data!$C$4:$C$2311,"New Zealand",Data!$E$4:$E$2311,2026,Data!$F$4:$F$2311,8)</f>
        <v>0</v>
      </c>
      <c r="J40" s="12"/>
      <c r="K40" s="12"/>
      <c r="L40" s="12"/>
      <c r="M40" s="12"/>
      <c r="N40" s="13" t="n">
        <f aca="false">SUM(B40:M40)</f>
        <v>0.0946025613262054</v>
      </c>
    </row>
    <row r="41" customFormat="false" ht="15" hidden="false" customHeight="false" outlineLevel="0" collapsed="false">
      <c r="A41" s="11" t="s">
        <v>109</v>
      </c>
      <c r="B41" s="12" t="n">
        <f aca="false">SUMIFS(Data!$H$4:$H$2311,Data!$B$4:$B$2311,"Edible Tallow",Data!$C$4:$C$2311,"Australia",Data!$E$4:$E$2311,2026,Data!$F$4:$F$2311,1)</f>
        <v>0.0005864296174121</v>
      </c>
      <c r="C41" s="12" t="n">
        <f aca="false">SUMIFS(Data!$H$4:$H$2311,Data!$B$4:$B$2311,"Edible Tallow",Data!$C$4:$C$2311,"Australia",Data!$E$4:$E$2311,2026,Data!$F$4:$F$2311,2)</f>
        <v>0.00076500404978195</v>
      </c>
      <c r="D41" s="12" t="n">
        <f aca="false">SUMIFS(Data!$H$4:$H$2311,Data!$B$4:$B$2311,"Edible Tallow",Data!$C$4:$C$2311,"Australia",Data!$E$4:$E$2311,2026,Data!$F$4:$F$2311,3)</f>
        <v>0</v>
      </c>
      <c r="E41" s="12" t="n">
        <f aca="false">SUMIFS(Data!$H$4:$H$2311,Data!$B$4:$B$2311,"Edible Tallow",Data!$C$4:$C$2311,"Australia",Data!$E$4:$E$2311,2026,Data!$F$4:$F$2311,4)</f>
        <v>0</v>
      </c>
      <c r="F41" s="12" t="n">
        <f aca="false">SUMIFS(Data!$H$4:$H$2311,Data!$B$4:$B$2311,"Edible Tallow",Data!$C$4:$C$2311,"Australia",Data!$E$4:$E$2311,2026,Data!$F$4:$F$2311,5)</f>
        <v>0</v>
      </c>
      <c r="G41" s="12" t="n">
        <f aca="false">SUMIFS(Data!$H$4:$H$2311,Data!$B$4:$B$2311,"Edible Tallow",Data!$C$4:$C$2311,"Australia",Data!$E$4:$E$2311,2026,Data!$F$4:$F$2311,6)</f>
        <v>0</v>
      </c>
      <c r="H41" s="12" t="n">
        <f aca="false">SUMIFS(Data!$H$4:$H$2311,Data!$B$4:$B$2311,"Edible Tallow",Data!$C$4:$C$2311,"Australia",Data!$E$4:$E$2311,2026,Data!$F$4:$F$2311,7)</f>
        <v>0</v>
      </c>
      <c r="I41" s="12" t="n">
        <f aca="false">SUMIFS(Data!$H$4:$H$2311,Data!$B$4:$B$2311,"Edible Tallow",Data!$C$4:$C$2311,"Australia",Data!$E$4:$E$2311,2026,Data!$F$4:$F$2311,8)</f>
        <v>0</v>
      </c>
      <c r="J41" s="12"/>
      <c r="K41" s="12"/>
      <c r="L41" s="12"/>
      <c r="M41" s="12"/>
      <c r="N41" s="13" t="n">
        <f aca="false">SUM(B41:M41)</f>
        <v>0.00135143366719405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6" min="5" style="0" width="6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6" t="s">
        <v>195</v>
      </c>
      <c r="B1" s="14" t="n">
        <v>2.20462262185</v>
      </c>
      <c r="C1" s="15" t="s">
        <v>196</v>
      </c>
    </row>
    <row r="3" customFormat="false" ht="15" hidden="false" customHeight="false" outlineLevel="0" collapsed="false">
      <c r="A3" s="2" t="s">
        <v>197</v>
      </c>
      <c r="B3" s="2" t="s">
        <v>1</v>
      </c>
      <c r="C3" s="2" t="s">
        <v>198</v>
      </c>
      <c r="D3" s="2" t="s">
        <v>199</v>
      </c>
      <c r="E3" s="2" t="s">
        <v>200</v>
      </c>
      <c r="F3" s="2" t="s">
        <v>36</v>
      </c>
      <c r="G3" s="2" t="s">
        <v>201</v>
      </c>
      <c r="H3" s="2" t="s">
        <v>202</v>
      </c>
    </row>
    <row r="4" customFormat="false" ht="15" hidden="false" customHeight="false" outlineLevel="0" collapsed="false">
      <c r="A4" s="4" t="s">
        <v>203</v>
      </c>
      <c r="B4" s="4" t="s">
        <v>204</v>
      </c>
      <c r="C4" s="4" t="s">
        <v>109</v>
      </c>
      <c r="D4" s="16" t="n">
        <v>45352</v>
      </c>
      <c r="E4" s="4" t="n">
        <v>2024</v>
      </c>
      <c r="F4" s="4" t="n">
        <v>3</v>
      </c>
      <c r="G4" s="17" t="n">
        <v>1000</v>
      </c>
      <c r="H4" s="18" t="n">
        <f aca="false">G4*$B$1/1000000</f>
        <v>0.00220462262185</v>
      </c>
    </row>
    <row r="5" customFormat="false" ht="15" hidden="false" customHeight="false" outlineLevel="0" collapsed="false">
      <c r="A5" s="4" t="s">
        <v>203</v>
      </c>
      <c r="B5" s="4" t="s">
        <v>204</v>
      </c>
      <c r="C5" s="4" t="s">
        <v>109</v>
      </c>
      <c r="D5" s="16" t="n">
        <v>45931</v>
      </c>
      <c r="E5" s="4" t="n">
        <v>2025</v>
      </c>
      <c r="F5" s="4" t="n">
        <v>10</v>
      </c>
      <c r="G5" s="17" t="n">
        <v>720</v>
      </c>
      <c r="H5" s="18" t="n">
        <f aca="false">G5*$B$1/1000000</f>
        <v>0.001587328287732</v>
      </c>
    </row>
    <row r="6" customFormat="false" ht="15" hidden="false" customHeight="false" outlineLevel="0" collapsed="false">
      <c r="A6" s="4" t="s">
        <v>203</v>
      </c>
      <c r="B6" s="4" t="s">
        <v>204</v>
      </c>
      <c r="C6" s="4" t="s">
        <v>109</v>
      </c>
      <c r="D6" s="16" t="n">
        <v>46023</v>
      </c>
      <c r="E6" s="4" t="n">
        <v>2026</v>
      </c>
      <c r="F6" s="4" t="n">
        <v>1</v>
      </c>
      <c r="G6" s="17" t="n">
        <v>266</v>
      </c>
      <c r="H6" s="18" t="n">
        <f aca="false">G6*$B$1/1000000</f>
        <v>0.0005864296174121</v>
      </c>
    </row>
    <row r="7" customFormat="false" ht="15" hidden="false" customHeight="false" outlineLevel="0" collapsed="false">
      <c r="A7" s="4" t="s">
        <v>203</v>
      </c>
      <c r="B7" s="4" t="s">
        <v>204</v>
      </c>
      <c r="C7" s="4" t="s">
        <v>109</v>
      </c>
      <c r="D7" s="16" t="n">
        <v>46054</v>
      </c>
      <c r="E7" s="4" t="n">
        <v>2026</v>
      </c>
      <c r="F7" s="4" t="n">
        <v>2</v>
      </c>
      <c r="G7" s="17" t="n">
        <v>347</v>
      </c>
      <c r="H7" s="18" t="n">
        <f aca="false">G7*$B$1/1000000</f>
        <v>0.00076500404978195</v>
      </c>
    </row>
    <row r="8" customFormat="false" ht="15" hidden="false" customHeight="false" outlineLevel="0" collapsed="false">
      <c r="A8" s="4" t="s">
        <v>203</v>
      </c>
      <c r="B8" s="4" t="s">
        <v>204</v>
      </c>
      <c r="C8" s="4" t="s">
        <v>43</v>
      </c>
      <c r="D8" s="16" t="n">
        <v>43831</v>
      </c>
      <c r="E8" s="4" t="n">
        <v>2020</v>
      </c>
      <c r="F8" s="4" t="n">
        <v>1</v>
      </c>
      <c r="G8" s="17" t="n">
        <v>446708</v>
      </c>
      <c r="H8" s="18" t="n">
        <f aca="false">G8*$B$1/1000000</f>
        <v>0.98482256216137</v>
      </c>
    </row>
    <row r="9" customFormat="false" ht="15" hidden="false" customHeight="false" outlineLevel="0" collapsed="false">
      <c r="A9" s="4" t="s">
        <v>203</v>
      </c>
      <c r="B9" s="4" t="s">
        <v>204</v>
      </c>
      <c r="C9" s="4" t="s">
        <v>43</v>
      </c>
      <c r="D9" s="16" t="n">
        <v>43862</v>
      </c>
      <c r="E9" s="4" t="n">
        <v>2020</v>
      </c>
      <c r="F9" s="4" t="n">
        <v>2</v>
      </c>
      <c r="G9" s="17" t="n">
        <v>398026</v>
      </c>
      <c r="H9" s="18" t="n">
        <f aca="false">G9*$B$1/1000000</f>
        <v>0.877497123684468</v>
      </c>
    </row>
    <row r="10" customFormat="false" ht="15" hidden="false" customHeight="false" outlineLevel="0" collapsed="false">
      <c r="A10" s="4" t="s">
        <v>203</v>
      </c>
      <c r="B10" s="4" t="s">
        <v>204</v>
      </c>
      <c r="C10" s="4" t="s">
        <v>43</v>
      </c>
      <c r="D10" s="16" t="n">
        <v>43891</v>
      </c>
      <c r="E10" s="4" t="n">
        <v>2020</v>
      </c>
      <c r="F10" s="4" t="n">
        <v>3</v>
      </c>
      <c r="G10" s="17" t="n">
        <v>456020</v>
      </c>
      <c r="H10" s="18" t="n">
        <f aca="false">G10*$B$1/1000000</f>
        <v>1.00535200801604</v>
      </c>
    </row>
    <row r="11" customFormat="false" ht="15" hidden="false" customHeight="false" outlineLevel="0" collapsed="false">
      <c r="A11" s="4" t="s">
        <v>203</v>
      </c>
      <c r="B11" s="4" t="s">
        <v>204</v>
      </c>
      <c r="C11" s="4" t="s">
        <v>43</v>
      </c>
      <c r="D11" s="16" t="n">
        <v>43922</v>
      </c>
      <c r="E11" s="4" t="n">
        <v>2020</v>
      </c>
      <c r="F11" s="4" t="n">
        <v>4</v>
      </c>
      <c r="G11" s="17" t="n">
        <v>873416</v>
      </c>
      <c r="H11" s="18" t="n">
        <f aca="false">G11*$B$1/1000000</f>
        <v>1.92555267188574</v>
      </c>
    </row>
    <row r="12" customFormat="false" ht="15" hidden="false" customHeight="false" outlineLevel="0" collapsed="false">
      <c r="A12" s="4" t="s">
        <v>203</v>
      </c>
      <c r="B12" s="4" t="s">
        <v>204</v>
      </c>
      <c r="C12" s="4" t="s">
        <v>43</v>
      </c>
      <c r="D12" s="16" t="n">
        <v>43952</v>
      </c>
      <c r="E12" s="4" t="n">
        <v>2020</v>
      </c>
      <c r="F12" s="4" t="n">
        <v>5</v>
      </c>
      <c r="G12" s="17" t="n">
        <v>1020681</v>
      </c>
      <c r="H12" s="18" t="n">
        <f aca="false">G12*$B$1/1000000</f>
        <v>2.25021642229248</v>
      </c>
    </row>
    <row r="13" customFormat="false" ht="15" hidden="false" customHeight="false" outlineLevel="0" collapsed="false">
      <c r="A13" s="4" t="s">
        <v>203</v>
      </c>
      <c r="B13" s="4" t="s">
        <v>204</v>
      </c>
      <c r="C13" s="4" t="s">
        <v>43</v>
      </c>
      <c r="D13" s="16" t="n">
        <v>43983</v>
      </c>
      <c r="E13" s="4" t="n">
        <v>2020</v>
      </c>
      <c r="F13" s="4" t="n">
        <v>6</v>
      </c>
      <c r="G13" s="17" t="n">
        <v>470017</v>
      </c>
      <c r="H13" s="18" t="n">
        <f aca="false">G13*$B$1/1000000</f>
        <v>1.03621011085407</v>
      </c>
    </row>
    <row r="14" customFormat="false" ht="15" hidden="false" customHeight="false" outlineLevel="0" collapsed="false">
      <c r="A14" s="4" t="s">
        <v>203</v>
      </c>
      <c r="B14" s="4" t="s">
        <v>204</v>
      </c>
      <c r="C14" s="4" t="s">
        <v>43</v>
      </c>
      <c r="D14" s="16" t="n">
        <v>44013</v>
      </c>
      <c r="E14" s="4" t="n">
        <v>2020</v>
      </c>
      <c r="F14" s="4" t="n">
        <v>7</v>
      </c>
      <c r="G14" s="17" t="n">
        <v>584911</v>
      </c>
      <c r="H14" s="18" t="n">
        <f aca="false">G14*$B$1/1000000</f>
        <v>1.28950802236891</v>
      </c>
    </row>
    <row r="15" customFormat="false" ht="15" hidden="false" customHeight="false" outlineLevel="0" collapsed="false">
      <c r="A15" s="4" t="s">
        <v>203</v>
      </c>
      <c r="B15" s="4" t="s">
        <v>204</v>
      </c>
      <c r="C15" s="4" t="s">
        <v>43</v>
      </c>
      <c r="D15" s="16" t="n">
        <v>44044</v>
      </c>
      <c r="E15" s="4" t="n">
        <v>2020</v>
      </c>
      <c r="F15" s="4" t="n">
        <v>8</v>
      </c>
      <c r="G15" s="17" t="n">
        <v>1503590</v>
      </c>
      <c r="H15" s="18" t="n">
        <f aca="false">G15*$B$1/1000000</f>
        <v>3.31484852798744</v>
      </c>
    </row>
    <row r="16" customFormat="false" ht="15" hidden="false" customHeight="false" outlineLevel="0" collapsed="false">
      <c r="A16" s="4" t="s">
        <v>203</v>
      </c>
      <c r="B16" s="4" t="s">
        <v>204</v>
      </c>
      <c r="C16" s="4" t="s">
        <v>43</v>
      </c>
      <c r="D16" s="16" t="n">
        <v>44075</v>
      </c>
      <c r="E16" s="4" t="n">
        <v>2020</v>
      </c>
      <c r="F16" s="4" t="n">
        <v>9</v>
      </c>
      <c r="G16" s="17" t="n">
        <v>1470095</v>
      </c>
      <c r="H16" s="18" t="n">
        <f aca="false">G16*$B$1/1000000</f>
        <v>3.24100469326858</v>
      </c>
    </row>
    <row r="17" customFormat="false" ht="15" hidden="false" customHeight="false" outlineLevel="0" collapsed="false">
      <c r="A17" s="4" t="s">
        <v>203</v>
      </c>
      <c r="B17" s="4" t="s">
        <v>204</v>
      </c>
      <c r="C17" s="4" t="s">
        <v>43</v>
      </c>
      <c r="D17" s="16" t="n">
        <v>44105</v>
      </c>
      <c r="E17" s="4" t="n">
        <v>2020</v>
      </c>
      <c r="F17" s="4" t="n">
        <v>10</v>
      </c>
      <c r="G17" s="17" t="n">
        <v>1821678</v>
      </c>
      <c r="H17" s="18" t="n">
        <f aca="false">G17*$B$1/1000000</f>
        <v>4.01611252852646</v>
      </c>
    </row>
    <row r="18" customFormat="false" ht="15" hidden="false" customHeight="false" outlineLevel="0" collapsed="false">
      <c r="A18" s="4" t="s">
        <v>203</v>
      </c>
      <c r="B18" s="4" t="s">
        <v>204</v>
      </c>
      <c r="C18" s="4" t="s">
        <v>43</v>
      </c>
      <c r="D18" s="16" t="n">
        <v>44136</v>
      </c>
      <c r="E18" s="4" t="n">
        <v>2020</v>
      </c>
      <c r="F18" s="4" t="n">
        <v>11</v>
      </c>
      <c r="G18" s="17" t="n">
        <v>941098</v>
      </c>
      <c r="H18" s="18" t="n">
        <f aca="false">G18*$B$1/1000000</f>
        <v>2.07476594017779</v>
      </c>
    </row>
    <row r="19" customFormat="false" ht="15" hidden="false" customHeight="false" outlineLevel="0" collapsed="false">
      <c r="A19" s="4" t="s">
        <v>203</v>
      </c>
      <c r="B19" s="4" t="s">
        <v>204</v>
      </c>
      <c r="C19" s="4" t="s">
        <v>43</v>
      </c>
      <c r="D19" s="16" t="n">
        <v>44166</v>
      </c>
      <c r="E19" s="4" t="n">
        <v>2020</v>
      </c>
      <c r="F19" s="4" t="n">
        <v>12</v>
      </c>
      <c r="G19" s="17" t="n">
        <v>923392</v>
      </c>
      <c r="H19" s="18" t="n">
        <f aca="false">G19*$B$1/1000000</f>
        <v>2.03573089203532</v>
      </c>
    </row>
    <row r="20" customFormat="false" ht="15" hidden="false" customHeight="false" outlineLevel="0" collapsed="false">
      <c r="A20" s="4" t="s">
        <v>203</v>
      </c>
      <c r="B20" s="4" t="s">
        <v>204</v>
      </c>
      <c r="C20" s="4" t="s">
        <v>43</v>
      </c>
      <c r="D20" s="16" t="n">
        <v>44197</v>
      </c>
      <c r="E20" s="4" t="n">
        <v>2021</v>
      </c>
      <c r="F20" s="4" t="n">
        <v>1</v>
      </c>
      <c r="G20" s="17" t="n">
        <v>129055</v>
      </c>
      <c r="H20" s="18" t="n">
        <f aca="false">G20*$B$1/1000000</f>
        <v>0.284517572462852</v>
      </c>
    </row>
    <row r="21" customFormat="false" ht="15" hidden="false" customHeight="false" outlineLevel="0" collapsed="false">
      <c r="A21" s="4" t="s">
        <v>203</v>
      </c>
      <c r="B21" s="4" t="s">
        <v>204</v>
      </c>
      <c r="C21" s="4" t="s">
        <v>43</v>
      </c>
      <c r="D21" s="16" t="n">
        <v>44228</v>
      </c>
      <c r="E21" s="4" t="n">
        <v>2021</v>
      </c>
      <c r="F21" s="4" t="n">
        <v>2</v>
      </c>
      <c r="G21" s="17" t="n">
        <v>826190</v>
      </c>
      <c r="H21" s="18" t="n">
        <f aca="false">G21*$B$1/1000000</f>
        <v>1.82143716394625</v>
      </c>
    </row>
    <row r="22" customFormat="false" ht="15" hidden="false" customHeight="false" outlineLevel="0" collapsed="false">
      <c r="A22" s="4" t="s">
        <v>203</v>
      </c>
      <c r="B22" s="4" t="s">
        <v>204</v>
      </c>
      <c r="C22" s="4" t="s">
        <v>43</v>
      </c>
      <c r="D22" s="16" t="n">
        <v>44256</v>
      </c>
      <c r="E22" s="4" t="n">
        <v>2021</v>
      </c>
      <c r="F22" s="4" t="n">
        <v>3</v>
      </c>
      <c r="G22" s="17" t="n">
        <v>882417</v>
      </c>
      <c r="H22" s="18" t="n">
        <f aca="false">G22*$B$1/1000000</f>
        <v>1.94539648010501</v>
      </c>
    </row>
    <row r="23" customFormat="false" ht="15" hidden="false" customHeight="false" outlineLevel="0" collapsed="false">
      <c r="A23" s="4" t="s">
        <v>203</v>
      </c>
      <c r="B23" s="4" t="s">
        <v>204</v>
      </c>
      <c r="C23" s="4" t="s">
        <v>43</v>
      </c>
      <c r="D23" s="16" t="n">
        <v>44287</v>
      </c>
      <c r="E23" s="4" t="n">
        <v>2021</v>
      </c>
      <c r="F23" s="4" t="n">
        <v>4</v>
      </c>
      <c r="G23" s="17" t="n">
        <v>511895</v>
      </c>
      <c r="H23" s="18" t="n">
        <f aca="false">G23*$B$1/1000000</f>
        <v>1.12853529701191</v>
      </c>
    </row>
    <row r="24" customFormat="false" ht="15" hidden="false" customHeight="false" outlineLevel="0" collapsed="false">
      <c r="A24" s="4" t="s">
        <v>203</v>
      </c>
      <c r="B24" s="4" t="s">
        <v>204</v>
      </c>
      <c r="C24" s="4" t="s">
        <v>43</v>
      </c>
      <c r="D24" s="16" t="n">
        <v>44317</v>
      </c>
      <c r="E24" s="4" t="n">
        <v>2021</v>
      </c>
      <c r="F24" s="4" t="n">
        <v>5</v>
      </c>
      <c r="G24" s="17" t="n">
        <v>304566</v>
      </c>
      <c r="H24" s="18" t="n">
        <f aca="false">G24*$B$1/1000000</f>
        <v>0.671453093446367</v>
      </c>
    </row>
    <row r="25" customFormat="false" ht="15" hidden="false" customHeight="false" outlineLevel="0" collapsed="false">
      <c r="A25" s="4" t="s">
        <v>203</v>
      </c>
      <c r="B25" s="4" t="s">
        <v>204</v>
      </c>
      <c r="C25" s="4" t="s">
        <v>43</v>
      </c>
      <c r="D25" s="16" t="n">
        <v>44348</v>
      </c>
      <c r="E25" s="4" t="n">
        <v>2021</v>
      </c>
      <c r="F25" s="4" t="n">
        <v>6</v>
      </c>
      <c r="G25" s="17" t="n">
        <v>214313</v>
      </c>
      <c r="H25" s="18" t="n">
        <f aca="false">G25*$B$1/1000000</f>
        <v>0.472479287956539</v>
      </c>
    </row>
    <row r="26" customFormat="false" ht="15" hidden="false" customHeight="false" outlineLevel="0" collapsed="false">
      <c r="A26" s="4" t="s">
        <v>203</v>
      </c>
      <c r="B26" s="4" t="s">
        <v>204</v>
      </c>
      <c r="C26" s="4" t="s">
        <v>43</v>
      </c>
      <c r="D26" s="16" t="n">
        <v>44378</v>
      </c>
      <c r="E26" s="4" t="n">
        <v>2021</v>
      </c>
      <c r="F26" s="4" t="n">
        <v>7</v>
      </c>
      <c r="G26" s="17" t="n">
        <v>418251</v>
      </c>
      <c r="H26" s="18" t="n">
        <f aca="false">G26*$B$1/1000000</f>
        <v>0.922085616211384</v>
      </c>
    </row>
    <row r="27" customFormat="false" ht="15" hidden="false" customHeight="false" outlineLevel="0" collapsed="false">
      <c r="A27" s="4" t="s">
        <v>203</v>
      </c>
      <c r="B27" s="4" t="s">
        <v>204</v>
      </c>
      <c r="C27" s="4" t="s">
        <v>43</v>
      </c>
      <c r="D27" s="16" t="n">
        <v>44409</v>
      </c>
      <c r="E27" s="4" t="n">
        <v>2021</v>
      </c>
      <c r="F27" s="4" t="n">
        <v>8</v>
      </c>
      <c r="G27" s="17" t="n">
        <v>1500990</v>
      </c>
      <c r="H27" s="18" t="n">
        <f aca="false">G27*$B$1/1000000</f>
        <v>3.30911650917063</v>
      </c>
    </row>
    <row r="28" customFormat="false" ht="15" hidden="false" customHeight="false" outlineLevel="0" collapsed="false">
      <c r="A28" s="4" t="s">
        <v>203</v>
      </c>
      <c r="B28" s="4" t="s">
        <v>204</v>
      </c>
      <c r="C28" s="4" t="s">
        <v>43</v>
      </c>
      <c r="D28" s="16" t="n">
        <v>44440</v>
      </c>
      <c r="E28" s="4" t="n">
        <v>2021</v>
      </c>
      <c r="F28" s="4" t="n">
        <v>9</v>
      </c>
      <c r="G28" s="17" t="n">
        <v>2082869</v>
      </c>
      <c r="H28" s="18" t="n">
        <f aca="false">G28*$B$1/1000000</f>
        <v>4.59194011575009</v>
      </c>
    </row>
    <row r="29" customFormat="false" ht="15" hidden="false" customHeight="false" outlineLevel="0" collapsed="false">
      <c r="A29" s="4" t="s">
        <v>203</v>
      </c>
      <c r="B29" s="4" t="s">
        <v>204</v>
      </c>
      <c r="C29" s="4" t="s">
        <v>43</v>
      </c>
      <c r="D29" s="16" t="n">
        <v>44470</v>
      </c>
      <c r="E29" s="4" t="n">
        <v>2021</v>
      </c>
      <c r="F29" s="4" t="n">
        <v>10</v>
      </c>
      <c r="G29" s="17" t="n">
        <v>2408210</v>
      </c>
      <c r="H29" s="18" t="n">
        <f aca="false">G29*$B$1/1000000</f>
        <v>5.30919424416539</v>
      </c>
    </row>
    <row r="30" customFormat="false" ht="15" hidden="false" customHeight="false" outlineLevel="0" collapsed="false">
      <c r="A30" s="4" t="s">
        <v>203</v>
      </c>
      <c r="B30" s="4" t="s">
        <v>204</v>
      </c>
      <c r="C30" s="4" t="s">
        <v>43</v>
      </c>
      <c r="D30" s="16" t="n">
        <v>44501</v>
      </c>
      <c r="E30" s="4" t="n">
        <v>2021</v>
      </c>
      <c r="F30" s="4" t="n">
        <v>11</v>
      </c>
      <c r="G30" s="17" t="n">
        <v>3040580</v>
      </c>
      <c r="H30" s="18" t="n">
        <f aca="false">G30*$B$1/1000000</f>
        <v>6.70333145154467</v>
      </c>
    </row>
    <row r="31" customFormat="false" ht="15" hidden="false" customHeight="false" outlineLevel="0" collapsed="false">
      <c r="A31" s="4" t="s">
        <v>203</v>
      </c>
      <c r="B31" s="4" t="s">
        <v>204</v>
      </c>
      <c r="C31" s="4" t="s">
        <v>43</v>
      </c>
      <c r="D31" s="16" t="n">
        <v>44531</v>
      </c>
      <c r="E31" s="4" t="n">
        <v>2021</v>
      </c>
      <c r="F31" s="4" t="n">
        <v>12</v>
      </c>
      <c r="G31" s="17" t="n">
        <v>1456828</v>
      </c>
      <c r="H31" s="18" t="n">
        <f aca="false">G31*$B$1/1000000</f>
        <v>3.21175596494449</v>
      </c>
    </row>
    <row r="32" customFormat="false" ht="15" hidden="false" customHeight="false" outlineLevel="0" collapsed="false">
      <c r="A32" s="4" t="s">
        <v>203</v>
      </c>
      <c r="B32" s="4" t="s">
        <v>204</v>
      </c>
      <c r="C32" s="4" t="s">
        <v>43</v>
      </c>
      <c r="D32" s="16" t="n">
        <v>44562</v>
      </c>
      <c r="E32" s="4" t="n">
        <v>2022</v>
      </c>
      <c r="F32" s="4" t="n">
        <v>1</v>
      </c>
      <c r="G32" s="17" t="n">
        <v>732828</v>
      </c>
      <c r="H32" s="18" t="n">
        <f aca="false">G32*$B$1/1000000</f>
        <v>1.61560918672509</v>
      </c>
    </row>
    <row r="33" customFormat="false" ht="15" hidden="false" customHeight="false" outlineLevel="0" collapsed="false">
      <c r="A33" s="4" t="s">
        <v>203</v>
      </c>
      <c r="B33" s="4" t="s">
        <v>204</v>
      </c>
      <c r="C33" s="4" t="s">
        <v>43</v>
      </c>
      <c r="D33" s="16" t="n">
        <v>44593</v>
      </c>
      <c r="E33" s="4" t="n">
        <v>2022</v>
      </c>
      <c r="F33" s="4" t="n">
        <v>2</v>
      </c>
      <c r="G33" s="17" t="n">
        <v>402740</v>
      </c>
      <c r="H33" s="18" t="n">
        <f aca="false">G33*$B$1/1000000</f>
        <v>0.887889714723869</v>
      </c>
    </row>
    <row r="34" customFormat="false" ht="15" hidden="false" customHeight="false" outlineLevel="0" collapsed="false">
      <c r="A34" s="4" t="s">
        <v>203</v>
      </c>
      <c r="B34" s="4" t="s">
        <v>204</v>
      </c>
      <c r="C34" s="4" t="s">
        <v>43</v>
      </c>
      <c r="D34" s="16" t="n">
        <v>44621</v>
      </c>
      <c r="E34" s="4" t="n">
        <v>2022</v>
      </c>
      <c r="F34" s="4" t="n">
        <v>3</v>
      </c>
      <c r="G34" s="17" t="n">
        <v>1090016</v>
      </c>
      <c r="H34" s="18" t="n">
        <f aca="false">G34*$B$1/1000000</f>
        <v>2.40307393177845</v>
      </c>
    </row>
    <row r="35" customFormat="false" ht="15" hidden="false" customHeight="false" outlineLevel="0" collapsed="false">
      <c r="A35" s="4" t="s">
        <v>203</v>
      </c>
      <c r="B35" s="4" t="s">
        <v>204</v>
      </c>
      <c r="C35" s="4" t="s">
        <v>43</v>
      </c>
      <c r="D35" s="16" t="n">
        <v>44652</v>
      </c>
      <c r="E35" s="4" t="n">
        <v>2022</v>
      </c>
      <c r="F35" s="4" t="n">
        <v>4</v>
      </c>
      <c r="G35" s="17" t="n">
        <v>2431645</v>
      </c>
      <c r="H35" s="18" t="n">
        <f aca="false">G35*$B$1/1000000</f>
        <v>5.36085957530844</v>
      </c>
    </row>
    <row r="36" customFormat="false" ht="15" hidden="false" customHeight="false" outlineLevel="0" collapsed="false">
      <c r="A36" s="4" t="s">
        <v>203</v>
      </c>
      <c r="B36" s="4" t="s">
        <v>204</v>
      </c>
      <c r="C36" s="4" t="s">
        <v>43</v>
      </c>
      <c r="D36" s="16" t="n">
        <v>44682</v>
      </c>
      <c r="E36" s="4" t="n">
        <v>2022</v>
      </c>
      <c r="F36" s="4" t="n">
        <v>5</v>
      </c>
      <c r="G36" s="17" t="n">
        <v>3618599</v>
      </c>
      <c r="H36" s="18" t="n">
        <f aca="false">G36*$B$1/1000000</f>
        <v>7.97764521480379</v>
      </c>
    </row>
    <row r="37" customFormat="false" ht="15" hidden="false" customHeight="false" outlineLevel="0" collapsed="false">
      <c r="A37" s="4" t="s">
        <v>203</v>
      </c>
      <c r="B37" s="4" t="s">
        <v>204</v>
      </c>
      <c r="C37" s="4" t="s">
        <v>43</v>
      </c>
      <c r="D37" s="16" t="n">
        <v>44713</v>
      </c>
      <c r="E37" s="4" t="n">
        <v>2022</v>
      </c>
      <c r="F37" s="4" t="n">
        <v>6</v>
      </c>
      <c r="G37" s="17" t="n">
        <v>3093112</v>
      </c>
      <c r="H37" s="18" t="n">
        <f aca="false">G37*$B$1/1000000</f>
        <v>6.8191446871157</v>
      </c>
    </row>
    <row r="38" customFormat="false" ht="15" hidden="false" customHeight="false" outlineLevel="0" collapsed="false">
      <c r="A38" s="4" t="s">
        <v>203</v>
      </c>
      <c r="B38" s="4" t="s">
        <v>204</v>
      </c>
      <c r="C38" s="4" t="s">
        <v>43</v>
      </c>
      <c r="D38" s="16" t="n">
        <v>44743</v>
      </c>
      <c r="E38" s="4" t="n">
        <v>2022</v>
      </c>
      <c r="F38" s="4" t="n">
        <v>7</v>
      </c>
      <c r="G38" s="17" t="n">
        <v>2739574</v>
      </c>
      <c r="H38" s="18" t="n">
        <f aca="false">G38*$B$1/1000000</f>
        <v>6.03972681463209</v>
      </c>
    </row>
    <row r="39" customFormat="false" ht="15" hidden="false" customHeight="false" outlineLevel="0" collapsed="false">
      <c r="A39" s="4" t="s">
        <v>203</v>
      </c>
      <c r="B39" s="4" t="s">
        <v>204</v>
      </c>
      <c r="C39" s="4" t="s">
        <v>43</v>
      </c>
      <c r="D39" s="16" t="n">
        <v>44774</v>
      </c>
      <c r="E39" s="4" t="n">
        <v>2022</v>
      </c>
      <c r="F39" s="4" t="n">
        <v>8</v>
      </c>
      <c r="G39" s="17" t="n">
        <v>5280668</v>
      </c>
      <c r="H39" s="18" t="n">
        <f aca="false">G39*$B$1/1000000</f>
        <v>11.6418801312794</v>
      </c>
    </row>
    <row r="40" customFormat="false" ht="15" hidden="false" customHeight="false" outlineLevel="0" collapsed="false">
      <c r="A40" s="4" t="s">
        <v>203</v>
      </c>
      <c r="B40" s="4" t="s">
        <v>204</v>
      </c>
      <c r="C40" s="4" t="s">
        <v>43</v>
      </c>
      <c r="D40" s="16" t="n">
        <v>44805</v>
      </c>
      <c r="E40" s="4" t="n">
        <v>2022</v>
      </c>
      <c r="F40" s="4" t="n">
        <v>9</v>
      </c>
      <c r="G40" s="17" t="n">
        <v>4493151</v>
      </c>
      <c r="H40" s="18" t="n">
        <f aca="false">G40*$B$1/1000000</f>
        <v>9.90570233798795</v>
      </c>
    </row>
    <row r="41" customFormat="false" ht="15" hidden="false" customHeight="false" outlineLevel="0" collapsed="false">
      <c r="A41" s="4" t="s">
        <v>203</v>
      </c>
      <c r="B41" s="4" t="s">
        <v>204</v>
      </c>
      <c r="C41" s="4" t="s">
        <v>43</v>
      </c>
      <c r="D41" s="16" t="n">
        <v>44835</v>
      </c>
      <c r="E41" s="4" t="n">
        <v>2022</v>
      </c>
      <c r="F41" s="4" t="n">
        <v>10</v>
      </c>
      <c r="G41" s="17" t="n">
        <v>4372215</v>
      </c>
      <c r="H41" s="18" t="n">
        <f aca="false">G41*$B$1/1000000</f>
        <v>9.6390840965919</v>
      </c>
    </row>
    <row r="42" customFormat="false" ht="15" hidden="false" customHeight="false" outlineLevel="0" collapsed="false">
      <c r="A42" s="4" t="s">
        <v>203</v>
      </c>
      <c r="B42" s="4" t="s">
        <v>204</v>
      </c>
      <c r="C42" s="4" t="s">
        <v>43</v>
      </c>
      <c r="D42" s="16" t="n">
        <v>44866</v>
      </c>
      <c r="E42" s="4" t="n">
        <v>2022</v>
      </c>
      <c r="F42" s="4" t="n">
        <v>11</v>
      </c>
      <c r="G42" s="17" t="n">
        <v>2851832</v>
      </c>
      <c r="H42" s="18" t="n">
        <f aca="false">G42*$B$1/1000000</f>
        <v>6.28721334091573</v>
      </c>
    </row>
    <row r="43" customFormat="false" ht="15" hidden="false" customHeight="false" outlineLevel="0" collapsed="false">
      <c r="A43" s="4" t="s">
        <v>203</v>
      </c>
      <c r="B43" s="4" t="s">
        <v>204</v>
      </c>
      <c r="C43" s="4" t="s">
        <v>43</v>
      </c>
      <c r="D43" s="16" t="n">
        <v>44896</v>
      </c>
      <c r="E43" s="4" t="n">
        <v>2022</v>
      </c>
      <c r="F43" s="4" t="n">
        <v>12</v>
      </c>
      <c r="G43" s="17" t="n">
        <v>1843398</v>
      </c>
      <c r="H43" s="18" t="n">
        <f aca="false">G43*$B$1/1000000</f>
        <v>4.06399693187305</v>
      </c>
    </row>
    <row r="44" customFormat="false" ht="15" hidden="false" customHeight="false" outlineLevel="0" collapsed="false">
      <c r="A44" s="4" t="s">
        <v>203</v>
      </c>
      <c r="B44" s="4" t="s">
        <v>204</v>
      </c>
      <c r="C44" s="4" t="s">
        <v>43</v>
      </c>
      <c r="D44" s="16" t="n">
        <v>44927</v>
      </c>
      <c r="E44" s="4" t="n">
        <v>2023</v>
      </c>
      <c r="F44" s="4" t="n">
        <v>1</v>
      </c>
      <c r="G44" s="17" t="n">
        <v>2648464</v>
      </c>
      <c r="H44" s="18" t="n">
        <f aca="false">G44*$B$1/1000000</f>
        <v>5.83886364755534</v>
      </c>
    </row>
    <row r="45" customFormat="false" ht="15" hidden="false" customHeight="false" outlineLevel="0" collapsed="false">
      <c r="A45" s="4" t="s">
        <v>203</v>
      </c>
      <c r="B45" s="4" t="s">
        <v>204</v>
      </c>
      <c r="C45" s="4" t="s">
        <v>43</v>
      </c>
      <c r="D45" s="16" t="n">
        <v>44958</v>
      </c>
      <c r="E45" s="4" t="n">
        <v>2023</v>
      </c>
      <c r="F45" s="4" t="n">
        <v>2</v>
      </c>
      <c r="G45" s="17" t="n">
        <v>1025949</v>
      </c>
      <c r="H45" s="18" t="n">
        <f aca="false">G45*$B$1/1000000</f>
        <v>2.26183037426439</v>
      </c>
    </row>
    <row r="46" customFormat="false" ht="15" hidden="false" customHeight="false" outlineLevel="0" collapsed="false">
      <c r="A46" s="4" t="s">
        <v>203</v>
      </c>
      <c r="B46" s="4" t="s">
        <v>204</v>
      </c>
      <c r="C46" s="4" t="s">
        <v>43</v>
      </c>
      <c r="D46" s="16" t="n">
        <v>44986</v>
      </c>
      <c r="E46" s="4" t="n">
        <v>2023</v>
      </c>
      <c r="F46" s="4" t="n">
        <v>3</v>
      </c>
      <c r="G46" s="17" t="n">
        <v>753513</v>
      </c>
      <c r="H46" s="18" t="n">
        <f aca="false">G46*$B$1/1000000</f>
        <v>1.66121180565806</v>
      </c>
    </row>
    <row r="47" customFormat="false" ht="15" hidden="false" customHeight="false" outlineLevel="0" collapsed="false">
      <c r="A47" s="4" t="s">
        <v>203</v>
      </c>
      <c r="B47" s="4" t="s">
        <v>204</v>
      </c>
      <c r="C47" s="4" t="s">
        <v>43</v>
      </c>
      <c r="D47" s="16" t="n">
        <v>45017</v>
      </c>
      <c r="E47" s="4" t="n">
        <v>2023</v>
      </c>
      <c r="F47" s="4" t="n">
        <v>4</v>
      </c>
      <c r="G47" s="17" t="n">
        <v>636851</v>
      </c>
      <c r="H47" s="18" t="n">
        <f aca="false">G47*$B$1/1000000</f>
        <v>1.40401612134779</v>
      </c>
    </row>
    <row r="48" customFormat="false" ht="15" hidden="false" customHeight="false" outlineLevel="0" collapsed="false">
      <c r="A48" s="4" t="s">
        <v>203</v>
      </c>
      <c r="B48" s="4" t="s">
        <v>204</v>
      </c>
      <c r="C48" s="4" t="s">
        <v>43</v>
      </c>
      <c r="D48" s="16" t="n">
        <v>45047</v>
      </c>
      <c r="E48" s="4" t="n">
        <v>2023</v>
      </c>
      <c r="F48" s="4" t="n">
        <v>5</v>
      </c>
      <c r="G48" s="17" t="n">
        <v>967241</v>
      </c>
      <c r="H48" s="18" t="n">
        <f aca="false">G48*$B$1/1000000</f>
        <v>2.13240138938082</v>
      </c>
    </row>
    <row r="49" customFormat="false" ht="15" hidden="false" customHeight="false" outlineLevel="0" collapsed="false">
      <c r="A49" s="4" t="s">
        <v>203</v>
      </c>
      <c r="B49" s="4" t="s">
        <v>204</v>
      </c>
      <c r="C49" s="4" t="s">
        <v>43</v>
      </c>
      <c r="D49" s="16" t="n">
        <v>45078</v>
      </c>
      <c r="E49" s="4" t="n">
        <v>2023</v>
      </c>
      <c r="F49" s="4" t="n">
        <v>6</v>
      </c>
      <c r="G49" s="17" t="n">
        <v>1485675</v>
      </c>
      <c r="H49" s="18" t="n">
        <f aca="false">G49*$B$1/1000000</f>
        <v>3.275352713717</v>
      </c>
    </row>
    <row r="50" customFormat="false" ht="15" hidden="false" customHeight="false" outlineLevel="0" collapsed="false">
      <c r="A50" s="4" t="s">
        <v>203</v>
      </c>
      <c r="B50" s="4" t="s">
        <v>204</v>
      </c>
      <c r="C50" s="4" t="s">
        <v>43</v>
      </c>
      <c r="D50" s="16" t="n">
        <v>45108</v>
      </c>
      <c r="E50" s="4" t="n">
        <v>2023</v>
      </c>
      <c r="F50" s="4" t="n">
        <v>7</v>
      </c>
      <c r="G50" s="17" t="n">
        <v>1528751</v>
      </c>
      <c r="H50" s="18" t="n">
        <f aca="false">G50*$B$1/1000000</f>
        <v>3.37031903777581</v>
      </c>
    </row>
    <row r="51" customFormat="false" ht="15" hidden="false" customHeight="false" outlineLevel="0" collapsed="false">
      <c r="A51" s="4" t="s">
        <v>203</v>
      </c>
      <c r="B51" s="4" t="s">
        <v>204</v>
      </c>
      <c r="C51" s="4" t="s">
        <v>43</v>
      </c>
      <c r="D51" s="16" t="n">
        <v>45139</v>
      </c>
      <c r="E51" s="4" t="n">
        <v>2023</v>
      </c>
      <c r="F51" s="4" t="n">
        <v>8</v>
      </c>
      <c r="G51" s="17" t="n">
        <v>957093</v>
      </c>
      <c r="H51" s="18" t="n">
        <f aca="false">G51*$B$1/1000000</f>
        <v>2.11002887901428</v>
      </c>
    </row>
    <row r="52" customFormat="false" ht="15" hidden="false" customHeight="false" outlineLevel="0" collapsed="false">
      <c r="A52" s="4" t="s">
        <v>203</v>
      </c>
      <c r="B52" s="4" t="s">
        <v>204</v>
      </c>
      <c r="C52" s="4" t="s">
        <v>43</v>
      </c>
      <c r="D52" s="16" t="n">
        <v>45170</v>
      </c>
      <c r="E52" s="4" t="n">
        <v>2023</v>
      </c>
      <c r="F52" s="4" t="n">
        <v>9</v>
      </c>
      <c r="G52" s="17" t="n">
        <v>1319826</v>
      </c>
      <c r="H52" s="18" t="n">
        <f aca="false">G52*$B$1/1000000</f>
        <v>2.9097182565058</v>
      </c>
    </row>
    <row r="53" customFormat="false" ht="15" hidden="false" customHeight="false" outlineLevel="0" collapsed="false">
      <c r="A53" s="4" t="s">
        <v>203</v>
      </c>
      <c r="B53" s="4" t="s">
        <v>204</v>
      </c>
      <c r="C53" s="4" t="s">
        <v>43</v>
      </c>
      <c r="D53" s="16" t="n">
        <v>45200</v>
      </c>
      <c r="E53" s="4" t="n">
        <v>2023</v>
      </c>
      <c r="F53" s="4" t="n">
        <v>10</v>
      </c>
      <c r="G53" s="17" t="n">
        <v>567722</v>
      </c>
      <c r="H53" s="18" t="n">
        <f aca="false">G53*$B$1/1000000</f>
        <v>1.25161276412193</v>
      </c>
    </row>
    <row r="54" customFormat="false" ht="15" hidden="false" customHeight="false" outlineLevel="0" collapsed="false">
      <c r="A54" s="4" t="s">
        <v>203</v>
      </c>
      <c r="B54" s="4" t="s">
        <v>204</v>
      </c>
      <c r="C54" s="4" t="s">
        <v>43</v>
      </c>
      <c r="D54" s="16" t="n">
        <v>45231</v>
      </c>
      <c r="E54" s="4" t="n">
        <v>2023</v>
      </c>
      <c r="F54" s="4" t="n">
        <v>11</v>
      </c>
      <c r="G54" s="17" t="n">
        <v>2315549</v>
      </c>
      <c r="H54" s="18" t="n">
        <f aca="false">G54*$B$1/1000000</f>
        <v>5.10491170740215</v>
      </c>
    </row>
    <row r="55" customFormat="false" ht="15" hidden="false" customHeight="false" outlineLevel="0" collapsed="false">
      <c r="A55" s="4" t="s">
        <v>203</v>
      </c>
      <c r="B55" s="4" t="s">
        <v>204</v>
      </c>
      <c r="C55" s="4" t="s">
        <v>43</v>
      </c>
      <c r="D55" s="16" t="n">
        <v>45261</v>
      </c>
      <c r="E55" s="4" t="n">
        <v>2023</v>
      </c>
      <c r="F55" s="4" t="n">
        <v>12</v>
      </c>
      <c r="G55" s="17" t="n">
        <v>700258</v>
      </c>
      <c r="H55" s="18" t="n">
        <f aca="false">G55*$B$1/1000000</f>
        <v>1.54380462793144</v>
      </c>
    </row>
    <row r="56" customFormat="false" ht="15" hidden="false" customHeight="false" outlineLevel="0" collapsed="false">
      <c r="A56" s="4" t="s">
        <v>203</v>
      </c>
      <c r="B56" s="4" t="s">
        <v>204</v>
      </c>
      <c r="C56" s="4" t="s">
        <v>43</v>
      </c>
      <c r="D56" s="16" t="n">
        <v>45292</v>
      </c>
      <c r="E56" s="4" t="n">
        <v>2024</v>
      </c>
      <c r="F56" s="4" t="n">
        <v>1</v>
      </c>
      <c r="G56" s="17" t="n">
        <v>605567</v>
      </c>
      <c r="H56" s="18" t="n">
        <f aca="false">G56*$B$1/1000000</f>
        <v>1.33504670724584</v>
      </c>
    </row>
    <row r="57" customFormat="false" ht="15" hidden="false" customHeight="false" outlineLevel="0" collapsed="false">
      <c r="A57" s="4" t="s">
        <v>203</v>
      </c>
      <c r="B57" s="4" t="s">
        <v>204</v>
      </c>
      <c r="C57" s="4" t="s">
        <v>43</v>
      </c>
      <c r="D57" s="16" t="n">
        <v>45323</v>
      </c>
      <c r="E57" s="4" t="n">
        <v>2024</v>
      </c>
      <c r="F57" s="4" t="n">
        <v>2</v>
      </c>
      <c r="G57" s="17" t="n">
        <v>2128599</v>
      </c>
      <c r="H57" s="18" t="n">
        <f aca="false">G57*$B$1/1000000</f>
        <v>4.69275750824729</v>
      </c>
    </row>
    <row r="58" customFormat="false" ht="15" hidden="false" customHeight="false" outlineLevel="0" collapsed="false">
      <c r="A58" s="4" t="s">
        <v>203</v>
      </c>
      <c r="B58" s="4" t="s">
        <v>204</v>
      </c>
      <c r="C58" s="4" t="s">
        <v>43</v>
      </c>
      <c r="D58" s="16" t="n">
        <v>45352</v>
      </c>
      <c r="E58" s="4" t="n">
        <v>2024</v>
      </c>
      <c r="F58" s="4" t="n">
        <v>3</v>
      </c>
      <c r="G58" s="17" t="n">
        <v>882992</v>
      </c>
      <c r="H58" s="18" t="n">
        <f aca="false">G58*$B$1/1000000</f>
        <v>1.94666413811258</v>
      </c>
    </row>
    <row r="59" customFormat="false" ht="15" hidden="false" customHeight="false" outlineLevel="0" collapsed="false">
      <c r="A59" s="4" t="s">
        <v>203</v>
      </c>
      <c r="B59" s="4" t="s">
        <v>204</v>
      </c>
      <c r="C59" s="4" t="s">
        <v>43</v>
      </c>
      <c r="D59" s="16" t="n">
        <v>45383</v>
      </c>
      <c r="E59" s="4" t="n">
        <v>2024</v>
      </c>
      <c r="F59" s="4" t="n">
        <v>4</v>
      </c>
      <c r="G59" s="17" t="n">
        <v>419491</v>
      </c>
      <c r="H59" s="18" t="n">
        <f aca="false">G59*$B$1/1000000</f>
        <v>0.924819348262478</v>
      </c>
    </row>
    <row r="60" customFormat="false" ht="15" hidden="false" customHeight="false" outlineLevel="0" collapsed="false">
      <c r="A60" s="4" t="s">
        <v>203</v>
      </c>
      <c r="B60" s="4" t="s">
        <v>204</v>
      </c>
      <c r="C60" s="4" t="s">
        <v>43</v>
      </c>
      <c r="D60" s="16" t="n">
        <v>45413</v>
      </c>
      <c r="E60" s="4" t="n">
        <v>2024</v>
      </c>
      <c r="F60" s="4" t="n">
        <v>5</v>
      </c>
      <c r="G60" s="17" t="n">
        <v>1059478</v>
      </c>
      <c r="H60" s="18" t="n">
        <f aca="false">G60*$B$1/1000000</f>
        <v>2.33574916615239</v>
      </c>
    </row>
    <row r="61" customFormat="false" ht="15" hidden="false" customHeight="false" outlineLevel="0" collapsed="false">
      <c r="A61" s="4" t="s">
        <v>203</v>
      </c>
      <c r="B61" s="4" t="s">
        <v>204</v>
      </c>
      <c r="C61" s="4" t="s">
        <v>43</v>
      </c>
      <c r="D61" s="16" t="n">
        <v>45444</v>
      </c>
      <c r="E61" s="4" t="n">
        <v>2024</v>
      </c>
      <c r="F61" s="4" t="n">
        <v>6</v>
      </c>
      <c r="G61" s="17" t="n">
        <v>677015</v>
      </c>
      <c r="H61" s="18" t="n">
        <f aca="false">G61*$B$1/1000000</f>
        <v>1.49256258433178</v>
      </c>
    </row>
    <row r="62" customFormat="false" ht="15" hidden="false" customHeight="false" outlineLevel="0" collapsed="false">
      <c r="A62" s="4" t="s">
        <v>203</v>
      </c>
      <c r="B62" s="4" t="s">
        <v>204</v>
      </c>
      <c r="C62" s="4" t="s">
        <v>43</v>
      </c>
      <c r="D62" s="16" t="n">
        <v>45474</v>
      </c>
      <c r="E62" s="4" t="n">
        <v>2024</v>
      </c>
      <c r="F62" s="4" t="n">
        <v>7</v>
      </c>
      <c r="G62" s="17" t="n">
        <v>1263036</v>
      </c>
      <c r="H62" s="18" t="n">
        <f aca="false">G62*$B$1/1000000</f>
        <v>2.78451773781094</v>
      </c>
    </row>
    <row r="63" customFormat="false" ht="15" hidden="false" customHeight="false" outlineLevel="0" collapsed="false">
      <c r="A63" s="4" t="s">
        <v>203</v>
      </c>
      <c r="B63" s="4" t="s">
        <v>204</v>
      </c>
      <c r="C63" s="4" t="s">
        <v>43</v>
      </c>
      <c r="D63" s="16" t="n">
        <v>45505</v>
      </c>
      <c r="E63" s="4" t="n">
        <v>2024</v>
      </c>
      <c r="F63" s="4" t="n">
        <v>8</v>
      </c>
      <c r="G63" s="17" t="n">
        <v>666752</v>
      </c>
      <c r="H63" s="18" t="n">
        <f aca="false">G63*$B$1/1000000</f>
        <v>1.46993654236373</v>
      </c>
    </row>
    <row r="64" customFormat="false" ht="15" hidden="false" customHeight="false" outlineLevel="0" collapsed="false">
      <c r="A64" s="4" t="s">
        <v>203</v>
      </c>
      <c r="B64" s="4" t="s">
        <v>204</v>
      </c>
      <c r="C64" s="4" t="s">
        <v>43</v>
      </c>
      <c r="D64" s="16" t="n">
        <v>45536</v>
      </c>
      <c r="E64" s="4" t="n">
        <v>2024</v>
      </c>
      <c r="F64" s="4" t="n">
        <v>9</v>
      </c>
      <c r="G64" s="17" t="n">
        <v>483937</v>
      </c>
      <c r="H64" s="18" t="n">
        <f aca="false">G64*$B$1/1000000</f>
        <v>1.06689845775022</v>
      </c>
    </row>
    <row r="65" customFormat="false" ht="15" hidden="false" customHeight="false" outlineLevel="0" collapsed="false">
      <c r="A65" s="4" t="s">
        <v>203</v>
      </c>
      <c r="B65" s="4" t="s">
        <v>204</v>
      </c>
      <c r="C65" s="4" t="s">
        <v>43</v>
      </c>
      <c r="D65" s="16" t="n">
        <v>45566</v>
      </c>
      <c r="E65" s="4" t="n">
        <v>2024</v>
      </c>
      <c r="F65" s="4" t="n">
        <v>10</v>
      </c>
      <c r="G65" s="17" t="n">
        <v>579735</v>
      </c>
      <c r="H65" s="18" t="n">
        <f aca="false">G65*$B$1/1000000</f>
        <v>1.27809689567821</v>
      </c>
    </row>
    <row r="66" customFormat="false" ht="15" hidden="false" customHeight="false" outlineLevel="0" collapsed="false">
      <c r="A66" s="4" t="s">
        <v>203</v>
      </c>
      <c r="B66" s="4" t="s">
        <v>204</v>
      </c>
      <c r="C66" s="4" t="s">
        <v>43</v>
      </c>
      <c r="D66" s="16" t="n">
        <v>45597</v>
      </c>
      <c r="E66" s="4" t="n">
        <v>2024</v>
      </c>
      <c r="F66" s="4" t="n">
        <v>11</v>
      </c>
      <c r="G66" s="17" t="n">
        <v>663369</v>
      </c>
      <c r="H66" s="18" t="n">
        <f aca="false">G66*$B$1/1000000</f>
        <v>1.46247830403401</v>
      </c>
    </row>
    <row r="67" customFormat="false" ht="15" hidden="false" customHeight="false" outlineLevel="0" collapsed="false">
      <c r="A67" s="4" t="s">
        <v>203</v>
      </c>
      <c r="B67" s="4" t="s">
        <v>204</v>
      </c>
      <c r="C67" s="4" t="s">
        <v>43</v>
      </c>
      <c r="D67" s="16" t="n">
        <v>45627</v>
      </c>
      <c r="E67" s="4" t="n">
        <v>2024</v>
      </c>
      <c r="F67" s="4" t="n">
        <v>12</v>
      </c>
      <c r="G67" s="17" t="n">
        <v>541222</v>
      </c>
      <c r="H67" s="18" t="n">
        <f aca="false">G67*$B$1/1000000</f>
        <v>1.1931902646429</v>
      </c>
    </row>
    <row r="68" customFormat="false" ht="15" hidden="false" customHeight="false" outlineLevel="0" collapsed="false">
      <c r="A68" s="4" t="s">
        <v>203</v>
      </c>
      <c r="B68" s="4" t="s">
        <v>204</v>
      </c>
      <c r="C68" s="4" t="s">
        <v>43</v>
      </c>
      <c r="D68" s="16" t="n">
        <v>45658</v>
      </c>
      <c r="E68" s="4" t="n">
        <v>2025</v>
      </c>
      <c r="F68" s="4" t="n">
        <v>1</v>
      </c>
      <c r="G68" s="17" t="n">
        <v>651517</v>
      </c>
      <c r="H68" s="18" t="n">
        <f aca="false">G68*$B$1/1000000</f>
        <v>1.43634911671985</v>
      </c>
    </row>
    <row r="69" customFormat="false" ht="15" hidden="false" customHeight="false" outlineLevel="0" collapsed="false">
      <c r="A69" s="4" t="s">
        <v>203</v>
      </c>
      <c r="B69" s="4" t="s">
        <v>204</v>
      </c>
      <c r="C69" s="4" t="s">
        <v>43</v>
      </c>
      <c r="D69" s="16" t="n">
        <v>45689</v>
      </c>
      <c r="E69" s="4" t="n">
        <v>2025</v>
      </c>
      <c r="F69" s="4" t="n">
        <v>2</v>
      </c>
      <c r="G69" s="17" t="n">
        <v>608444</v>
      </c>
      <c r="H69" s="18" t="n">
        <f aca="false">G69*$B$1/1000000</f>
        <v>1.3413894065289</v>
      </c>
    </row>
    <row r="70" customFormat="false" ht="15" hidden="false" customHeight="false" outlineLevel="0" collapsed="false">
      <c r="A70" s="4" t="s">
        <v>203</v>
      </c>
      <c r="B70" s="4" t="s">
        <v>204</v>
      </c>
      <c r="C70" s="4" t="s">
        <v>43</v>
      </c>
      <c r="D70" s="16" t="n">
        <v>45717</v>
      </c>
      <c r="E70" s="4" t="n">
        <v>2025</v>
      </c>
      <c r="F70" s="4" t="n">
        <v>3</v>
      </c>
      <c r="G70" s="17" t="n">
        <v>754034</v>
      </c>
      <c r="H70" s="18" t="n">
        <f aca="false">G70*$B$1/1000000</f>
        <v>1.66236041404404</v>
      </c>
    </row>
    <row r="71" customFormat="false" ht="15" hidden="false" customHeight="false" outlineLevel="0" collapsed="false">
      <c r="A71" s="4" t="s">
        <v>203</v>
      </c>
      <c r="B71" s="4" t="s">
        <v>204</v>
      </c>
      <c r="C71" s="4" t="s">
        <v>43</v>
      </c>
      <c r="D71" s="16" t="n">
        <v>45748</v>
      </c>
      <c r="E71" s="4" t="n">
        <v>2025</v>
      </c>
      <c r="F71" s="4" t="n">
        <v>4</v>
      </c>
      <c r="G71" s="17" t="n">
        <v>741832</v>
      </c>
      <c r="H71" s="18" t="n">
        <f aca="false">G71*$B$1/1000000</f>
        <v>1.63545960881223</v>
      </c>
    </row>
    <row r="72" customFormat="false" ht="15" hidden="false" customHeight="false" outlineLevel="0" collapsed="false">
      <c r="A72" s="4" t="s">
        <v>203</v>
      </c>
      <c r="B72" s="4" t="s">
        <v>204</v>
      </c>
      <c r="C72" s="4" t="s">
        <v>43</v>
      </c>
      <c r="D72" s="16" t="n">
        <v>45778</v>
      </c>
      <c r="E72" s="4" t="n">
        <v>2025</v>
      </c>
      <c r="F72" s="4" t="n">
        <v>5</v>
      </c>
      <c r="G72" s="17" t="n">
        <v>605667</v>
      </c>
      <c r="H72" s="18" t="n">
        <f aca="false">G72*$B$1/1000000</f>
        <v>1.33526716950802</v>
      </c>
    </row>
    <row r="73" customFormat="false" ht="15" hidden="false" customHeight="false" outlineLevel="0" collapsed="false">
      <c r="A73" s="4" t="s">
        <v>203</v>
      </c>
      <c r="B73" s="4" t="s">
        <v>204</v>
      </c>
      <c r="C73" s="4" t="s">
        <v>43</v>
      </c>
      <c r="D73" s="16" t="n">
        <v>45809</v>
      </c>
      <c r="E73" s="4" t="n">
        <v>2025</v>
      </c>
      <c r="F73" s="4" t="n">
        <v>6</v>
      </c>
      <c r="G73" s="17" t="n">
        <v>1175007</v>
      </c>
      <c r="H73" s="18" t="n">
        <f aca="false">G73*$B$1/1000000</f>
        <v>2.5904470130321</v>
      </c>
    </row>
    <row r="74" customFormat="false" ht="15" hidden="false" customHeight="false" outlineLevel="0" collapsed="false">
      <c r="A74" s="4" t="s">
        <v>203</v>
      </c>
      <c r="B74" s="4" t="s">
        <v>204</v>
      </c>
      <c r="C74" s="4" t="s">
        <v>43</v>
      </c>
      <c r="D74" s="16" t="n">
        <v>45839</v>
      </c>
      <c r="E74" s="4" t="n">
        <v>2025</v>
      </c>
      <c r="F74" s="4" t="n">
        <v>7</v>
      </c>
      <c r="G74" s="17" t="n">
        <v>677210</v>
      </c>
      <c r="H74" s="18" t="n">
        <f aca="false">G74*$B$1/1000000</f>
        <v>1.49299248574304</v>
      </c>
    </row>
    <row r="75" customFormat="false" ht="15" hidden="false" customHeight="false" outlineLevel="0" collapsed="false">
      <c r="A75" s="4" t="s">
        <v>203</v>
      </c>
      <c r="B75" s="4" t="s">
        <v>204</v>
      </c>
      <c r="C75" s="4" t="s">
        <v>43</v>
      </c>
      <c r="D75" s="16" t="n">
        <v>45870</v>
      </c>
      <c r="E75" s="4" t="n">
        <v>2025</v>
      </c>
      <c r="F75" s="4" t="n">
        <v>8</v>
      </c>
      <c r="G75" s="17" t="n">
        <v>1112788</v>
      </c>
      <c r="H75" s="18" t="n">
        <f aca="false">G75*$B$1/1000000</f>
        <v>2.45327759812322</v>
      </c>
    </row>
    <row r="76" customFormat="false" ht="15" hidden="false" customHeight="false" outlineLevel="0" collapsed="false">
      <c r="A76" s="4" t="s">
        <v>203</v>
      </c>
      <c r="B76" s="4" t="s">
        <v>204</v>
      </c>
      <c r="C76" s="4" t="s">
        <v>43</v>
      </c>
      <c r="D76" s="16" t="n">
        <v>45901</v>
      </c>
      <c r="E76" s="4" t="n">
        <v>2025</v>
      </c>
      <c r="F76" s="4" t="n">
        <v>9</v>
      </c>
      <c r="G76" s="17" t="n">
        <v>644924</v>
      </c>
      <c r="H76" s="18" t="n">
        <f aca="false">G76*$B$1/1000000</f>
        <v>1.42181403977399</v>
      </c>
    </row>
    <row r="77" customFormat="false" ht="15" hidden="false" customHeight="false" outlineLevel="0" collapsed="false">
      <c r="A77" s="4" t="s">
        <v>203</v>
      </c>
      <c r="B77" s="4" t="s">
        <v>204</v>
      </c>
      <c r="C77" s="4" t="s">
        <v>43</v>
      </c>
      <c r="D77" s="16" t="n">
        <v>45931</v>
      </c>
      <c r="E77" s="4" t="n">
        <v>2025</v>
      </c>
      <c r="F77" s="4" t="n">
        <v>10</v>
      </c>
      <c r="G77" s="17" t="n">
        <v>1706319</v>
      </c>
      <c r="H77" s="18" t="n">
        <f aca="false">G77*$B$1/1000000</f>
        <v>3.76178946749247</v>
      </c>
    </row>
    <row r="78" customFormat="false" ht="15" hidden="false" customHeight="false" outlineLevel="0" collapsed="false">
      <c r="A78" s="4" t="s">
        <v>203</v>
      </c>
      <c r="B78" s="4" t="s">
        <v>204</v>
      </c>
      <c r="C78" s="4" t="s">
        <v>43</v>
      </c>
      <c r="D78" s="16" t="n">
        <v>45962</v>
      </c>
      <c r="E78" s="4" t="n">
        <v>2025</v>
      </c>
      <c r="F78" s="4" t="n">
        <v>11</v>
      </c>
      <c r="G78" s="17" t="n">
        <v>2040229</v>
      </c>
      <c r="H78" s="18" t="n">
        <f aca="false">G78*$B$1/1000000</f>
        <v>4.4979350071544</v>
      </c>
    </row>
    <row r="79" customFormat="false" ht="15" hidden="false" customHeight="false" outlineLevel="0" collapsed="false">
      <c r="A79" s="4" t="s">
        <v>203</v>
      </c>
      <c r="B79" s="4" t="s">
        <v>204</v>
      </c>
      <c r="C79" s="4" t="s">
        <v>43</v>
      </c>
      <c r="D79" s="16" t="n">
        <v>45992</v>
      </c>
      <c r="E79" s="4" t="n">
        <v>2025</v>
      </c>
      <c r="F79" s="4" t="n">
        <v>12</v>
      </c>
      <c r="G79" s="17" t="n">
        <v>861196</v>
      </c>
      <c r="H79" s="18" t="n">
        <f aca="false">G79*$B$1/1000000</f>
        <v>1.89861218344673</v>
      </c>
    </row>
    <row r="80" customFormat="false" ht="15" hidden="false" customHeight="false" outlineLevel="0" collapsed="false">
      <c r="A80" s="4" t="s">
        <v>203</v>
      </c>
      <c r="B80" s="4" t="s">
        <v>204</v>
      </c>
      <c r="C80" s="4" t="s">
        <v>43</v>
      </c>
      <c r="D80" s="16" t="n">
        <v>46023</v>
      </c>
      <c r="E80" s="4" t="n">
        <v>2026</v>
      </c>
      <c r="F80" s="4" t="n">
        <v>1</v>
      </c>
      <c r="G80" s="17" t="n">
        <v>1536770</v>
      </c>
      <c r="H80" s="18" t="n">
        <f aca="false">G80*$B$1/1000000</f>
        <v>3.38799790658042</v>
      </c>
    </row>
    <row r="81" customFormat="false" ht="15" hidden="false" customHeight="false" outlineLevel="0" collapsed="false">
      <c r="A81" s="4" t="s">
        <v>203</v>
      </c>
      <c r="B81" s="4" t="s">
        <v>204</v>
      </c>
      <c r="C81" s="4" t="s">
        <v>43</v>
      </c>
      <c r="D81" s="16" t="n">
        <v>46054</v>
      </c>
      <c r="E81" s="4" t="n">
        <v>2026</v>
      </c>
      <c r="F81" s="4" t="n">
        <v>2</v>
      </c>
      <c r="G81" s="17" t="n">
        <v>1557158</v>
      </c>
      <c r="H81" s="18" t="n">
        <f aca="false">G81*$B$1/1000000</f>
        <v>3.4329457525947</v>
      </c>
    </row>
    <row r="82" customFormat="false" ht="15" hidden="false" customHeight="false" outlineLevel="0" collapsed="false">
      <c r="A82" s="4" t="s">
        <v>203</v>
      </c>
      <c r="B82" s="4" t="s">
        <v>204</v>
      </c>
      <c r="C82" s="4" t="s">
        <v>43</v>
      </c>
      <c r="D82" s="16" t="n">
        <v>46082</v>
      </c>
      <c r="E82" s="4" t="n">
        <v>2026</v>
      </c>
      <c r="F82" s="4" t="n">
        <v>3</v>
      </c>
      <c r="G82" s="17" t="n">
        <v>1466283</v>
      </c>
      <c r="H82" s="18" t="n">
        <f aca="false">G82*$B$1/1000000</f>
        <v>3.23260067183408</v>
      </c>
    </row>
    <row r="83" customFormat="false" ht="15" hidden="false" customHeight="false" outlineLevel="0" collapsed="false">
      <c r="A83" s="4" t="s">
        <v>203</v>
      </c>
      <c r="B83" s="4" t="s">
        <v>204</v>
      </c>
      <c r="C83" s="4" t="s">
        <v>43</v>
      </c>
      <c r="D83" s="16" t="n">
        <v>46113</v>
      </c>
      <c r="E83" s="4" t="n">
        <v>2026</v>
      </c>
      <c r="F83" s="4" t="n">
        <v>4</v>
      </c>
      <c r="G83" s="17" t="n">
        <v>1211977</v>
      </c>
      <c r="H83" s="18" t="n">
        <f aca="false">G83*$B$1/1000000</f>
        <v>2.6719519113619</v>
      </c>
    </row>
    <row r="84" customFormat="false" ht="15" hidden="false" customHeight="false" outlineLevel="0" collapsed="false">
      <c r="A84" s="4" t="s">
        <v>203</v>
      </c>
      <c r="B84" s="4" t="s">
        <v>204</v>
      </c>
      <c r="C84" s="4" t="s">
        <v>43</v>
      </c>
      <c r="D84" s="16" t="n">
        <v>46143</v>
      </c>
      <c r="E84" s="4" t="n">
        <v>2026</v>
      </c>
      <c r="F84" s="4" t="n">
        <v>5</v>
      </c>
      <c r="G84" s="17" t="n">
        <v>1233434</v>
      </c>
      <c r="H84" s="18" t="n">
        <f aca="false">G84*$B$1/1000000</f>
        <v>2.71925649895893</v>
      </c>
    </row>
    <row r="85" customFormat="false" ht="15" hidden="false" customHeight="false" outlineLevel="0" collapsed="false">
      <c r="A85" s="4" t="s">
        <v>203</v>
      </c>
      <c r="B85" s="4" t="s">
        <v>204</v>
      </c>
      <c r="C85" s="4" t="s">
        <v>43</v>
      </c>
      <c r="D85" s="16" t="n">
        <v>46174</v>
      </c>
      <c r="E85" s="4" t="n">
        <v>2026</v>
      </c>
      <c r="F85" s="4" t="n">
        <v>6</v>
      </c>
      <c r="G85" s="17" t="n">
        <v>1037216</v>
      </c>
      <c r="H85" s="18" t="n">
        <f aca="false">G85*$B$1/1000000</f>
        <v>2.28666985734477</v>
      </c>
    </row>
    <row r="86" customFormat="false" ht="15" hidden="false" customHeight="false" outlineLevel="0" collapsed="false">
      <c r="A86" s="4" t="s">
        <v>203</v>
      </c>
      <c r="B86" s="4" t="s">
        <v>204</v>
      </c>
      <c r="C86" s="4" t="s">
        <v>43</v>
      </c>
      <c r="D86" s="16" t="n">
        <v>46204</v>
      </c>
      <c r="E86" s="4" t="n">
        <v>2026</v>
      </c>
      <c r="F86" s="4" t="n">
        <v>7</v>
      </c>
      <c r="G86" s="17" t="n">
        <v>945777</v>
      </c>
      <c r="H86" s="18" t="n">
        <f aca="false">G86*$B$1/1000000</f>
        <v>2.08508136942543</v>
      </c>
    </row>
    <row r="87" customFormat="false" ht="15" hidden="false" customHeight="false" outlineLevel="0" collapsed="false">
      <c r="A87" s="4" t="s">
        <v>203</v>
      </c>
      <c r="B87" s="4" t="s">
        <v>204</v>
      </c>
      <c r="C87" s="4" t="s">
        <v>43</v>
      </c>
      <c r="D87" s="16" t="n">
        <v>46235</v>
      </c>
      <c r="E87" s="4" t="n">
        <v>2026</v>
      </c>
      <c r="F87" s="4" t="n">
        <v>8</v>
      </c>
      <c r="G87" s="17" t="n">
        <v>966253</v>
      </c>
      <c r="H87" s="18" t="n">
        <f aca="false">G87*$B$1/1000000</f>
        <v>2.13022322223043</v>
      </c>
    </row>
    <row r="88" customFormat="false" ht="15" hidden="false" customHeight="false" outlineLevel="0" collapsed="false">
      <c r="A88" s="4" t="s">
        <v>203</v>
      </c>
      <c r="B88" s="4" t="s">
        <v>204</v>
      </c>
      <c r="C88" s="4" t="s">
        <v>47</v>
      </c>
      <c r="D88" s="16" t="n">
        <v>45809</v>
      </c>
      <c r="E88" s="4" t="n">
        <v>2025</v>
      </c>
      <c r="F88" s="4" t="n">
        <v>6</v>
      </c>
      <c r="G88" s="17" t="n">
        <v>311630</v>
      </c>
      <c r="H88" s="18" t="n">
        <f aca="false">G88*$B$1/1000000</f>
        <v>0.687026547647116</v>
      </c>
    </row>
    <row r="89" customFormat="false" ht="15" hidden="false" customHeight="false" outlineLevel="0" collapsed="false">
      <c r="A89" s="4" t="s">
        <v>203</v>
      </c>
      <c r="B89" s="4" t="s">
        <v>204</v>
      </c>
      <c r="C89" s="4" t="s">
        <v>47</v>
      </c>
      <c r="D89" s="16" t="n">
        <v>45839</v>
      </c>
      <c r="E89" s="4" t="n">
        <v>2025</v>
      </c>
      <c r="F89" s="4" t="n">
        <v>7</v>
      </c>
      <c r="G89" s="17" t="n">
        <v>796311</v>
      </c>
      <c r="H89" s="18" t="n">
        <f aca="false">G89*$B$1/1000000</f>
        <v>1.755565244628</v>
      </c>
    </row>
    <row r="90" customFormat="false" ht="15" hidden="false" customHeight="false" outlineLevel="0" collapsed="false">
      <c r="A90" s="4" t="s">
        <v>203</v>
      </c>
      <c r="B90" s="4" t="s">
        <v>204</v>
      </c>
      <c r="C90" s="4" t="s">
        <v>47</v>
      </c>
      <c r="D90" s="16" t="n">
        <v>45870</v>
      </c>
      <c r="E90" s="4" t="n">
        <v>2025</v>
      </c>
      <c r="F90" s="4" t="n">
        <v>8</v>
      </c>
      <c r="G90" s="17" t="n">
        <v>881790</v>
      </c>
      <c r="H90" s="18" t="n">
        <f aca="false">G90*$B$1/1000000</f>
        <v>1.94401418172111</v>
      </c>
    </row>
    <row r="91" customFormat="false" ht="15" hidden="false" customHeight="false" outlineLevel="0" collapsed="false">
      <c r="A91" s="4" t="s">
        <v>203</v>
      </c>
      <c r="B91" s="4" t="s">
        <v>204</v>
      </c>
      <c r="C91" s="4" t="s">
        <v>47</v>
      </c>
      <c r="D91" s="16" t="n">
        <v>45901</v>
      </c>
      <c r="E91" s="4" t="n">
        <v>2025</v>
      </c>
      <c r="F91" s="4" t="n">
        <v>9</v>
      </c>
      <c r="G91" s="17" t="n">
        <v>716946</v>
      </c>
      <c r="H91" s="18" t="n">
        <f aca="false">G91*$B$1/1000000</f>
        <v>1.58059537024487</v>
      </c>
    </row>
    <row r="92" customFormat="false" ht="15" hidden="false" customHeight="false" outlineLevel="0" collapsed="false">
      <c r="A92" s="4" t="s">
        <v>203</v>
      </c>
      <c r="B92" s="4" t="s">
        <v>204</v>
      </c>
      <c r="C92" s="4" t="s">
        <v>47</v>
      </c>
      <c r="D92" s="16" t="n">
        <v>45931</v>
      </c>
      <c r="E92" s="4" t="n">
        <v>2025</v>
      </c>
      <c r="F92" s="4" t="n">
        <v>10</v>
      </c>
      <c r="G92" s="17" t="n">
        <v>602577</v>
      </c>
      <c r="H92" s="18" t="n">
        <f aca="false">G92*$B$1/1000000</f>
        <v>1.32845488560651</v>
      </c>
    </row>
    <row r="93" customFormat="false" ht="15" hidden="false" customHeight="false" outlineLevel="0" collapsed="false">
      <c r="A93" s="4" t="s">
        <v>203</v>
      </c>
      <c r="B93" s="4" t="s">
        <v>204</v>
      </c>
      <c r="C93" s="4" t="s">
        <v>47</v>
      </c>
      <c r="D93" s="16" t="n">
        <v>45962</v>
      </c>
      <c r="E93" s="4" t="n">
        <v>2025</v>
      </c>
      <c r="F93" s="4" t="n">
        <v>11</v>
      </c>
      <c r="G93" s="17" t="n">
        <v>1531571</v>
      </c>
      <c r="H93" s="18" t="n">
        <f aca="false">G93*$B$1/1000000</f>
        <v>3.37653607356943</v>
      </c>
    </row>
    <row r="94" customFormat="false" ht="15" hidden="false" customHeight="false" outlineLevel="0" collapsed="false">
      <c r="A94" s="4" t="s">
        <v>203</v>
      </c>
      <c r="B94" s="4" t="s">
        <v>204</v>
      </c>
      <c r="C94" s="4" t="s">
        <v>47</v>
      </c>
      <c r="D94" s="16" t="n">
        <v>45992</v>
      </c>
      <c r="E94" s="4" t="n">
        <v>2025</v>
      </c>
      <c r="F94" s="4" t="n">
        <v>12</v>
      </c>
      <c r="G94" s="17" t="n">
        <v>1292087</v>
      </c>
      <c r="H94" s="18" t="n">
        <f aca="false">G94*$B$1/1000000</f>
        <v>2.8485642295983</v>
      </c>
    </row>
    <row r="95" customFormat="false" ht="15" hidden="false" customHeight="false" outlineLevel="0" collapsed="false">
      <c r="A95" s="4" t="s">
        <v>203</v>
      </c>
      <c r="B95" s="4" t="s">
        <v>204</v>
      </c>
      <c r="C95" s="4" t="s">
        <v>47</v>
      </c>
      <c r="D95" s="16" t="n">
        <v>46023</v>
      </c>
      <c r="E95" s="4" t="n">
        <v>2026</v>
      </c>
      <c r="F95" s="4" t="n">
        <v>1</v>
      </c>
      <c r="G95" s="17" t="n">
        <v>1374593</v>
      </c>
      <c r="H95" s="18" t="n">
        <f aca="false">G95*$B$1/1000000</f>
        <v>3.03045882363666</v>
      </c>
    </row>
    <row r="96" customFormat="false" ht="15" hidden="false" customHeight="false" outlineLevel="0" collapsed="false">
      <c r="A96" s="4" t="s">
        <v>203</v>
      </c>
      <c r="B96" s="4" t="s">
        <v>204</v>
      </c>
      <c r="C96" s="4" t="s">
        <v>47</v>
      </c>
      <c r="D96" s="16" t="n">
        <v>46054</v>
      </c>
      <c r="E96" s="4" t="n">
        <v>2026</v>
      </c>
      <c r="F96" s="4" t="n">
        <v>2</v>
      </c>
      <c r="G96" s="17" t="n">
        <v>1162753</v>
      </c>
      <c r="H96" s="18" t="n">
        <f aca="false">G96*$B$1/1000000</f>
        <v>2.56343156742395</v>
      </c>
    </row>
    <row r="97" customFormat="false" ht="15" hidden="false" customHeight="false" outlineLevel="0" collapsed="false">
      <c r="A97" s="4" t="s">
        <v>203</v>
      </c>
      <c r="B97" s="4" t="s">
        <v>204</v>
      </c>
      <c r="C97" s="4" t="s">
        <v>47</v>
      </c>
      <c r="D97" s="16" t="n">
        <v>46082</v>
      </c>
      <c r="E97" s="4" t="n">
        <v>2026</v>
      </c>
      <c r="F97" s="4" t="n">
        <v>3</v>
      </c>
      <c r="G97" s="17" t="n">
        <v>1665736</v>
      </c>
      <c r="H97" s="18" t="n">
        <f aca="false">G97*$B$1/1000000</f>
        <v>3.67231926762993</v>
      </c>
    </row>
    <row r="98" customFormat="false" ht="15" hidden="false" customHeight="false" outlineLevel="0" collapsed="false">
      <c r="A98" s="4" t="s">
        <v>203</v>
      </c>
      <c r="B98" s="4" t="s">
        <v>204</v>
      </c>
      <c r="C98" s="4" t="s">
        <v>47</v>
      </c>
      <c r="D98" s="16" t="n">
        <v>46113</v>
      </c>
      <c r="E98" s="4" t="n">
        <v>2026</v>
      </c>
      <c r="F98" s="4" t="n">
        <v>4</v>
      </c>
      <c r="G98" s="17" t="n">
        <v>1050475</v>
      </c>
      <c r="H98" s="18" t="n">
        <f aca="false">G98*$B$1/1000000</f>
        <v>2.31590094868788</v>
      </c>
    </row>
    <row r="99" customFormat="false" ht="15" hidden="false" customHeight="false" outlineLevel="0" collapsed="false">
      <c r="A99" s="4" t="s">
        <v>203</v>
      </c>
      <c r="B99" s="4" t="s">
        <v>204</v>
      </c>
      <c r="C99" s="4" t="s">
        <v>47</v>
      </c>
      <c r="D99" s="16" t="n">
        <v>46143</v>
      </c>
      <c r="E99" s="4" t="n">
        <v>2026</v>
      </c>
      <c r="F99" s="4" t="n">
        <v>5</v>
      </c>
      <c r="G99" s="17" t="n">
        <v>1063721</v>
      </c>
      <c r="H99" s="18" t="n">
        <f aca="false">G99*$B$1/1000000</f>
        <v>2.3451033799369</v>
      </c>
    </row>
    <row r="100" customFormat="false" ht="15" hidden="false" customHeight="false" outlineLevel="0" collapsed="false">
      <c r="A100" s="4" t="s">
        <v>203</v>
      </c>
      <c r="B100" s="4" t="s">
        <v>204</v>
      </c>
      <c r="C100" s="4" t="s">
        <v>47</v>
      </c>
      <c r="D100" s="16" t="n">
        <v>46174</v>
      </c>
      <c r="E100" s="4" t="n">
        <v>2026</v>
      </c>
      <c r="F100" s="4" t="n">
        <v>6</v>
      </c>
      <c r="G100" s="17" t="n">
        <v>1525468</v>
      </c>
      <c r="H100" s="18" t="n">
        <f aca="false">G100*$B$1/1000000</f>
        <v>3.36308126170828</v>
      </c>
    </row>
    <row r="101" customFormat="false" ht="15" hidden="false" customHeight="false" outlineLevel="0" collapsed="false">
      <c r="A101" s="4" t="s">
        <v>203</v>
      </c>
      <c r="B101" s="4" t="s">
        <v>204</v>
      </c>
      <c r="C101" s="4" t="s">
        <v>47</v>
      </c>
      <c r="D101" s="16" t="n">
        <v>46204</v>
      </c>
      <c r="E101" s="4" t="n">
        <v>2026</v>
      </c>
      <c r="F101" s="4" t="n">
        <v>7</v>
      </c>
      <c r="G101" s="17" t="n">
        <v>1735717</v>
      </c>
      <c r="H101" s="18" t="n">
        <f aca="false">G101*$B$1/1000000</f>
        <v>3.82660096332962</v>
      </c>
    </row>
    <row r="102" customFormat="false" ht="15" hidden="false" customHeight="false" outlineLevel="0" collapsed="false">
      <c r="A102" s="4" t="s">
        <v>203</v>
      </c>
      <c r="B102" s="4" t="s">
        <v>204</v>
      </c>
      <c r="C102" s="4" t="s">
        <v>47</v>
      </c>
      <c r="D102" s="16" t="n">
        <v>46235</v>
      </c>
      <c r="E102" s="4" t="n">
        <v>2026</v>
      </c>
      <c r="F102" s="4" t="n">
        <v>8</v>
      </c>
      <c r="G102" s="17" t="n">
        <v>1336907</v>
      </c>
      <c r="H102" s="18" t="n">
        <f aca="false">G102*$B$1/1000000</f>
        <v>2.94737541550962</v>
      </c>
    </row>
    <row r="103" customFormat="false" ht="15" hidden="false" customHeight="false" outlineLevel="0" collapsed="false">
      <c r="A103" s="4" t="s">
        <v>203</v>
      </c>
      <c r="B103" s="4" t="s">
        <v>204</v>
      </c>
      <c r="C103" s="4" t="s">
        <v>78</v>
      </c>
      <c r="D103" s="16" t="n">
        <v>43983</v>
      </c>
      <c r="E103" s="4" t="n">
        <v>2020</v>
      </c>
      <c r="F103" s="4" t="n">
        <v>6</v>
      </c>
      <c r="G103" s="17" t="n">
        <v>19680</v>
      </c>
      <c r="H103" s="18" t="n">
        <f aca="false">G103*$B$1/1000000</f>
        <v>0.043386973198008</v>
      </c>
    </row>
    <row r="104" customFormat="false" ht="15" hidden="false" customHeight="false" outlineLevel="0" collapsed="false">
      <c r="A104" s="4" t="s">
        <v>203</v>
      </c>
      <c r="B104" s="4" t="s">
        <v>204</v>
      </c>
      <c r="C104" s="4" t="s">
        <v>78</v>
      </c>
      <c r="D104" s="16" t="n">
        <v>44866</v>
      </c>
      <c r="E104" s="4" t="n">
        <v>2022</v>
      </c>
      <c r="F104" s="4" t="n">
        <v>11</v>
      </c>
      <c r="G104" s="17" t="n">
        <v>44196</v>
      </c>
      <c r="H104" s="18" t="n">
        <f aca="false">G104*$B$1/1000000</f>
        <v>0.0974355013952826</v>
      </c>
    </row>
    <row r="105" customFormat="false" ht="15" hidden="false" customHeight="false" outlineLevel="0" collapsed="false">
      <c r="A105" s="4" t="s">
        <v>203</v>
      </c>
      <c r="B105" s="4" t="s">
        <v>204</v>
      </c>
      <c r="C105" s="4" t="s">
        <v>78</v>
      </c>
      <c r="D105" s="16" t="n">
        <v>44896</v>
      </c>
      <c r="E105" s="4" t="n">
        <v>2022</v>
      </c>
      <c r="F105" s="4" t="n">
        <v>12</v>
      </c>
      <c r="G105" s="17" t="n">
        <v>3841</v>
      </c>
      <c r="H105" s="18" t="n">
        <f aca="false">G105*$B$1/1000000</f>
        <v>0.00846795549052585</v>
      </c>
    </row>
    <row r="106" customFormat="false" ht="15" hidden="false" customHeight="false" outlineLevel="0" collapsed="false">
      <c r="A106" s="4" t="s">
        <v>203</v>
      </c>
      <c r="B106" s="4" t="s">
        <v>204</v>
      </c>
      <c r="C106" s="4" t="s">
        <v>78</v>
      </c>
      <c r="D106" s="16" t="n">
        <v>44986</v>
      </c>
      <c r="E106" s="4" t="n">
        <v>2023</v>
      </c>
      <c r="F106" s="4" t="n">
        <v>3</v>
      </c>
      <c r="G106" s="17" t="n">
        <v>3698</v>
      </c>
      <c r="H106" s="18" t="n">
        <f aca="false">G106*$B$1/1000000</f>
        <v>0.0081526944556013</v>
      </c>
    </row>
    <row r="107" customFormat="false" ht="15" hidden="false" customHeight="false" outlineLevel="0" collapsed="false">
      <c r="A107" s="4" t="s">
        <v>203</v>
      </c>
      <c r="B107" s="4" t="s">
        <v>204</v>
      </c>
      <c r="C107" s="4" t="s">
        <v>78</v>
      </c>
      <c r="D107" s="16" t="n">
        <v>45078</v>
      </c>
      <c r="E107" s="4" t="n">
        <v>2023</v>
      </c>
      <c r="F107" s="4" t="n">
        <v>6</v>
      </c>
      <c r="G107" s="17" t="n">
        <v>4613</v>
      </c>
      <c r="H107" s="18" t="n">
        <f aca="false">G107*$B$1/1000000</f>
        <v>0.0101699241545941</v>
      </c>
    </row>
    <row r="108" customFormat="false" ht="15" hidden="false" customHeight="false" outlineLevel="0" collapsed="false">
      <c r="A108" s="4" t="s">
        <v>203</v>
      </c>
      <c r="B108" s="4" t="s">
        <v>204</v>
      </c>
      <c r="C108" s="4" t="s">
        <v>78</v>
      </c>
      <c r="D108" s="16" t="n">
        <v>45200</v>
      </c>
      <c r="E108" s="4" t="n">
        <v>2023</v>
      </c>
      <c r="F108" s="4" t="n">
        <v>10</v>
      </c>
      <c r="G108" s="17" t="n">
        <v>4410</v>
      </c>
      <c r="H108" s="18" t="n">
        <f aca="false">G108*$B$1/1000000</f>
        <v>0.0097223857623585</v>
      </c>
    </row>
    <row r="109" customFormat="false" ht="15" hidden="false" customHeight="false" outlineLevel="0" collapsed="false">
      <c r="A109" s="4" t="s">
        <v>203</v>
      </c>
      <c r="B109" s="4" t="s">
        <v>204</v>
      </c>
      <c r="C109" s="4" t="s">
        <v>78</v>
      </c>
      <c r="D109" s="16" t="n">
        <v>45261</v>
      </c>
      <c r="E109" s="4" t="n">
        <v>2023</v>
      </c>
      <c r="F109" s="4" t="n">
        <v>12</v>
      </c>
      <c r="G109" s="17" t="n">
        <v>6456</v>
      </c>
      <c r="H109" s="18" t="n">
        <f aca="false">G109*$B$1/1000000</f>
        <v>0.0142330436466636</v>
      </c>
    </row>
    <row r="110" customFormat="false" ht="15" hidden="false" customHeight="false" outlineLevel="0" collapsed="false">
      <c r="A110" s="4" t="s">
        <v>203</v>
      </c>
      <c r="B110" s="4" t="s">
        <v>204</v>
      </c>
      <c r="C110" s="4" t="s">
        <v>78</v>
      </c>
      <c r="D110" s="16" t="n">
        <v>45292</v>
      </c>
      <c r="E110" s="4" t="n">
        <v>2024</v>
      </c>
      <c r="F110" s="4" t="n">
        <v>1</v>
      </c>
      <c r="G110" s="17" t="n">
        <v>4344</v>
      </c>
      <c r="H110" s="18" t="n">
        <f aca="false">G110*$B$1/1000000</f>
        <v>0.0095768806693164</v>
      </c>
    </row>
    <row r="111" customFormat="false" ht="15" hidden="false" customHeight="false" outlineLevel="0" collapsed="false">
      <c r="A111" s="4" t="s">
        <v>203</v>
      </c>
      <c r="B111" s="4" t="s">
        <v>204</v>
      </c>
      <c r="C111" s="4" t="s">
        <v>78</v>
      </c>
      <c r="D111" s="16" t="n">
        <v>45383</v>
      </c>
      <c r="E111" s="4" t="n">
        <v>2024</v>
      </c>
      <c r="F111" s="4" t="n">
        <v>4</v>
      </c>
      <c r="G111" s="17" t="n">
        <v>46231</v>
      </c>
      <c r="H111" s="18" t="n">
        <f aca="false">G111*$B$1/1000000</f>
        <v>0.101921908430747</v>
      </c>
    </row>
    <row r="112" customFormat="false" ht="15" hidden="false" customHeight="false" outlineLevel="0" collapsed="false">
      <c r="A112" s="4" t="s">
        <v>203</v>
      </c>
      <c r="B112" s="4" t="s">
        <v>204</v>
      </c>
      <c r="C112" s="4" t="s">
        <v>78</v>
      </c>
      <c r="D112" s="16" t="n">
        <v>45474</v>
      </c>
      <c r="E112" s="4" t="n">
        <v>2024</v>
      </c>
      <c r="F112" s="4" t="n">
        <v>7</v>
      </c>
      <c r="G112" s="17" t="n">
        <v>22010</v>
      </c>
      <c r="H112" s="18" t="n">
        <f aca="false">G112*$B$1/1000000</f>
        <v>0.0485237439069185</v>
      </c>
    </row>
    <row r="113" customFormat="false" ht="15" hidden="false" customHeight="false" outlineLevel="0" collapsed="false">
      <c r="A113" s="4" t="s">
        <v>203</v>
      </c>
      <c r="B113" s="4" t="s">
        <v>204</v>
      </c>
      <c r="C113" s="4" t="s">
        <v>78</v>
      </c>
      <c r="D113" s="16" t="n">
        <v>45536</v>
      </c>
      <c r="E113" s="4" t="n">
        <v>2024</v>
      </c>
      <c r="F113" s="4" t="n">
        <v>9</v>
      </c>
      <c r="G113" s="17" t="n">
        <v>22328</v>
      </c>
      <c r="H113" s="18" t="n">
        <f aca="false">G113*$B$1/1000000</f>
        <v>0.0492248139006668</v>
      </c>
    </row>
    <row r="114" customFormat="false" ht="15" hidden="false" customHeight="false" outlineLevel="0" collapsed="false">
      <c r="A114" s="4" t="s">
        <v>203</v>
      </c>
      <c r="B114" s="4" t="s">
        <v>204</v>
      </c>
      <c r="C114" s="4" t="s">
        <v>78</v>
      </c>
      <c r="D114" s="16" t="n">
        <v>45597</v>
      </c>
      <c r="E114" s="4" t="n">
        <v>2024</v>
      </c>
      <c r="F114" s="4" t="n">
        <v>11</v>
      </c>
      <c r="G114" s="17" t="n">
        <v>18313</v>
      </c>
      <c r="H114" s="18" t="n">
        <f aca="false">G114*$B$1/1000000</f>
        <v>0.0403732540739391</v>
      </c>
    </row>
    <row r="115" customFormat="false" ht="15" hidden="false" customHeight="false" outlineLevel="0" collapsed="false">
      <c r="A115" s="4" t="s">
        <v>203</v>
      </c>
      <c r="B115" s="4" t="s">
        <v>204</v>
      </c>
      <c r="C115" s="4" t="s">
        <v>78</v>
      </c>
      <c r="D115" s="16" t="n">
        <v>45658</v>
      </c>
      <c r="E115" s="4" t="n">
        <v>2025</v>
      </c>
      <c r="F115" s="4" t="n">
        <v>1</v>
      </c>
      <c r="G115" s="17" t="n">
        <v>25491</v>
      </c>
      <c r="H115" s="18" t="n">
        <f aca="false">G115*$B$1/1000000</f>
        <v>0.0561980352535784</v>
      </c>
    </row>
    <row r="116" customFormat="false" ht="15" hidden="false" customHeight="false" outlineLevel="0" collapsed="false">
      <c r="A116" s="4" t="s">
        <v>203</v>
      </c>
      <c r="B116" s="4" t="s">
        <v>204</v>
      </c>
      <c r="C116" s="4" t="s">
        <v>78</v>
      </c>
      <c r="D116" s="16" t="n">
        <v>45689</v>
      </c>
      <c r="E116" s="4" t="n">
        <v>2025</v>
      </c>
      <c r="F116" s="4" t="n">
        <v>2</v>
      </c>
      <c r="G116" s="17" t="n">
        <v>34057</v>
      </c>
      <c r="H116" s="18" t="n">
        <f aca="false">G116*$B$1/1000000</f>
        <v>0.0750828326323455</v>
      </c>
    </row>
    <row r="117" customFormat="false" ht="15" hidden="false" customHeight="false" outlineLevel="0" collapsed="false">
      <c r="A117" s="4" t="s">
        <v>203</v>
      </c>
      <c r="B117" s="4" t="s">
        <v>204</v>
      </c>
      <c r="C117" s="4" t="s">
        <v>78</v>
      </c>
      <c r="D117" s="16" t="n">
        <v>45717</v>
      </c>
      <c r="E117" s="4" t="n">
        <v>2025</v>
      </c>
      <c r="F117" s="4" t="n">
        <v>3</v>
      </c>
      <c r="G117" s="17" t="n">
        <v>3010</v>
      </c>
      <c r="H117" s="18" t="n">
        <f aca="false">G117*$B$1/1000000</f>
        <v>0.0066359140917685</v>
      </c>
    </row>
    <row r="118" customFormat="false" ht="15" hidden="false" customHeight="false" outlineLevel="0" collapsed="false">
      <c r="A118" s="4" t="s">
        <v>203</v>
      </c>
      <c r="B118" s="4" t="s">
        <v>204</v>
      </c>
      <c r="C118" s="4" t="s">
        <v>78</v>
      </c>
      <c r="D118" s="16" t="n">
        <v>45748</v>
      </c>
      <c r="E118" s="4" t="n">
        <v>2025</v>
      </c>
      <c r="F118" s="4" t="n">
        <v>4</v>
      </c>
      <c r="G118" s="17" t="n">
        <v>3188</v>
      </c>
      <c r="H118" s="18" t="n">
        <f aca="false">G118*$B$1/1000000</f>
        <v>0.0070283369184578</v>
      </c>
    </row>
    <row r="119" customFormat="false" ht="15" hidden="false" customHeight="false" outlineLevel="0" collapsed="false">
      <c r="A119" s="4" t="s">
        <v>203</v>
      </c>
      <c r="B119" s="4" t="s">
        <v>204</v>
      </c>
      <c r="C119" s="4" t="s">
        <v>78</v>
      </c>
      <c r="D119" s="16" t="n">
        <v>45778</v>
      </c>
      <c r="E119" s="4" t="n">
        <v>2025</v>
      </c>
      <c r="F119" s="4" t="n">
        <v>5</v>
      </c>
      <c r="G119" s="17" t="n">
        <v>1829</v>
      </c>
      <c r="H119" s="18" t="n">
        <f aca="false">G119*$B$1/1000000</f>
        <v>0.00403225477536365</v>
      </c>
    </row>
    <row r="120" customFormat="false" ht="15" hidden="false" customHeight="false" outlineLevel="0" collapsed="false">
      <c r="A120" s="4" t="s">
        <v>203</v>
      </c>
      <c r="B120" s="4" t="s">
        <v>204</v>
      </c>
      <c r="C120" s="4" t="s">
        <v>78</v>
      </c>
      <c r="D120" s="16" t="n">
        <v>45809</v>
      </c>
      <c r="E120" s="4" t="n">
        <v>2025</v>
      </c>
      <c r="F120" s="4" t="n">
        <v>6</v>
      </c>
      <c r="G120" s="17" t="n">
        <v>33817</v>
      </c>
      <c r="H120" s="18" t="n">
        <f aca="false">G120*$B$1/1000000</f>
        <v>0.0745537232031015</v>
      </c>
    </row>
    <row r="121" customFormat="false" ht="15" hidden="false" customHeight="false" outlineLevel="0" collapsed="false">
      <c r="A121" s="4" t="s">
        <v>203</v>
      </c>
      <c r="B121" s="4" t="s">
        <v>204</v>
      </c>
      <c r="C121" s="4" t="s">
        <v>78</v>
      </c>
      <c r="D121" s="16" t="n">
        <v>45839</v>
      </c>
      <c r="E121" s="4" t="n">
        <v>2025</v>
      </c>
      <c r="F121" s="4" t="n">
        <v>7</v>
      </c>
      <c r="G121" s="17" t="n">
        <v>30579</v>
      </c>
      <c r="H121" s="18" t="n">
        <f aca="false">G121*$B$1/1000000</f>
        <v>0.0674151551535512</v>
      </c>
    </row>
    <row r="122" customFormat="false" ht="15" hidden="false" customHeight="false" outlineLevel="0" collapsed="false">
      <c r="A122" s="4" t="s">
        <v>203</v>
      </c>
      <c r="B122" s="4" t="s">
        <v>204</v>
      </c>
      <c r="C122" s="4" t="s">
        <v>78</v>
      </c>
      <c r="D122" s="16" t="n">
        <v>45901</v>
      </c>
      <c r="E122" s="4" t="n">
        <v>2025</v>
      </c>
      <c r="F122" s="4" t="n">
        <v>9</v>
      </c>
      <c r="G122" s="17" t="n">
        <v>1979</v>
      </c>
      <c r="H122" s="18" t="n">
        <f aca="false">G122*$B$1/1000000</f>
        <v>0.00436294816864115</v>
      </c>
    </row>
    <row r="123" customFormat="false" ht="15" hidden="false" customHeight="false" outlineLevel="0" collapsed="false">
      <c r="A123" s="4" t="s">
        <v>203</v>
      </c>
      <c r="B123" s="4" t="s">
        <v>204</v>
      </c>
      <c r="C123" s="4" t="s">
        <v>78</v>
      </c>
      <c r="D123" s="16" t="n">
        <v>45962</v>
      </c>
      <c r="E123" s="4" t="n">
        <v>2025</v>
      </c>
      <c r="F123" s="4" t="n">
        <v>11</v>
      </c>
      <c r="G123" s="17" t="n">
        <v>2300</v>
      </c>
      <c r="H123" s="18" t="n">
        <f aca="false">G123*$B$1/1000000</f>
        <v>0.005070632030255</v>
      </c>
    </row>
    <row r="124" customFormat="false" ht="15" hidden="false" customHeight="false" outlineLevel="0" collapsed="false">
      <c r="A124" s="4" t="s">
        <v>203</v>
      </c>
      <c r="B124" s="4" t="s">
        <v>204</v>
      </c>
      <c r="C124" s="4" t="s">
        <v>78</v>
      </c>
      <c r="D124" s="16" t="n">
        <v>45992</v>
      </c>
      <c r="E124" s="4" t="n">
        <v>2025</v>
      </c>
      <c r="F124" s="4" t="n">
        <v>12</v>
      </c>
      <c r="G124" s="17" t="n">
        <v>3788</v>
      </c>
      <c r="H124" s="18" t="n">
        <f aca="false">G124*$B$1/1000000</f>
        <v>0.0083511104915678</v>
      </c>
    </row>
    <row r="125" customFormat="false" ht="15" hidden="false" customHeight="false" outlineLevel="0" collapsed="false">
      <c r="A125" s="4" t="s">
        <v>203</v>
      </c>
      <c r="B125" s="4" t="s">
        <v>204</v>
      </c>
      <c r="C125" s="4" t="s">
        <v>78</v>
      </c>
      <c r="D125" s="16" t="n">
        <v>46023</v>
      </c>
      <c r="E125" s="4" t="n">
        <v>2026</v>
      </c>
      <c r="F125" s="4" t="n">
        <v>1</v>
      </c>
      <c r="G125" s="17" t="n">
        <v>18274</v>
      </c>
      <c r="H125" s="18" t="n">
        <f aca="false">G125*$B$1/1000000</f>
        <v>0.0402872737916869</v>
      </c>
    </row>
    <row r="126" customFormat="false" ht="15" hidden="false" customHeight="false" outlineLevel="0" collapsed="false">
      <c r="A126" s="4" t="s">
        <v>203</v>
      </c>
      <c r="B126" s="4" t="s">
        <v>204</v>
      </c>
      <c r="C126" s="4" t="s">
        <v>78</v>
      </c>
      <c r="D126" s="16" t="n">
        <v>46054</v>
      </c>
      <c r="E126" s="4" t="n">
        <v>2026</v>
      </c>
      <c r="F126" s="4" t="n">
        <v>2</v>
      </c>
      <c r="G126" s="17" t="n">
        <v>16466</v>
      </c>
      <c r="H126" s="18" t="n">
        <f aca="false">G126*$B$1/1000000</f>
        <v>0.0363013160913821</v>
      </c>
    </row>
    <row r="127" customFormat="false" ht="15" hidden="false" customHeight="false" outlineLevel="0" collapsed="false">
      <c r="A127" s="4" t="s">
        <v>203</v>
      </c>
      <c r="B127" s="4" t="s">
        <v>204</v>
      </c>
      <c r="C127" s="4" t="s">
        <v>78</v>
      </c>
      <c r="D127" s="16" t="n">
        <v>46082</v>
      </c>
      <c r="E127" s="4" t="n">
        <v>2026</v>
      </c>
      <c r="F127" s="4" t="n">
        <v>3</v>
      </c>
      <c r="G127" s="17" t="n">
        <v>4560</v>
      </c>
      <c r="H127" s="18" t="n">
        <f aca="false">G127*$B$1/1000000</f>
        <v>0.010053079155636</v>
      </c>
    </row>
    <row r="128" customFormat="false" ht="15" hidden="false" customHeight="false" outlineLevel="0" collapsed="false">
      <c r="A128" s="4" t="s">
        <v>203</v>
      </c>
      <c r="B128" s="4" t="s">
        <v>204</v>
      </c>
      <c r="C128" s="4" t="s">
        <v>78</v>
      </c>
      <c r="D128" s="16" t="n">
        <v>46174</v>
      </c>
      <c r="E128" s="4" t="n">
        <v>2026</v>
      </c>
      <c r="F128" s="4" t="n">
        <v>6</v>
      </c>
      <c r="G128" s="17" t="n">
        <v>2893</v>
      </c>
      <c r="H128" s="18" t="n">
        <f aca="false">G128*$B$1/1000000</f>
        <v>0.00637797324501205</v>
      </c>
    </row>
    <row r="129" customFormat="false" ht="15" hidden="false" customHeight="false" outlineLevel="0" collapsed="false">
      <c r="A129" s="4" t="s">
        <v>203</v>
      </c>
      <c r="B129" s="4" t="s">
        <v>204</v>
      </c>
      <c r="C129" s="4" t="s">
        <v>78</v>
      </c>
      <c r="D129" s="16" t="n">
        <v>46204</v>
      </c>
      <c r="E129" s="4" t="n">
        <v>2026</v>
      </c>
      <c r="F129" s="4" t="n">
        <v>7</v>
      </c>
      <c r="G129" s="17" t="n">
        <v>718</v>
      </c>
      <c r="H129" s="18" t="n">
        <f aca="false">G129*$B$1/1000000</f>
        <v>0.0015829190424883</v>
      </c>
    </row>
    <row r="130" customFormat="false" ht="15" hidden="false" customHeight="false" outlineLevel="0" collapsed="false">
      <c r="A130" s="4" t="s">
        <v>203</v>
      </c>
      <c r="B130" s="4" t="s">
        <v>204</v>
      </c>
      <c r="C130" s="4" t="s">
        <v>194</v>
      </c>
      <c r="D130" s="16" t="n">
        <v>45444</v>
      </c>
      <c r="E130" s="4" t="n">
        <v>2024</v>
      </c>
      <c r="F130" s="4" t="n">
        <v>6</v>
      </c>
      <c r="G130" s="17" t="n">
        <v>1008</v>
      </c>
      <c r="H130" s="18" t="n">
        <f aca="false">G130*$B$1/1000000</f>
        <v>0.0022222596028248</v>
      </c>
    </row>
    <row r="131" customFormat="false" ht="15" hidden="false" customHeight="false" outlineLevel="0" collapsed="false">
      <c r="A131" s="4" t="s">
        <v>203</v>
      </c>
      <c r="B131" s="4" t="s">
        <v>204</v>
      </c>
      <c r="C131" s="4" t="s">
        <v>35</v>
      </c>
      <c r="D131" s="16" t="n">
        <v>43831</v>
      </c>
      <c r="E131" s="4" t="n">
        <v>2020</v>
      </c>
      <c r="F131" s="4" t="n">
        <v>1</v>
      </c>
      <c r="G131" s="17" t="n">
        <v>446708</v>
      </c>
      <c r="H131" s="18" t="n">
        <f aca="false">G131*$B$1/1000000</f>
        <v>0.98482256216137</v>
      </c>
    </row>
    <row r="132" customFormat="false" ht="15" hidden="false" customHeight="false" outlineLevel="0" collapsed="false">
      <c r="A132" s="4" t="s">
        <v>203</v>
      </c>
      <c r="B132" s="4" t="s">
        <v>204</v>
      </c>
      <c r="C132" s="4" t="s">
        <v>35</v>
      </c>
      <c r="D132" s="16" t="n">
        <v>43862</v>
      </c>
      <c r="E132" s="4" t="n">
        <v>2020</v>
      </c>
      <c r="F132" s="4" t="n">
        <v>2</v>
      </c>
      <c r="G132" s="17" t="n">
        <v>398026</v>
      </c>
      <c r="H132" s="18" t="n">
        <f aca="false">G132*$B$1/1000000</f>
        <v>0.877497123684468</v>
      </c>
    </row>
    <row r="133" customFormat="false" ht="15" hidden="false" customHeight="false" outlineLevel="0" collapsed="false">
      <c r="A133" s="4" t="s">
        <v>203</v>
      </c>
      <c r="B133" s="4" t="s">
        <v>204</v>
      </c>
      <c r="C133" s="4" t="s">
        <v>35</v>
      </c>
      <c r="D133" s="16" t="n">
        <v>43891</v>
      </c>
      <c r="E133" s="4" t="n">
        <v>2020</v>
      </c>
      <c r="F133" s="4" t="n">
        <v>3</v>
      </c>
      <c r="G133" s="17" t="n">
        <v>456020</v>
      </c>
      <c r="H133" s="18" t="n">
        <f aca="false">G133*$B$1/1000000</f>
        <v>1.00535200801604</v>
      </c>
    </row>
    <row r="134" customFormat="false" ht="15" hidden="false" customHeight="false" outlineLevel="0" collapsed="false">
      <c r="A134" s="4" t="s">
        <v>203</v>
      </c>
      <c r="B134" s="4" t="s">
        <v>204</v>
      </c>
      <c r="C134" s="4" t="s">
        <v>35</v>
      </c>
      <c r="D134" s="16" t="n">
        <v>43922</v>
      </c>
      <c r="E134" s="4" t="n">
        <v>2020</v>
      </c>
      <c r="F134" s="4" t="n">
        <v>4</v>
      </c>
      <c r="G134" s="17" t="n">
        <v>873416</v>
      </c>
      <c r="H134" s="18" t="n">
        <f aca="false">G134*$B$1/1000000</f>
        <v>1.92555267188574</v>
      </c>
    </row>
    <row r="135" customFormat="false" ht="15" hidden="false" customHeight="false" outlineLevel="0" collapsed="false">
      <c r="A135" s="4" t="s">
        <v>203</v>
      </c>
      <c r="B135" s="4" t="s">
        <v>204</v>
      </c>
      <c r="C135" s="4" t="s">
        <v>35</v>
      </c>
      <c r="D135" s="16" t="n">
        <v>43952</v>
      </c>
      <c r="E135" s="4" t="n">
        <v>2020</v>
      </c>
      <c r="F135" s="4" t="n">
        <v>5</v>
      </c>
      <c r="G135" s="17" t="n">
        <v>1020681</v>
      </c>
      <c r="H135" s="18" t="n">
        <f aca="false">G135*$B$1/1000000</f>
        <v>2.25021642229248</v>
      </c>
    </row>
    <row r="136" customFormat="false" ht="15" hidden="false" customHeight="false" outlineLevel="0" collapsed="false">
      <c r="A136" s="4" t="s">
        <v>203</v>
      </c>
      <c r="B136" s="4" t="s">
        <v>204</v>
      </c>
      <c r="C136" s="4" t="s">
        <v>35</v>
      </c>
      <c r="D136" s="16" t="n">
        <v>43983</v>
      </c>
      <c r="E136" s="4" t="n">
        <v>2020</v>
      </c>
      <c r="F136" s="4" t="n">
        <v>6</v>
      </c>
      <c r="G136" s="17" t="n">
        <v>489697</v>
      </c>
      <c r="H136" s="18" t="n">
        <f aca="false">G136*$B$1/1000000</f>
        <v>1.07959708405208</v>
      </c>
    </row>
    <row r="137" customFormat="false" ht="15" hidden="false" customHeight="false" outlineLevel="0" collapsed="false">
      <c r="A137" s="4" t="s">
        <v>203</v>
      </c>
      <c r="B137" s="4" t="s">
        <v>204</v>
      </c>
      <c r="C137" s="4" t="s">
        <v>35</v>
      </c>
      <c r="D137" s="16" t="n">
        <v>44013</v>
      </c>
      <c r="E137" s="4" t="n">
        <v>2020</v>
      </c>
      <c r="F137" s="4" t="n">
        <v>7</v>
      </c>
      <c r="G137" s="17" t="n">
        <v>584911</v>
      </c>
      <c r="H137" s="18" t="n">
        <f aca="false">G137*$B$1/1000000</f>
        <v>1.28950802236891</v>
      </c>
    </row>
    <row r="138" customFormat="false" ht="15" hidden="false" customHeight="false" outlineLevel="0" collapsed="false">
      <c r="A138" s="4" t="s">
        <v>203</v>
      </c>
      <c r="B138" s="4" t="s">
        <v>204</v>
      </c>
      <c r="C138" s="4" t="s">
        <v>35</v>
      </c>
      <c r="D138" s="16" t="n">
        <v>44044</v>
      </c>
      <c r="E138" s="4" t="n">
        <v>2020</v>
      </c>
      <c r="F138" s="4" t="n">
        <v>8</v>
      </c>
      <c r="G138" s="17" t="n">
        <v>1503590</v>
      </c>
      <c r="H138" s="18" t="n">
        <f aca="false">G138*$B$1/1000000</f>
        <v>3.31484852798744</v>
      </c>
    </row>
    <row r="139" customFormat="false" ht="15" hidden="false" customHeight="false" outlineLevel="0" collapsed="false">
      <c r="A139" s="4" t="s">
        <v>203</v>
      </c>
      <c r="B139" s="4" t="s">
        <v>204</v>
      </c>
      <c r="C139" s="4" t="s">
        <v>35</v>
      </c>
      <c r="D139" s="16" t="n">
        <v>44075</v>
      </c>
      <c r="E139" s="4" t="n">
        <v>2020</v>
      </c>
      <c r="F139" s="4" t="n">
        <v>9</v>
      </c>
      <c r="G139" s="17" t="n">
        <v>1470095</v>
      </c>
      <c r="H139" s="18" t="n">
        <f aca="false">G139*$B$1/1000000</f>
        <v>3.24100469326858</v>
      </c>
    </row>
    <row r="140" customFormat="false" ht="15" hidden="false" customHeight="false" outlineLevel="0" collapsed="false">
      <c r="A140" s="4" t="s">
        <v>203</v>
      </c>
      <c r="B140" s="4" t="s">
        <v>204</v>
      </c>
      <c r="C140" s="4" t="s">
        <v>35</v>
      </c>
      <c r="D140" s="16" t="n">
        <v>44105</v>
      </c>
      <c r="E140" s="4" t="n">
        <v>2020</v>
      </c>
      <c r="F140" s="4" t="n">
        <v>10</v>
      </c>
      <c r="G140" s="17" t="n">
        <v>1821678</v>
      </c>
      <c r="H140" s="18" t="n">
        <f aca="false">G140*$B$1/1000000</f>
        <v>4.01611252852646</v>
      </c>
    </row>
    <row r="141" customFormat="false" ht="15" hidden="false" customHeight="false" outlineLevel="0" collapsed="false">
      <c r="A141" s="4" t="s">
        <v>203</v>
      </c>
      <c r="B141" s="4" t="s">
        <v>204</v>
      </c>
      <c r="C141" s="4" t="s">
        <v>35</v>
      </c>
      <c r="D141" s="16" t="n">
        <v>44136</v>
      </c>
      <c r="E141" s="4" t="n">
        <v>2020</v>
      </c>
      <c r="F141" s="4" t="n">
        <v>11</v>
      </c>
      <c r="G141" s="17" t="n">
        <v>941098</v>
      </c>
      <c r="H141" s="18" t="n">
        <f aca="false">G141*$B$1/1000000</f>
        <v>2.07476594017779</v>
      </c>
    </row>
    <row r="142" customFormat="false" ht="15" hidden="false" customHeight="false" outlineLevel="0" collapsed="false">
      <c r="A142" s="4" t="s">
        <v>203</v>
      </c>
      <c r="B142" s="4" t="s">
        <v>204</v>
      </c>
      <c r="C142" s="4" t="s">
        <v>35</v>
      </c>
      <c r="D142" s="16" t="n">
        <v>44166</v>
      </c>
      <c r="E142" s="4" t="n">
        <v>2020</v>
      </c>
      <c r="F142" s="4" t="n">
        <v>12</v>
      </c>
      <c r="G142" s="17" t="n">
        <v>923392</v>
      </c>
      <c r="H142" s="18" t="n">
        <f aca="false">G142*$B$1/1000000</f>
        <v>2.03573089203532</v>
      </c>
    </row>
    <row r="143" customFormat="false" ht="15" hidden="false" customHeight="false" outlineLevel="0" collapsed="false">
      <c r="A143" s="4" t="s">
        <v>203</v>
      </c>
      <c r="B143" s="4" t="s">
        <v>204</v>
      </c>
      <c r="C143" s="4" t="s">
        <v>35</v>
      </c>
      <c r="D143" s="16" t="n">
        <v>44197</v>
      </c>
      <c r="E143" s="4" t="n">
        <v>2021</v>
      </c>
      <c r="F143" s="4" t="n">
        <v>1</v>
      </c>
      <c r="G143" s="17" t="n">
        <v>129055</v>
      </c>
      <c r="H143" s="18" t="n">
        <f aca="false">G143*$B$1/1000000</f>
        <v>0.284517572462852</v>
      </c>
    </row>
    <row r="144" customFormat="false" ht="15" hidden="false" customHeight="false" outlineLevel="0" collapsed="false">
      <c r="A144" s="4" t="s">
        <v>203</v>
      </c>
      <c r="B144" s="4" t="s">
        <v>204</v>
      </c>
      <c r="C144" s="4" t="s">
        <v>35</v>
      </c>
      <c r="D144" s="16" t="n">
        <v>44228</v>
      </c>
      <c r="E144" s="4" t="n">
        <v>2021</v>
      </c>
      <c r="F144" s="4" t="n">
        <v>2</v>
      </c>
      <c r="G144" s="17" t="n">
        <v>826190</v>
      </c>
      <c r="H144" s="18" t="n">
        <f aca="false">G144*$B$1/1000000</f>
        <v>1.82143716394625</v>
      </c>
    </row>
    <row r="145" customFormat="false" ht="15" hidden="false" customHeight="false" outlineLevel="0" collapsed="false">
      <c r="A145" s="4" t="s">
        <v>203</v>
      </c>
      <c r="B145" s="4" t="s">
        <v>204</v>
      </c>
      <c r="C145" s="4" t="s">
        <v>35</v>
      </c>
      <c r="D145" s="16" t="n">
        <v>44256</v>
      </c>
      <c r="E145" s="4" t="n">
        <v>2021</v>
      </c>
      <c r="F145" s="4" t="n">
        <v>3</v>
      </c>
      <c r="G145" s="17" t="n">
        <v>882417</v>
      </c>
      <c r="H145" s="18" t="n">
        <f aca="false">G145*$B$1/1000000</f>
        <v>1.94539648010501</v>
      </c>
    </row>
    <row r="146" customFormat="false" ht="15" hidden="false" customHeight="false" outlineLevel="0" collapsed="false">
      <c r="A146" s="4" t="s">
        <v>203</v>
      </c>
      <c r="B146" s="4" t="s">
        <v>204</v>
      </c>
      <c r="C146" s="4" t="s">
        <v>35</v>
      </c>
      <c r="D146" s="16" t="n">
        <v>44287</v>
      </c>
      <c r="E146" s="4" t="n">
        <v>2021</v>
      </c>
      <c r="F146" s="4" t="n">
        <v>4</v>
      </c>
      <c r="G146" s="17" t="n">
        <v>511895</v>
      </c>
      <c r="H146" s="18" t="n">
        <f aca="false">G146*$B$1/1000000</f>
        <v>1.12853529701191</v>
      </c>
    </row>
    <row r="147" customFormat="false" ht="15" hidden="false" customHeight="false" outlineLevel="0" collapsed="false">
      <c r="A147" s="4" t="s">
        <v>203</v>
      </c>
      <c r="B147" s="4" t="s">
        <v>204</v>
      </c>
      <c r="C147" s="4" t="s">
        <v>35</v>
      </c>
      <c r="D147" s="16" t="n">
        <v>44317</v>
      </c>
      <c r="E147" s="4" t="n">
        <v>2021</v>
      </c>
      <c r="F147" s="4" t="n">
        <v>5</v>
      </c>
      <c r="G147" s="17" t="n">
        <v>304566</v>
      </c>
      <c r="H147" s="18" t="n">
        <f aca="false">G147*$B$1/1000000</f>
        <v>0.671453093446367</v>
      </c>
    </row>
    <row r="148" customFormat="false" ht="15" hidden="false" customHeight="false" outlineLevel="0" collapsed="false">
      <c r="A148" s="4" t="s">
        <v>203</v>
      </c>
      <c r="B148" s="4" t="s">
        <v>204</v>
      </c>
      <c r="C148" s="4" t="s">
        <v>35</v>
      </c>
      <c r="D148" s="16" t="n">
        <v>44348</v>
      </c>
      <c r="E148" s="4" t="n">
        <v>2021</v>
      </c>
      <c r="F148" s="4" t="n">
        <v>6</v>
      </c>
      <c r="G148" s="17" t="n">
        <v>214313</v>
      </c>
      <c r="H148" s="18" t="n">
        <f aca="false">G148*$B$1/1000000</f>
        <v>0.472479287956539</v>
      </c>
    </row>
    <row r="149" customFormat="false" ht="15" hidden="false" customHeight="false" outlineLevel="0" collapsed="false">
      <c r="A149" s="4" t="s">
        <v>203</v>
      </c>
      <c r="B149" s="4" t="s">
        <v>204</v>
      </c>
      <c r="C149" s="4" t="s">
        <v>35</v>
      </c>
      <c r="D149" s="16" t="n">
        <v>44378</v>
      </c>
      <c r="E149" s="4" t="n">
        <v>2021</v>
      </c>
      <c r="F149" s="4" t="n">
        <v>7</v>
      </c>
      <c r="G149" s="17" t="n">
        <v>418251</v>
      </c>
      <c r="H149" s="18" t="n">
        <f aca="false">G149*$B$1/1000000</f>
        <v>0.922085616211384</v>
      </c>
    </row>
    <row r="150" customFormat="false" ht="15" hidden="false" customHeight="false" outlineLevel="0" collapsed="false">
      <c r="A150" s="4" t="s">
        <v>203</v>
      </c>
      <c r="B150" s="4" t="s">
        <v>204</v>
      </c>
      <c r="C150" s="4" t="s">
        <v>35</v>
      </c>
      <c r="D150" s="16" t="n">
        <v>44409</v>
      </c>
      <c r="E150" s="4" t="n">
        <v>2021</v>
      </c>
      <c r="F150" s="4" t="n">
        <v>8</v>
      </c>
      <c r="G150" s="17" t="n">
        <v>1500990</v>
      </c>
      <c r="H150" s="18" t="n">
        <f aca="false">G150*$B$1/1000000</f>
        <v>3.30911650917063</v>
      </c>
    </row>
    <row r="151" customFormat="false" ht="15" hidden="false" customHeight="false" outlineLevel="0" collapsed="false">
      <c r="A151" s="4" t="s">
        <v>203</v>
      </c>
      <c r="B151" s="4" t="s">
        <v>204</v>
      </c>
      <c r="C151" s="4" t="s">
        <v>35</v>
      </c>
      <c r="D151" s="16" t="n">
        <v>44440</v>
      </c>
      <c r="E151" s="4" t="n">
        <v>2021</v>
      </c>
      <c r="F151" s="4" t="n">
        <v>9</v>
      </c>
      <c r="G151" s="17" t="n">
        <v>2082869</v>
      </c>
      <c r="H151" s="18" t="n">
        <f aca="false">G151*$B$1/1000000</f>
        <v>4.59194011575009</v>
      </c>
    </row>
    <row r="152" customFormat="false" ht="15" hidden="false" customHeight="false" outlineLevel="0" collapsed="false">
      <c r="A152" s="4" t="s">
        <v>203</v>
      </c>
      <c r="B152" s="4" t="s">
        <v>204</v>
      </c>
      <c r="C152" s="4" t="s">
        <v>35</v>
      </c>
      <c r="D152" s="16" t="n">
        <v>44470</v>
      </c>
      <c r="E152" s="4" t="n">
        <v>2021</v>
      </c>
      <c r="F152" s="4" t="n">
        <v>10</v>
      </c>
      <c r="G152" s="17" t="n">
        <v>2408210</v>
      </c>
      <c r="H152" s="18" t="n">
        <f aca="false">G152*$B$1/1000000</f>
        <v>5.30919424416539</v>
      </c>
    </row>
    <row r="153" customFormat="false" ht="15" hidden="false" customHeight="false" outlineLevel="0" collapsed="false">
      <c r="A153" s="4" t="s">
        <v>203</v>
      </c>
      <c r="B153" s="4" t="s">
        <v>204</v>
      </c>
      <c r="C153" s="4" t="s">
        <v>35</v>
      </c>
      <c r="D153" s="16" t="n">
        <v>44501</v>
      </c>
      <c r="E153" s="4" t="n">
        <v>2021</v>
      </c>
      <c r="F153" s="4" t="n">
        <v>11</v>
      </c>
      <c r="G153" s="17" t="n">
        <v>3040580</v>
      </c>
      <c r="H153" s="18" t="n">
        <f aca="false">G153*$B$1/1000000</f>
        <v>6.70333145154467</v>
      </c>
    </row>
    <row r="154" customFormat="false" ht="15" hidden="false" customHeight="false" outlineLevel="0" collapsed="false">
      <c r="A154" s="4" t="s">
        <v>203</v>
      </c>
      <c r="B154" s="4" t="s">
        <v>204</v>
      </c>
      <c r="C154" s="4" t="s">
        <v>35</v>
      </c>
      <c r="D154" s="16" t="n">
        <v>44531</v>
      </c>
      <c r="E154" s="4" t="n">
        <v>2021</v>
      </c>
      <c r="F154" s="4" t="n">
        <v>12</v>
      </c>
      <c r="G154" s="17" t="n">
        <v>1456828</v>
      </c>
      <c r="H154" s="18" t="n">
        <f aca="false">G154*$B$1/1000000</f>
        <v>3.21175596494449</v>
      </c>
    </row>
    <row r="155" customFormat="false" ht="15" hidden="false" customHeight="false" outlineLevel="0" collapsed="false">
      <c r="A155" s="4" t="s">
        <v>203</v>
      </c>
      <c r="B155" s="4" t="s">
        <v>204</v>
      </c>
      <c r="C155" s="4" t="s">
        <v>35</v>
      </c>
      <c r="D155" s="16" t="n">
        <v>44562</v>
      </c>
      <c r="E155" s="4" t="n">
        <v>2022</v>
      </c>
      <c r="F155" s="4" t="n">
        <v>1</v>
      </c>
      <c r="G155" s="17" t="n">
        <v>732828</v>
      </c>
      <c r="H155" s="18" t="n">
        <f aca="false">G155*$B$1/1000000</f>
        <v>1.61560918672509</v>
      </c>
    </row>
    <row r="156" customFormat="false" ht="15" hidden="false" customHeight="false" outlineLevel="0" collapsed="false">
      <c r="A156" s="4" t="s">
        <v>203</v>
      </c>
      <c r="B156" s="4" t="s">
        <v>204</v>
      </c>
      <c r="C156" s="4" t="s">
        <v>35</v>
      </c>
      <c r="D156" s="16" t="n">
        <v>44593</v>
      </c>
      <c r="E156" s="4" t="n">
        <v>2022</v>
      </c>
      <c r="F156" s="4" t="n">
        <v>2</v>
      </c>
      <c r="G156" s="17" t="n">
        <v>402740</v>
      </c>
      <c r="H156" s="18" t="n">
        <f aca="false">G156*$B$1/1000000</f>
        <v>0.887889714723869</v>
      </c>
    </row>
    <row r="157" customFormat="false" ht="15" hidden="false" customHeight="false" outlineLevel="0" collapsed="false">
      <c r="A157" s="4" t="s">
        <v>203</v>
      </c>
      <c r="B157" s="4" t="s">
        <v>204</v>
      </c>
      <c r="C157" s="4" t="s">
        <v>35</v>
      </c>
      <c r="D157" s="16" t="n">
        <v>44621</v>
      </c>
      <c r="E157" s="4" t="n">
        <v>2022</v>
      </c>
      <c r="F157" s="4" t="n">
        <v>3</v>
      </c>
      <c r="G157" s="17" t="n">
        <v>1090016</v>
      </c>
      <c r="H157" s="18" t="n">
        <f aca="false">G157*$B$1/1000000</f>
        <v>2.40307393177845</v>
      </c>
    </row>
    <row r="158" customFormat="false" ht="15" hidden="false" customHeight="false" outlineLevel="0" collapsed="false">
      <c r="A158" s="4" t="s">
        <v>203</v>
      </c>
      <c r="B158" s="4" t="s">
        <v>204</v>
      </c>
      <c r="C158" s="4" t="s">
        <v>35</v>
      </c>
      <c r="D158" s="16" t="n">
        <v>44652</v>
      </c>
      <c r="E158" s="4" t="n">
        <v>2022</v>
      </c>
      <c r="F158" s="4" t="n">
        <v>4</v>
      </c>
      <c r="G158" s="17" t="n">
        <v>2431645</v>
      </c>
      <c r="H158" s="18" t="n">
        <f aca="false">G158*$B$1/1000000</f>
        <v>5.36085957530844</v>
      </c>
    </row>
    <row r="159" customFormat="false" ht="15" hidden="false" customHeight="false" outlineLevel="0" collapsed="false">
      <c r="A159" s="4" t="s">
        <v>203</v>
      </c>
      <c r="B159" s="4" t="s">
        <v>204</v>
      </c>
      <c r="C159" s="4" t="s">
        <v>35</v>
      </c>
      <c r="D159" s="16" t="n">
        <v>44682</v>
      </c>
      <c r="E159" s="4" t="n">
        <v>2022</v>
      </c>
      <c r="F159" s="4" t="n">
        <v>5</v>
      </c>
      <c r="G159" s="17" t="n">
        <v>3618599</v>
      </c>
      <c r="H159" s="18" t="n">
        <f aca="false">G159*$B$1/1000000</f>
        <v>7.97764521480379</v>
      </c>
    </row>
    <row r="160" customFormat="false" ht="15" hidden="false" customHeight="false" outlineLevel="0" collapsed="false">
      <c r="A160" s="4" t="s">
        <v>203</v>
      </c>
      <c r="B160" s="4" t="s">
        <v>204</v>
      </c>
      <c r="C160" s="4" t="s">
        <v>35</v>
      </c>
      <c r="D160" s="16" t="n">
        <v>44713</v>
      </c>
      <c r="E160" s="4" t="n">
        <v>2022</v>
      </c>
      <c r="F160" s="4" t="n">
        <v>6</v>
      </c>
      <c r="G160" s="17" t="n">
        <v>3093112</v>
      </c>
      <c r="H160" s="18" t="n">
        <f aca="false">G160*$B$1/1000000</f>
        <v>6.8191446871157</v>
      </c>
    </row>
    <row r="161" customFormat="false" ht="15" hidden="false" customHeight="false" outlineLevel="0" collapsed="false">
      <c r="A161" s="4" t="s">
        <v>203</v>
      </c>
      <c r="B161" s="4" t="s">
        <v>204</v>
      </c>
      <c r="C161" s="4" t="s">
        <v>35</v>
      </c>
      <c r="D161" s="16" t="n">
        <v>44743</v>
      </c>
      <c r="E161" s="4" t="n">
        <v>2022</v>
      </c>
      <c r="F161" s="4" t="n">
        <v>7</v>
      </c>
      <c r="G161" s="17" t="n">
        <v>2739574</v>
      </c>
      <c r="H161" s="18" t="n">
        <f aca="false">G161*$B$1/1000000</f>
        <v>6.03972681463209</v>
      </c>
    </row>
    <row r="162" customFormat="false" ht="15" hidden="false" customHeight="false" outlineLevel="0" collapsed="false">
      <c r="A162" s="4" t="s">
        <v>203</v>
      </c>
      <c r="B162" s="4" t="s">
        <v>204</v>
      </c>
      <c r="C162" s="4" t="s">
        <v>35</v>
      </c>
      <c r="D162" s="16" t="n">
        <v>44774</v>
      </c>
      <c r="E162" s="4" t="n">
        <v>2022</v>
      </c>
      <c r="F162" s="4" t="n">
        <v>8</v>
      </c>
      <c r="G162" s="17" t="n">
        <v>5280668</v>
      </c>
      <c r="H162" s="18" t="n">
        <f aca="false">G162*$B$1/1000000</f>
        <v>11.6418801312794</v>
      </c>
    </row>
    <row r="163" customFormat="false" ht="15" hidden="false" customHeight="false" outlineLevel="0" collapsed="false">
      <c r="A163" s="4" t="s">
        <v>203</v>
      </c>
      <c r="B163" s="4" t="s">
        <v>204</v>
      </c>
      <c r="C163" s="4" t="s">
        <v>35</v>
      </c>
      <c r="D163" s="16" t="n">
        <v>44805</v>
      </c>
      <c r="E163" s="4" t="n">
        <v>2022</v>
      </c>
      <c r="F163" s="4" t="n">
        <v>9</v>
      </c>
      <c r="G163" s="17" t="n">
        <v>4493151</v>
      </c>
      <c r="H163" s="18" t="n">
        <f aca="false">G163*$B$1/1000000</f>
        <v>9.90570233798795</v>
      </c>
    </row>
    <row r="164" customFormat="false" ht="15" hidden="false" customHeight="false" outlineLevel="0" collapsed="false">
      <c r="A164" s="4" t="s">
        <v>203</v>
      </c>
      <c r="B164" s="4" t="s">
        <v>204</v>
      </c>
      <c r="C164" s="4" t="s">
        <v>35</v>
      </c>
      <c r="D164" s="16" t="n">
        <v>44835</v>
      </c>
      <c r="E164" s="4" t="n">
        <v>2022</v>
      </c>
      <c r="F164" s="4" t="n">
        <v>10</v>
      </c>
      <c r="G164" s="17" t="n">
        <v>4372215</v>
      </c>
      <c r="H164" s="18" t="n">
        <f aca="false">G164*$B$1/1000000</f>
        <v>9.6390840965919</v>
      </c>
    </row>
    <row r="165" customFormat="false" ht="15" hidden="false" customHeight="false" outlineLevel="0" collapsed="false">
      <c r="A165" s="4" t="s">
        <v>203</v>
      </c>
      <c r="B165" s="4" t="s">
        <v>204</v>
      </c>
      <c r="C165" s="4" t="s">
        <v>35</v>
      </c>
      <c r="D165" s="16" t="n">
        <v>44866</v>
      </c>
      <c r="E165" s="4" t="n">
        <v>2022</v>
      </c>
      <c r="F165" s="4" t="n">
        <v>11</v>
      </c>
      <c r="G165" s="17" t="n">
        <v>2896028</v>
      </c>
      <c r="H165" s="18" t="n">
        <f aca="false">G165*$B$1/1000000</f>
        <v>6.38464884231101</v>
      </c>
    </row>
    <row r="166" customFormat="false" ht="15" hidden="false" customHeight="false" outlineLevel="0" collapsed="false">
      <c r="A166" s="4" t="s">
        <v>203</v>
      </c>
      <c r="B166" s="4" t="s">
        <v>204</v>
      </c>
      <c r="C166" s="4" t="s">
        <v>35</v>
      </c>
      <c r="D166" s="16" t="n">
        <v>44896</v>
      </c>
      <c r="E166" s="4" t="n">
        <v>2022</v>
      </c>
      <c r="F166" s="4" t="n">
        <v>12</v>
      </c>
      <c r="G166" s="17" t="n">
        <v>1847239</v>
      </c>
      <c r="H166" s="18" t="n">
        <f aca="false">G166*$B$1/1000000</f>
        <v>4.07246488736357</v>
      </c>
    </row>
    <row r="167" customFormat="false" ht="15" hidden="false" customHeight="false" outlineLevel="0" collapsed="false">
      <c r="A167" s="4" t="s">
        <v>203</v>
      </c>
      <c r="B167" s="4" t="s">
        <v>204</v>
      </c>
      <c r="C167" s="4" t="s">
        <v>35</v>
      </c>
      <c r="D167" s="16" t="n">
        <v>44927</v>
      </c>
      <c r="E167" s="4" t="n">
        <v>2023</v>
      </c>
      <c r="F167" s="4" t="n">
        <v>1</v>
      </c>
      <c r="G167" s="17" t="n">
        <v>2648464</v>
      </c>
      <c r="H167" s="18" t="n">
        <f aca="false">G167*$B$1/1000000</f>
        <v>5.83886364755534</v>
      </c>
    </row>
    <row r="168" customFormat="false" ht="15" hidden="false" customHeight="false" outlineLevel="0" collapsed="false">
      <c r="A168" s="4" t="s">
        <v>203</v>
      </c>
      <c r="B168" s="4" t="s">
        <v>204</v>
      </c>
      <c r="C168" s="4" t="s">
        <v>35</v>
      </c>
      <c r="D168" s="16" t="n">
        <v>44958</v>
      </c>
      <c r="E168" s="4" t="n">
        <v>2023</v>
      </c>
      <c r="F168" s="4" t="n">
        <v>2</v>
      </c>
      <c r="G168" s="17" t="n">
        <v>1025949</v>
      </c>
      <c r="H168" s="18" t="n">
        <f aca="false">G168*$B$1/1000000</f>
        <v>2.26183037426439</v>
      </c>
    </row>
    <row r="169" customFormat="false" ht="15" hidden="false" customHeight="false" outlineLevel="0" collapsed="false">
      <c r="A169" s="4" t="s">
        <v>203</v>
      </c>
      <c r="B169" s="4" t="s">
        <v>204</v>
      </c>
      <c r="C169" s="4" t="s">
        <v>35</v>
      </c>
      <c r="D169" s="16" t="n">
        <v>44986</v>
      </c>
      <c r="E169" s="4" t="n">
        <v>2023</v>
      </c>
      <c r="F169" s="4" t="n">
        <v>3</v>
      </c>
      <c r="G169" s="17" t="n">
        <v>757211</v>
      </c>
      <c r="H169" s="18" t="n">
        <f aca="false">G169*$B$1/1000000</f>
        <v>1.66936450011366</v>
      </c>
    </row>
    <row r="170" customFormat="false" ht="15" hidden="false" customHeight="false" outlineLevel="0" collapsed="false">
      <c r="A170" s="4" t="s">
        <v>203</v>
      </c>
      <c r="B170" s="4" t="s">
        <v>204</v>
      </c>
      <c r="C170" s="4" t="s">
        <v>35</v>
      </c>
      <c r="D170" s="16" t="n">
        <v>45017</v>
      </c>
      <c r="E170" s="4" t="n">
        <v>2023</v>
      </c>
      <c r="F170" s="4" t="n">
        <v>4</v>
      </c>
      <c r="G170" s="17" t="n">
        <v>636851</v>
      </c>
      <c r="H170" s="18" t="n">
        <f aca="false">G170*$B$1/1000000</f>
        <v>1.40401612134779</v>
      </c>
    </row>
    <row r="171" customFormat="false" ht="15" hidden="false" customHeight="false" outlineLevel="0" collapsed="false">
      <c r="A171" s="4" t="s">
        <v>203</v>
      </c>
      <c r="B171" s="4" t="s">
        <v>204</v>
      </c>
      <c r="C171" s="4" t="s">
        <v>35</v>
      </c>
      <c r="D171" s="16" t="n">
        <v>45047</v>
      </c>
      <c r="E171" s="4" t="n">
        <v>2023</v>
      </c>
      <c r="F171" s="4" t="n">
        <v>5</v>
      </c>
      <c r="G171" s="17" t="n">
        <v>967241</v>
      </c>
      <c r="H171" s="18" t="n">
        <f aca="false">G171*$B$1/1000000</f>
        <v>2.13240138938082</v>
      </c>
    </row>
    <row r="172" customFormat="false" ht="15" hidden="false" customHeight="false" outlineLevel="0" collapsed="false">
      <c r="A172" s="4" t="s">
        <v>203</v>
      </c>
      <c r="B172" s="4" t="s">
        <v>204</v>
      </c>
      <c r="C172" s="4" t="s">
        <v>35</v>
      </c>
      <c r="D172" s="16" t="n">
        <v>45078</v>
      </c>
      <c r="E172" s="4" t="n">
        <v>2023</v>
      </c>
      <c r="F172" s="4" t="n">
        <v>6</v>
      </c>
      <c r="G172" s="17" t="n">
        <v>1490288</v>
      </c>
      <c r="H172" s="18" t="n">
        <f aca="false">G172*$B$1/1000000</f>
        <v>3.28552263787159</v>
      </c>
    </row>
    <row r="173" customFormat="false" ht="15" hidden="false" customHeight="false" outlineLevel="0" collapsed="false">
      <c r="A173" s="4" t="s">
        <v>203</v>
      </c>
      <c r="B173" s="4" t="s">
        <v>204</v>
      </c>
      <c r="C173" s="4" t="s">
        <v>35</v>
      </c>
      <c r="D173" s="16" t="n">
        <v>45108</v>
      </c>
      <c r="E173" s="4" t="n">
        <v>2023</v>
      </c>
      <c r="F173" s="4" t="n">
        <v>7</v>
      </c>
      <c r="G173" s="17" t="n">
        <v>1528751</v>
      </c>
      <c r="H173" s="18" t="n">
        <f aca="false">G173*$B$1/1000000</f>
        <v>3.37031903777581</v>
      </c>
    </row>
    <row r="174" customFormat="false" ht="15" hidden="false" customHeight="false" outlineLevel="0" collapsed="false">
      <c r="A174" s="4" t="s">
        <v>203</v>
      </c>
      <c r="B174" s="4" t="s">
        <v>204</v>
      </c>
      <c r="C174" s="4" t="s">
        <v>35</v>
      </c>
      <c r="D174" s="16" t="n">
        <v>45139</v>
      </c>
      <c r="E174" s="4" t="n">
        <v>2023</v>
      </c>
      <c r="F174" s="4" t="n">
        <v>8</v>
      </c>
      <c r="G174" s="17" t="n">
        <v>957093</v>
      </c>
      <c r="H174" s="18" t="n">
        <f aca="false">G174*$B$1/1000000</f>
        <v>2.11002887901428</v>
      </c>
    </row>
    <row r="175" customFormat="false" ht="15" hidden="false" customHeight="false" outlineLevel="0" collapsed="false">
      <c r="A175" s="4" t="s">
        <v>203</v>
      </c>
      <c r="B175" s="4" t="s">
        <v>204</v>
      </c>
      <c r="C175" s="4" t="s">
        <v>35</v>
      </c>
      <c r="D175" s="16" t="n">
        <v>45170</v>
      </c>
      <c r="E175" s="4" t="n">
        <v>2023</v>
      </c>
      <c r="F175" s="4" t="n">
        <v>9</v>
      </c>
      <c r="G175" s="17" t="n">
        <v>1319826</v>
      </c>
      <c r="H175" s="18" t="n">
        <f aca="false">G175*$B$1/1000000</f>
        <v>2.9097182565058</v>
      </c>
    </row>
    <row r="176" customFormat="false" ht="15" hidden="false" customHeight="false" outlineLevel="0" collapsed="false">
      <c r="A176" s="4" t="s">
        <v>203</v>
      </c>
      <c r="B176" s="4" t="s">
        <v>204</v>
      </c>
      <c r="C176" s="4" t="s">
        <v>35</v>
      </c>
      <c r="D176" s="16" t="n">
        <v>45200</v>
      </c>
      <c r="E176" s="4" t="n">
        <v>2023</v>
      </c>
      <c r="F176" s="4" t="n">
        <v>10</v>
      </c>
      <c r="G176" s="17" t="n">
        <v>572132</v>
      </c>
      <c r="H176" s="18" t="n">
        <f aca="false">G176*$B$1/1000000</f>
        <v>1.26133514988428</v>
      </c>
    </row>
    <row r="177" customFormat="false" ht="15" hidden="false" customHeight="false" outlineLevel="0" collapsed="false">
      <c r="A177" s="4" t="s">
        <v>203</v>
      </c>
      <c r="B177" s="4" t="s">
        <v>204</v>
      </c>
      <c r="C177" s="4" t="s">
        <v>35</v>
      </c>
      <c r="D177" s="16" t="n">
        <v>45231</v>
      </c>
      <c r="E177" s="4" t="n">
        <v>2023</v>
      </c>
      <c r="F177" s="4" t="n">
        <v>11</v>
      </c>
      <c r="G177" s="17" t="n">
        <v>2315549</v>
      </c>
      <c r="H177" s="18" t="n">
        <f aca="false">G177*$B$1/1000000</f>
        <v>5.10491170740215</v>
      </c>
    </row>
    <row r="178" customFormat="false" ht="15" hidden="false" customHeight="false" outlineLevel="0" collapsed="false">
      <c r="A178" s="4" t="s">
        <v>203</v>
      </c>
      <c r="B178" s="4" t="s">
        <v>204</v>
      </c>
      <c r="C178" s="4" t="s">
        <v>35</v>
      </c>
      <c r="D178" s="16" t="n">
        <v>45261</v>
      </c>
      <c r="E178" s="4" t="n">
        <v>2023</v>
      </c>
      <c r="F178" s="4" t="n">
        <v>12</v>
      </c>
      <c r="G178" s="17" t="n">
        <v>706714</v>
      </c>
      <c r="H178" s="18" t="n">
        <f aca="false">G178*$B$1/1000000</f>
        <v>1.5580376715781</v>
      </c>
    </row>
    <row r="179" customFormat="false" ht="15" hidden="false" customHeight="false" outlineLevel="0" collapsed="false">
      <c r="A179" s="4" t="s">
        <v>203</v>
      </c>
      <c r="B179" s="4" t="s">
        <v>204</v>
      </c>
      <c r="C179" s="4" t="s">
        <v>35</v>
      </c>
      <c r="D179" s="16" t="n">
        <v>45292</v>
      </c>
      <c r="E179" s="4" t="n">
        <v>2024</v>
      </c>
      <c r="F179" s="4" t="n">
        <v>1</v>
      </c>
      <c r="G179" s="17" t="n">
        <v>609911</v>
      </c>
      <c r="H179" s="18" t="n">
        <f aca="false">G179*$B$1/1000000</f>
        <v>1.34462358791516</v>
      </c>
    </row>
    <row r="180" customFormat="false" ht="15" hidden="false" customHeight="false" outlineLevel="0" collapsed="false">
      <c r="A180" s="4" t="s">
        <v>203</v>
      </c>
      <c r="B180" s="4" t="s">
        <v>204</v>
      </c>
      <c r="C180" s="4" t="s">
        <v>35</v>
      </c>
      <c r="D180" s="16" t="n">
        <v>45323</v>
      </c>
      <c r="E180" s="4" t="n">
        <v>2024</v>
      </c>
      <c r="F180" s="4" t="n">
        <v>2</v>
      </c>
      <c r="G180" s="17" t="n">
        <v>2128599</v>
      </c>
      <c r="H180" s="18" t="n">
        <f aca="false">G180*$B$1/1000000</f>
        <v>4.69275750824729</v>
      </c>
    </row>
    <row r="181" customFormat="false" ht="15" hidden="false" customHeight="false" outlineLevel="0" collapsed="false">
      <c r="A181" s="4" t="s">
        <v>203</v>
      </c>
      <c r="B181" s="4" t="s">
        <v>204</v>
      </c>
      <c r="C181" s="4" t="s">
        <v>35</v>
      </c>
      <c r="D181" s="16" t="n">
        <v>45352</v>
      </c>
      <c r="E181" s="4" t="n">
        <v>2024</v>
      </c>
      <c r="F181" s="4" t="n">
        <v>3</v>
      </c>
      <c r="G181" s="17" t="n">
        <v>883992</v>
      </c>
      <c r="H181" s="18" t="n">
        <f aca="false">G181*$B$1/1000000</f>
        <v>1.94886876073443</v>
      </c>
    </row>
    <row r="182" customFormat="false" ht="15" hidden="false" customHeight="false" outlineLevel="0" collapsed="false">
      <c r="A182" s="4" t="s">
        <v>203</v>
      </c>
      <c r="B182" s="4" t="s">
        <v>204</v>
      </c>
      <c r="C182" s="4" t="s">
        <v>35</v>
      </c>
      <c r="D182" s="16" t="n">
        <v>45383</v>
      </c>
      <c r="E182" s="4" t="n">
        <v>2024</v>
      </c>
      <c r="F182" s="4" t="n">
        <v>4</v>
      </c>
      <c r="G182" s="17" t="n">
        <v>465722</v>
      </c>
      <c r="H182" s="18" t="n">
        <f aca="false">G182*$B$1/1000000</f>
        <v>1.02674125669323</v>
      </c>
    </row>
    <row r="183" customFormat="false" ht="15" hidden="false" customHeight="false" outlineLevel="0" collapsed="false">
      <c r="A183" s="4" t="s">
        <v>203</v>
      </c>
      <c r="B183" s="4" t="s">
        <v>204</v>
      </c>
      <c r="C183" s="4" t="s">
        <v>35</v>
      </c>
      <c r="D183" s="16" t="n">
        <v>45413</v>
      </c>
      <c r="E183" s="4" t="n">
        <v>2024</v>
      </c>
      <c r="F183" s="4" t="n">
        <v>5</v>
      </c>
      <c r="G183" s="17" t="n">
        <v>1059478</v>
      </c>
      <c r="H183" s="18" t="n">
        <f aca="false">G183*$B$1/1000000</f>
        <v>2.33574916615239</v>
      </c>
    </row>
    <row r="184" customFormat="false" ht="15" hidden="false" customHeight="false" outlineLevel="0" collapsed="false">
      <c r="A184" s="4" t="s">
        <v>203</v>
      </c>
      <c r="B184" s="4" t="s">
        <v>204</v>
      </c>
      <c r="C184" s="4" t="s">
        <v>35</v>
      </c>
      <c r="D184" s="16" t="n">
        <v>45444</v>
      </c>
      <c r="E184" s="4" t="n">
        <v>2024</v>
      </c>
      <c r="F184" s="4" t="n">
        <v>6</v>
      </c>
      <c r="G184" s="17" t="n">
        <v>678023</v>
      </c>
      <c r="H184" s="18" t="n">
        <f aca="false">G184*$B$1/1000000</f>
        <v>1.4947848439346</v>
      </c>
    </row>
    <row r="185" customFormat="false" ht="15" hidden="false" customHeight="false" outlineLevel="0" collapsed="false">
      <c r="A185" s="4" t="s">
        <v>203</v>
      </c>
      <c r="B185" s="4" t="s">
        <v>204</v>
      </c>
      <c r="C185" s="4" t="s">
        <v>35</v>
      </c>
      <c r="D185" s="16" t="n">
        <v>45474</v>
      </c>
      <c r="E185" s="4" t="n">
        <v>2024</v>
      </c>
      <c r="F185" s="4" t="n">
        <v>7</v>
      </c>
      <c r="G185" s="17" t="n">
        <v>1285046</v>
      </c>
      <c r="H185" s="18" t="n">
        <f aca="false">G185*$B$1/1000000</f>
        <v>2.83304148171786</v>
      </c>
    </row>
    <row r="186" customFormat="false" ht="15" hidden="false" customHeight="false" outlineLevel="0" collapsed="false">
      <c r="A186" s="4" t="s">
        <v>203</v>
      </c>
      <c r="B186" s="4" t="s">
        <v>204</v>
      </c>
      <c r="C186" s="4" t="s">
        <v>35</v>
      </c>
      <c r="D186" s="16" t="n">
        <v>45505</v>
      </c>
      <c r="E186" s="4" t="n">
        <v>2024</v>
      </c>
      <c r="F186" s="4" t="n">
        <v>8</v>
      </c>
      <c r="G186" s="17" t="n">
        <v>666752</v>
      </c>
      <c r="H186" s="18" t="n">
        <f aca="false">G186*$B$1/1000000</f>
        <v>1.46993654236373</v>
      </c>
    </row>
    <row r="187" customFormat="false" ht="15" hidden="false" customHeight="false" outlineLevel="0" collapsed="false">
      <c r="A187" s="4" t="s">
        <v>203</v>
      </c>
      <c r="B187" s="4" t="s">
        <v>204</v>
      </c>
      <c r="C187" s="4" t="s">
        <v>35</v>
      </c>
      <c r="D187" s="16" t="n">
        <v>45536</v>
      </c>
      <c r="E187" s="4" t="n">
        <v>2024</v>
      </c>
      <c r="F187" s="4" t="n">
        <v>9</v>
      </c>
      <c r="G187" s="17" t="n">
        <v>506265</v>
      </c>
      <c r="H187" s="18" t="n">
        <f aca="false">G187*$B$1/1000000</f>
        <v>1.11612327165089</v>
      </c>
    </row>
    <row r="188" customFormat="false" ht="15" hidden="false" customHeight="false" outlineLevel="0" collapsed="false">
      <c r="A188" s="4" t="s">
        <v>203</v>
      </c>
      <c r="B188" s="4" t="s">
        <v>204</v>
      </c>
      <c r="C188" s="4" t="s">
        <v>35</v>
      </c>
      <c r="D188" s="16" t="n">
        <v>45566</v>
      </c>
      <c r="E188" s="4" t="n">
        <v>2024</v>
      </c>
      <c r="F188" s="4" t="n">
        <v>10</v>
      </c>
      <c r="G188" s="17" t="n">
        <v>579735</v>
      </c>
      <c r="H188" s="18" t="n">
        <f aca="false">G188*$B$1/1000000</f>
        <v>1.27809689567821</v>
      </c>
    </row>
    <row r="189" customFormat="false" ht="15" hidden="false" customHeight="false" outlineLevel="0" collapsed="false">
      <c r="A189" s="4" t="s">
        <v>203</v>
      </c>
      <c r="B189" s="4" t="s">
        <v>204</v>
      </c>
      <c r="C189" s="4" t="s">
        <v>35</v>
      </c>
      <c r="D189" s="16" t="n">
        <v>45597</v>
      </c>
      <c r="E189" s="4" t="n">
        <v>2024</v>
      </c>
      <c r="F189" s="4" t="n">
        <v>11</v>
      </c>
      <c r="G189" s="17" t="n">
        <v>681682</v>
      </c>
      <c r="H189" s="18" t="n">
        <f aca="false">G189*$B$1/1000000</f>
        <v>1.50285155810795</v>
      </c>
    </row>
    <row r="190" customFormat="false" ht="15" hidden="false" customHeight="false" outlineLevel="0" collapsed="false">
      <c r="A190" s="4" t="s">
        <v>203</v>
      </c>
      <c r="B190" s="4" t="s">
        <v>204</v>
      </c>
      <c r="C190" s="4" t="s">
        <v>35</v>
      </c>
      <c r="D190" s="16" t="n">
        <v>45627</v>
      </c>
      <c r="E190" s="4" t="n">
        <v>2024</v>
      </c>
      <c r="F190" s="4" t="n">
        <v>12</v>
      </c>
      <c r="G190" s="17" t="n">
        <v>541222</v>
      </c>
      <c r="H190" s="18" t="n">
        <f aca="false">G190*$B$1/1000000</f>
        <v>1.1931902646429</v>
      </c>
    </row>
    <row r="191" customFormat="false" ht="15" hidden="false" customHeight="false" outlineLevel="0" collapsed="false">
      <c r="A191" s="4" t="s">
        <v>203</v>
      </c>
      <c r="B191" s="4" t="s">
        <v>204</v>
      </c>
      <c r="C191" s="4" t="s">
        <v>35</v>
      </c>
      <c r="D191" s="16" t="n">
        <v>45658</v>
      </c>
      <c r="E191" s="4" t="n">
        <v>2025</v>
      </c>
      <c r="F191" s="4" t="n">
        <v>1</v>
      </c>
      <c r="G191" s="17" t="n">
        <v>677008</v>
      </c>
      <c r="H191" s="18" t="n">
        <f aca="false">G191*$B$1/1000000</f>
        <v>1.49254715197342</v>
      </c>
    </row>
    <row r="192" customFormat="false" ht="15" hidden="false" customHeight="false" outlineLevel="0" collapsed="false">
      <c r="A192" s="4" t="s">
        <v>203</v>
      </c>
      <c r="B192" s="4" t="s">
        <v>204</v>
      </c>
      <c r="C192" s="4" t="s">
        <v>35</v>
      </c>
      <c r="D192" s="16" t="n">
        <v>45689</v>
      </c>
      <c r="E192" s="4" t="n">
        <v>2025</v>
      </c>
      <c r="F192" s="4" t="n">
        <v>2</v>
      </c>
      <c r="G192" s="17" t="n">
        <v>642501</v>
      </c>
      <c r="H192" s="18" t="n">
        <f aca="false">G192*$B$1/1000000</f>
        <v>1.41647223916125</v>
      </c>
    </row>
    <row r="193" customFormat="false" ht="15" hidden="false" customHeight="false" outlineLevel="0" collapsed="false">
      <c r="A193" s="4" t="s">
        <v>203</v>
      </c>
      <c r="B193" s="4" t="s">
        <v>204</v>
      </c>
      <c r="C193" s="4" t="s">
        <v>35</v>
      </c>
      <c r="D193" s="16" t="n">
        <v>45717</v>
      </c>
      <c r="E193" s="4" t="n">
        <v>2025</v>
      </c>
      <c r="F193" s="4" t="n">
        <v>3</v>
      </c>
      <c r="G193" s="17" t="n">
        <v>757044</v>
      </c>
      <c r="H193" s="18" t="n">
        <f aca="false">G193*$B$1/1000000</f>
        <v>1.66899632813581</v>
      </c>
    </row>
    <row r="194" customFormat="false" ht="15" hidden="false" customHeight="false" outlineLevel="0" collapsed="false">
      <c r="A194" s="4" t="s">
        <v>203</v>
      </c>
      <c r="B194" s="4" t="s">
        <v>204</v>
      </c>
      <c r="C194" s="4" t="s">
        <v>35</v>
      </c>
      <c r="D194" s="16" t="n">
        <v>45748</v>
      </c>
      <c r="E194" s="4" t="n">
        <v>2025</v>
      </c>
      <c r="F194" s="4" t="n">
        <v>4</v>
      </c>
      <c r="G194" s="17" t="n">
        <v>745020</v>
      </c>
      <c r="H194" s="18" t="n">
        <f aca="false">G194*$B$1/1000000</f>
        <v>1.64248794573069</v>
      </c>
    </row>
    <row r="195" customFormat="false" ht="15" hidden="false" customHeight="false" outlineLevel="0" collapsed="false">
      <c r="A195" s="4" t="s">
        <v>203</v>
      </c>
      <c r="B195" s="4" t="s">
        <v>204</v>
      </c>
      <c r="C195" s="4" t="s">
        <v>35</v>
      </c>
      <c r="D195" s="16" t="n">
        <v>45778</v>
      </c>
      <c r="E195" s="4" t="n">
        <v>2025</v>
      </c>
      <c r="F195" s="4" t="n">
        <v>5</v>
      </c>
      <c r="G195" s="17" t="n">
        <v>607496</v>
      </c>
      <c r="H195" s="18" t="n">
        <f aca="false">G195*$B$1/1000000</f>
        <v>1.33929942428339</v>
      </c>
    </row>
    <row r="196" customFormat="false" ht="15" hidden="false" customHeight="false" outlineLevel="0" collapsed="false">
      <c r="A196" s="4" t="s">
        <v>203</v>
      </c>
      <c r="B196" s="4" t="s">
        <v>204</v>
      </c>
      <c r="C196" s="4" t="s">
        <v>35</v>
      </c>
      <c r="D196" s="16" t="n">
        <v>45809</v>
      </c>
      <c r="E196" s="4" t="n">
        <v>2025</v>
      </c>
      <c r="F196" s="4" t="n">
        <v>6</v>
      </c>
      <c r="G196" s="17" t="n">
        <v>1520454</v>
      </c>
      <c r="H196" s="18" t="n">
        <f aca="false">G196*$B$1/1000000</f>
        <v>3.35202728388232</v>
      </c>
    </row>
    <row r="197" customFormat="false" ht="15" hidden="false" customHeight="false" outlineLevel="0" collapsed="false">
      <c r="A197" s="4" t="s">
        <v>203</v>
      </c>
      <c r="B197" s="4" t="s">
        <v>204</v>
      </c>
      <c r="C197" s="4" t="s">
        <v>35</v>
      </c>
      <c r="D197" s="16" t="n">
        <v>45839</v>
      </c>
      <c r="E197" s="4" t="n">
        <v>2025</v>
      </c>
      <c r="F197" s="4" t="n">
        <v>7</v>
      </c>
      <c r="G197" s="17" t="n">
        <v>1504100</v>
      </c>
      <c r="H197" s="18" t="n">
        <f aca="false">G197*$B$1/1000000</f>
        <v>3.31597288552458</v>
      </c>
    </row>
    <row r="198" customFormat="false" ht="15" hidden="false" customHeight="false" outlineLevel="0" collapsed="false">
      <c r="A198" s="4" t="s">
        <v>203</v>
      </c>
      <c r="B198" s="4" t="s">
        <v>204</v>
      </c>
      <c r="C198" s="4" t="s">
        <v>35</v>
      </c>
      <c r="D198" s="16" t="n">
        <v>45870</v>
      </c>
      <c r="E198" s="4" t="n">
        <v>2025</v>
      </c>
      <c r="F198" s="4" t="n">
        <v>8</v>
      </c>
      <c r="G198" s="17" t="n">
        <v>1994578</v>
      </c>
      <c r="H198" s="18" t="n">
        <f aca="false">G198*$B$1/1000000</f>
        <v>4.39729177984433</v>
      </c>
    </row>
    <row r="199" customFormat="false" ht="15" hidden="false" customHeight="false" outlineLevel="0" collapsed="false">
      <c r="A199" s="4" t="s">
        <v>203</v>
      </c>
      <c r="B199" s="4" t="s">
        <v>204</v>
      </c>
      <c r="C199" s="4" t="s">
        <v>35</v>
      </c>
      <c r="D199" s="16" t="n">
        <v>45901</v>
      </c>
      <c r="E199" s="4" t="n">
        <v>2025</v>
      </c>
      <c r="F199" s="4" t="n">
        <v>9</v>
      </c>
      <c r="G199" s="17" t="n">
        <v>1363849</v>
      </c>
      <c r="H199" s="18" t="n">
        <f aca="false">G199*$B$1/1000000</f>
        <v>3.0067723581875</v>
      </c>
    </row>
    <row r="200" customFormat="false" ht="15" hidden="false" customHeight="false" outlineLevel="0" collapsed="false">
      <c r="A200" s="4" t="s">
        <v>203</v>
      </c>
      <c r="B200" s="4" t="s">
        <v>204</v>
      </c>
      <c r="C200" s="4" t="s">
        <v>35</v>
      </c>
      <c r="D200" s="16" t="n">
        <v>45931</v>
      </c>
      <c r="E200" s="4" t="n">
        <v>2025</v>
      </c>
      <c r="F200" s="4" t="n">
        <v>10</v>
      </c>
      <c r="G200" s="17" t="n">
        <v>2309616</v>
      </c>
      <c r="H200" s="18" t="n">
        <f aca="false">G200*$B$1/1000000</f>
        <v>5.09183168138671</v>
      </c>
    </row>
    <row r="201" customFormat="false" ht="15" hidden="false" customHeight="false" outlineLevel="0" collapsed="false">
      <c r="A201" s="4" t="s">
        <v>203</v>
      </c>
      <c r="B201" s="4" t="s">
        <v>204</v>
      </c>
      <c r="C201" s="4" t="s">
        <v>35</v>
      </c>
      <c r="D201" s="16" t="n">
        <v>45962</v>
      </c>
      <c r="E201" s="4" t="n">
        <v>2025</v>
      </c>
      <c r="F201" s="4" t="n">
        <v>11</v>
      </c>
      <c r="G201" s="17" t="n">
        <v>3574100</v>
      </c>
      <c r="H201" s="18" t="n">
        <f aca="false">G201*$B$1/1000000</f>
        <v>7.87954171275409</v>
      </c>
    </row>
    <row r="202" customFormat="false" ht="15" hidden="false" customHeight="false" outlineLevel="0" collapsed="false">
      <c r="A202" s="4" t="s">
        <v>203</v>
      </c>
      <c r="B202" s="4" t="s">
        <v>204</v>
      </c>
      <c r="C202" s="4" t="s">
        <v>35</v>
      </c>
      <c r="D202" s="16" t="n">
        <v>45992</v>
      </c>
      <c r="E202" s="4" t="n">
        <v>2025</v>
      </c>
      <c r="F202" s="4" t="n">
        <v>12</v>
      </c>
      <c r="G202" s="17" t="n">
        <v>2157071</v>
      </c>
      <c r="H202" s="18" t="n">
        <f aca="false">G202*$B$1/1000000</f>
        <v>4.7555275235366</v>
      </c>
    </row>
    <row r="203" customFormat="false" ht="15" hidden="false" customHeight="false" outlineLevel="0" collapsed="false">
      <c r="A203" s="4" t="s">
        <v>203</v>
      </c>
      <c r="B203" s="4" t="s">
        <v>204</v>
      </c>
      <c r="C203" s="4" t="s">
        <v>35</v>
      </c>
      <c r="D203" s="16" t="n">
        <v>46023</v>
      </c>
      <c r="E203" s="4" t="n">
        <v>2026</v>
      </c>
      <c r="F203" s="4" t="n">
        <v>1</v>
      </c>
      <c r="G203" s="17" t="n">
        <v>2929903</v>
      </c>
      <c r="H203" s="18" t="n">
        <f aca="false">G203*$B$1/1000000</f>
        <v>6.45933043362618</v>
      </c>
    </row>
    <row r="204" customFormat="false" ht="15" hidden="false" customHeight="false" outlineLevel="0" collapsed="false">
      <c r="A204" s="4" t="s">
        <v>203</v>
      </c>
      <c r="B204" s="4" t="s">
        <v>204</v>
      </c>
      <c r="C204" s="4" t="s">
        <v>35</v>
      </c>
      <c r="D204" s="16" t="n">
        <v>46054</v>
      </c>
      <c r="E204" s="4" t="n">
        <v>2026</v>
      </c>
      <c r="F204" s="4" t="n">
        <v>2</v>
      </c>
      <c r="G204" s="17" t="n">
        <v>2736724</v>
      </c>
      <c r="H204" s="18" t="n">
        <f aca="false">G204*$B$1/1000000</f>
        <v>6.03344364015982</v>
      </c>
    </row>
    <row r="205" customFormat="false" ht="15" hidden="false" customHeight="false" outlineLevel="0" collapsed="false">
      <c r="A205" s="4" t="s">
        <v>203</v>
      </c>
      <c r="B205" s="4" t="s">
        <v>204</v>
      </c>
      <c r="C205" s="4" t="s">
        <v>35</v>
      </c>
      <c r="D205" s="16" t="n">
        <v>46082</v>
      </c>
      <c r="E205" s="4" t="n">
        <v>2026</v>
      </c>
      <c r="F205" s="4" t="n">
        <v>3</v>
      </c>
      <c r="G205" s="17" t="n">
        <v>3136579</v>
      </c>
      <c r="H205" s="18" t="n">
        <f aca="false">G205*$B$1/1000000</f>
        <v>6.91497301861965</v>
      </c>
    </row>
    <row r="206" customFormat="false" ht="15" hidden="false" customHeight="false" outlineLevel="0" collapsed="false">
      <c r="A206" s="4" t="s">
        <v>203</v>
      </c>
      <c r="B206" s="4" t="s">
        <v>204</v>
      </c>
      <c r="C206" s="4" t="s">
        <v>35</v>
      </c>
      <c r="D206" s="16" t="n">
        <v>46113</v>
      </c>
      <c r="E206" s="4" t="n">
        <v>2026</v>
      </c>
      <c r="F206" s="4" t="n">
        <v>4</v>
      </c>
      <c r="G206" s="17" t="n">
        <v>2262452</v>
      </c>
      <c r="H206" s="18" t="n">
        <f aca="false">G206*$B$1/1000000</f>
        <v>4.98785286004978</v>
      </c>
    </row>
    <row r="207" customFormat="false" ht="15" hidden="false" customHeight="false" outlineLevel="0" collapsed="false">
      <c r="A207" s="4" t="s">
        <v>203</v>
      </c>
      <c r="B207" s="4" t="s">
        <v>204</v>
      </c>
      <c r="C207" s="4" t="s">
        <v>35</v>
      </c>
      <c r="D207" s="16" t="n">
        <v>46143</v>
      </c>
      <c r="E207" s="4" t="n">
        <v>2026</v>
      </c>
      <c r="F207" s="4" t="n">
        <v>5</v>
      </c>
      <c r="G207" s="17" t="n">
        <v>2297155</v>
      </c>
      <c r="H207" s="18" t="n">
        <f aca="false">G207*$B$1/1000000</f>
        <v>5.06435987889584</v>
      </c>
    </row>
    <row r="208" customFormat="false" ht="15" hidden="false" customHeight="false" outlineLevel="0" collapsed="false">
      <c r="A208" s="4" t="s">
        <v>203</v>
      </c>
      <c r="B208" s="4" t="s">
        <v>204</v>
      </c>
      <c r="C208" s="4" t="s">
        <v>35</v>
      </c>
      <c r="D208" s="16" t="n">
        <v>46174</v>
      </c>
      <c r="E208" s="4" t="n">
        <v>2026</v>
      </c>
      <c r="F208" s="4" t="n">
        <v>6</v>
      </c>
      <c r="G208" s="17" t="n">
        <v>2565577</v>
      </c>
      <c r="H208" s="18" t="n">
        <f aca="false">G208*$B$1/1000000</f>
        <v>5.65612909229806</v>
      </c>
    </row>
    <row r="209" customFormat="false" ht="15" hidden="false" customHeight="false" outlineLevel="0" collapsed="false">
      <c r="A209" s="4" t="s">
        <v>203</v>
      </c>
      <c r="B209" s="4" t="s">
        <v>204</v>
      </c>
      <c r="C209" s="4" t="s">
        <v>35</v>
      </c>
      <c r="D209" s="16" t="n">
        <v>46204</v>
      </c>
      <c r="E209" s="4" t="n">
        <v>2026</v>
      </c>
      <c r="F209" s="4" t="n">
        <v>7</v>
      </c>
      <c r="G209" s="17" t="n">
        <v>2682212</v>
      </c>
      <c r="H209" s="18" t="n">
        <f aca="false">G209*$B$1/1000000</f>
        <v>5.91326525179753</v>
      </c>
    </row>
    <row r="210" customFormat="false" ht="15" hidden="false" customHeight="false" outlineLevel="0" collapsed="false">
      <c r="A210" s="4" t="s">
        <v>203</v>
      </c>
      <c r="B210" s="4" t="s">
        <v>204</v>
      </c>
      <c r="C210" s="4" t="s">
        <v>35</v>
      </c>
      <c r="D210" s="16" t="n">
        <v>46235</v>
      </c>
      <c r="E210" s="4" t="n">
        <v>2026</v>
      </c>
      <c r="F210" s="4" t="n">
        <v>8</v>
      </c>
      <c r="G210" s="17" t="n">
        <v>2303160</v>
      </c>
      <c r="H210" s="18" t="n">
        <f aca="false">G210*$B$1/1000000</f>
        <v>5.07759863774005</v>
      </c>
    </row>
    <row r="211" customFormat="false" ht="15" hidden="false" customHeight="false" outlineLevel="0" collapsed="false">
      <c r="A211" s="4" t="s">
        <v>205</v>
      </c>
      <c r="B211" s="4" t="s">
        <v>206</v>
      </c>
      <c r="C211" s="4" t="s">
        <v>68</v>
      </c>
      <c r="D211" s="16" t="n">
        <v>43831</v>
      </c>
      <c r="E211" s="4" t="n">
        <v>2020</v>
      </c>
      <c r="F211" s="4" t="n">
        <v>1</v>
      </c>
      <c r="G211" s="17" t="n">
        <v>41820</v>
      </c>
      <c r="H211" s="18" t="n">
        <f aca="false">G211*$B$1/1000000</f>
        <v>0.092197318045767</v>
      </c>
    </row>
    <row r="212" customFormat="false" ht="15" hidden="false" customHeight="false" outlineLevel="0" collapsed="false">
      <c r="A212" s="4" t="s">
        <v>205</v>
      </c>
      <c r="B212" s="4" t="s">
        <v>206</v>
      </c>
      <c r="C212" s="4" t="s">
        <v>68</v>
      </c>
      <c r="D212" s="16" t="n">
        <v>43922</v>
      </c>
      <c r="E212" s="4" t="n">
        <v>2020</v>
      </c>
      <c r="F212" s="4" t="n">
        <v>4</v>
      </c>
      <c r="G212" s="17" t="n">
        <v>253380</v>
      </c>
      <c r="H212" s="18" t="n">
        <f aca="false">G212*$B$1/1000000</f>
        <v>0.558607279924353</v>
      </c>
    </row>
    <row r="213" customFormat="false" ht="15" hidden="false" customHeight="false" outlineLevel="0" collapsed="false">
      <c r="A213" s="4" t="s">
        <v>205</v>
      </c>
      <c r="B213" s="4" t="s">
        <v>206</v>
      </c>
      <c r="C213" s="4" t="s">
        <v>68</v>
      </c>
      <c r="D213" s="16" t="n">
        <v>43952</v>
      </c>
      <c r="E213" s="4" t="n">
        <v>2020</v>
      </c>
      <c r="F213" s="4" t="n">
        <v>5</v>
      </c>
      <c r="G213" s="17" t="n">
        <v>504240</v>
      </c>
      <c r="H213" s="18" t="n">
        <f aca="false">G213*$B$1/1000000</f>
        <v>1.11165891084164</v>
      </c>
    </row>
    <row r="214" customFormat="false" ht="15" hidden="false" customHeight="false" outlineLevel="0" collapsed="false">
      <c r="A214" s="4" t="s">
        <v>205</v>
      </c>
      <c r="B214" s="4" t="s">
        <v>206</v>
      </c>
      <c r="C214" s="4" t="s">
        <v>68</v>
      </c>
      <c r="D214" s="16" t="n">
        <v>43983</v>
      </c>
      <c r="E214" s="4" t="n">
        <v>2020</v>
      </c>
      <c r="F214" s="4" t="n">
        <v>6</v>
      </c>
      <c r="G214" s="17" t="n">
        <v>251720</v>
      </c>
      <c r="H214" s="18" t="n">
        <f aca="false">G214*$B$1/1000000</f>
        <v>0.554947606372082</v>
      </c>
    </row>
    <row r="215" customFormat="false" ht="15" hidden="false" customHeight="false" outlineLevel="0" collapsed="false">
      <c r="A215" s="4" t="s">
        <v>205</v>
      </c>
      <c r="B215" s="4" t="s">
        <v>206</v>
      </c>
      <c r="C215" s="4" t="s">
        <v>68</v>
      </c>
      <c r="D215" s="16" t="n">
        <v>44105</v>
      </c>
      <c r="E215" s="4" t="n">
        <v>2020</v>
      </c>
      <c r="F215" s="4" t="n">
        <v>10</v>
      </c>
      <c r="G215" s="17" t="n">
        <v>409040</v>
      </c>
      <c r="H215" s="18" t="n">
        <f aca="false">G215*$B$1/1000000</f>
        <v>0.901778837241524</v>
      </c>
    </row>
    <row r="216" customFormat="false" ht="15" hidden="false" customHeight="false" outlineLevel="0" collapsed="false">
      <c r="A216" s="4" t="s">
        <v>205</v>
      </c>
      <c r="B216" s="4" t="s">
        <v>206</v>
      </c>
      <c r="C216" s="4" t="s">
        <v>68</v>
      </c>
      <c r="D216" s="16" t="n">
        <v>44166</v>
      </c>
      <c r="E216" s="4" t="n">
        <v>2020</v>
      </c>
      <c r="F216" s="4" t="n">
        <v>12</v>
      </c>
      <c r="G216" s="17" t="n">
        <v>421740</v>
      </c>
      <c r="H216" s="18" t="n">
        <f aca="false">G216*$B$1/1000000</f>
        <v>0.929777544539019</v>
      </c>
    </row>
    <row r="217" customFormat="false" ht="15" hidden="false" customHeight="false" outlineLevel="0" collapsed="false">
      <c r="A217" s="4" t="s">
        <v>205</v>
      </c>
      <c r="B217" s="4" t="s">
        <v>206</v>
      </c>
      <c r="C217" s="4" t="s">
        <v>68</v>
      </c>
      <c r="D217" s="16" t="n">
        <v>44287</v>
      </c>
      <c r="E217" s="4" t="n">
        <v>2021</v>
      </c>
      <c r="F217" s="4" t="n">
        <v>4</v>
      </c>
      <c r="G217" s="17" t="n">
        <v>727760</v>
      </c>
      <c r="H217" s="18" t="n">
        <f aca="false">G217*$B$1/1000000</f>
        <v>1.60443615927756</v>
      </c>
    </row>
    <row r="218" customFormat="false" ht="15" hidden="false" customHeight="false" outlineLevel="0" collapsed="false">
      <c r="A218" s="4" t="s">
        <v>205</v>
      </c>
      <c r="B218" s="4" t="s">
        <v>206</v>
      </c>
      <c r="C218" s="4" t="s">
        <v>68</v>
      </c>
      <c r="D218" s="16" t="n">
        <v>44317</v>
      </c>
      <c r="E218" s="4" t="n">
        <v>2021</v>
      </c>
      <c r="F218" s="4" t="n">
        <v>5</v>
      </c>
      <c r="G218" s="17" t="n">
        <v>41260</v>
      </c>
      <c r="H218" s="18" t="n">
        <f aca="false">G218*$B$1/1000000</f>
        <v>0.090962729377531</v>
      </c>
    </row>
    <row r="219" customFormat="false" ht="15" hidden="false" customHeight="false" outlineLevel="0" collapsed="false">
      <c r="A219" s="4" t="s">
        <v>205</v>
      </c>
      <c r="B219" s="4" t="s">
        <v>206</v>
      </c>
      <c r="C219" s="4" t="s">
        <v>68</v>
      </c>
      <c r="D219" s="16" t="n">
        <v>44348</v>
      </c>
      <c r="E219" s="4" t="n">
        <v>2021</v>
      </c>
      <c r="F219" s="4" t="n">
        <v>6</v>
      </c>
      <c r="G219" s="17" t="n">
        <v>293510</v>
      </c>
      <c r="H219" s="18" t="n">
        <f aca="false">G219*$B$1/1000000</f>
        <v>0.647078785739194</v>
      </c>
    </row>
    <row r="220" customFormat="false" ht="15" hidden="false" customHeight="false" outlineLevel="0" collapsed="false">
      <c r="A220" s="4" t="s">
        <v>205</v>
      </c>
      <c r="B220" s="4" t="s">
        <v>206</v>
      </c>
      <c r="C220" s="4" t="s">
        <v>68</v>
      </c>
      <c r="D220" s="16" t="n">
        <v>44805</v>
      </c>
      <c r="E220" s="4" t="n">
        <v>2022</v>
      </c>
      <c r="F220" s="4" t="n">
        <v>9</v>
      </c>
      <c r="G220" s="17" t="n">
        <v>3564348</v>
      </c>
      <c r="H220" s="18" t="n">
        <f aca="false">G220*$B$1/1000000</f>
        <v>7.8580422329458</v>
      </c>
    </row>
    <row r="221" customFormat="false" ht="15" hidden="false" customHeight="false" outlineLevel="0" collapsed="false">
      <c r="A221" s="4" t="s">
        <v>205</v>
      </c>
      <c r="B221" s="4" t="s">
        <v>206</v>
      </c>
      <c r="C221" s="4" t="s">
        <v>68</v>
      </c>
      <c r="D221" s="16" t="n">
        <v>44866</v>
      </c>
      <c r="E221" s="4" t="n">
        <v>2022</v>
      </c>
      <c r="F221" s="4" t="n">
        <v>11</v>
      </c>
      <c r="G221" s="17" t="n">
        <v>10201056</v>
      </c>
      <c r="H221" s="18" t="n">
        <f aca="false">G221*$B$1/1000000</f>
        <v>22.4894788243587</v>
      </c>
    </row>
    <row r="222" customFormat="false" ht="15" hidden="false" customHeight="false" outlineLevel="0" collapsed="false">
      <c r="A222" s="4" t="s">
        <v>205</v>
      </c>
      <c r="B222" s="4" t="s">
        <v>206</v>
      </c>
      <c r="C222" s="4" t="s">
        <v>68</v>
      </c>
      <c r="D222" s="16" t="n">
        <v>44896</v>
      </c>
      <c r="E222" s="4" t="n">
        <v>2022</v>
      </c>
      <c r="F222" s="4" t="n">
        <v>12</v>
      </c>
      <c r="G222" s="17" t="n">
        <v>3740793</v>
      </c>
      <c r="H222" s="18" t="n">
        <f aca="false">G222*$B$1/1000000</f>
        <v>8.24703687145813</v>
      </c>
    </row>
    <row r="223" customFormat="false" ht="15" hidden="false" customHeight="false" outlineLevel="0" collapsed="false">
      <c r="A223" s="4" t="s">
        <v>205</v>
      </c>
      <c r="B223" s="4" t="s">
        <v>206</v>
      </c>
      <c r="C223" s="4" t="s">
        <v>68</v>
      </c>
      <c r="D223" s="16" t="n">
        <v>44927</v>
      </c>
      <c r="E223" s="4" t="n">
        <v>2023</v>
      </c>
      <c r="F223" s="4" t="n">
        <v>1</v>
      </c>
      <c r="G223" s="17" t="n">
        <v>5036656</v>
      </c>
      <c r="H223" s="18" t="n">
        <f aca="false">G223*$B$1/1000000</f>
        <v>11.1039257560765</v>
      </c>
    </row>
    <row r="224" customFormat="false" ht="15" hidden="false" customHeight="false" outlineLevel="0" collapsed="false">
      <c r="A224" s="4" t="s">
        <v>205</v>
      </c>
      <c r="B224" s="4" t="s">
        <v>206</v>
      </c>
      <c r="C224" s="4" t="s">
        <v>68</v>
      </c>
      <c r="D224" s="16" t="n">
        <v>44986</v>
      </c>
      <c r="E224" s="4" t="n">
        <v>2023</v>
      </c>
      <c r="F224" s="4" t="n">
        <v>3</v>
      </c>
      <c r="G224" s="17" t="n">
        <v>5045853</v>
      </c>
      <c r="H224" s="18" t="n">
        <f aca="false">G224*$B$1/1000000</f>
        <v>11.1242016703297</v>
      </c>
    </row>
    <row r="225" customFormat="false" ht="15" hidden="false" customHeight="false" outlineLevel="0" collapsed="false">
      <c r="A225" s="4" t="s">
        <v>205</v>
      </c>
      <c r="B225" s="4" t="s">
        <v>206</v>
      </c>
      <c r="C225" s="4" t="s">
        <v>68</v>
      </c>
      <c r="D225" s="16" t="n">
        <v>45017</v>
      </c>
      <c r="E225" s="4" t="n">
        <v>2023</v>
      </c>
      <c r="F225" s="4" t="n">
        <v>4</v>
      </c>
      <c r="G225" s="17" t="n">
        <v>13787288</v>
      </c>
      <c r="H225" s="18" t="n">
        <f aca="false">G225*$B$1/1000000</f>
        <v>30.395767018761</v>
      </c>
    </row>
    <row r="226" customFormat="false" ht="15" hidden="false" customHeight="false" outlineLevel="0" collapsed="false">
      <c r="A226" s="4" t="s">
        <v>205</v>
      </c>
      <c r="B226" s="4" t="s">
        <v>206</v>
      </c>
      <c r="C226" s="4" t="s">
        <v>68</v>
      </c>
      <c r="D226" s="16" t="n">
        <v>45078</v>
      </c>
      <c r="E226" s="4" t="n">
        <v>2023</v>
      </c>
      <c r="F226" s="4" t="n">
        <v>6</v>
      </c>
      <c r="G226" s="17" t="n">
        <v>6937019</v>
      </c>
      <c r="H226" s="18" t="n">
        <f aca="false">G226*$B$1/1000000</f>
        <v>15.2935090156033</v>
      </c>
    </row>
    <row r="227" customFormat="false" ht="15" hidden="false" customHeight="false" outlineLevel="0" collapsed="false">
      <c r="A227" s="4" t="s">
        <v>205</v>
      </c>
      <c r="B227" s="4" t="s">
        <v>206</v>
      </c>
      <c r="C227" s="4" t="s">
        <v>68</v>
      </c>
      <c r="D227" s="16" t="n">
        <v>45108</v>
      </c>
      <c r="E227" s="4" t="n">
        <v>2023</v>
      </c>
      <c r="F227" s="4" t="n">
        <v>7</v>
      </c>
      <c r="G227" s="17" t="n">
        <v>4003395</v>
      </c>
      <c r="H227" s="18" t="n">
        <f aca="false">G227*$B$1/1000000</f>
        <v>8.82597518120118</v>
      </c>
    </row>
    <row r="228" customFormat="false" ht="15" hidden="false" customHeight="false" outlineLevel="0" collapsed="false">
      <c r="A228" s="4" t="s">
        <v>205</v>
      </c>
      <c r="B228" s="4" t="s">
        <v>206</v>
      </c>
      <c r="C228" s="4" t="s">
        <v>68</v>
      </c>
      <c r="D228" s="16" t="n">
        <v>45139</v>
      </c>
      <c r="E228" s="4" t="n">
        <v>2023</v>
      </c>
      <c r="F228" s="4" t="n">
        <v>8</v>
      </c>
      <c r="G228" s="17" t="n">
        <v>5008157</v>
      </c>
      <c r="H228" s="18" t="n">
        <f aca="false">G228*$B$1/1000000</f>
        <v>11.0410962159764</v>
      </c>
    </row>
    <row r="229" customFormat="false" ht="15" hidden="false" customHeight="false" outlineLevel="0" collapsed="false">
      <c r="A229" s="4" t="s">
        <v>205</v>
      </c>
      <c r="B229" s="4" t="s">
        <v>206</v>
      </c>
      <c r="C229" s="4" t="s">
        <v>68</v>
      </c>
      <c r="D229" s="16" t="n">
        <v>45170</v>
      </c>
      <c r="E229" s="4" t="n">
        <v>2023</v>
      </c>
      <c r="F229" s="4" t="n">
        <v>9</v>
      </c>
      <c r="G229" s="17" t="n">
        <v>6621771</v>
      </c>
      <c r="H229" s="18" t="n">
        <f aca="false">G229*$B$1/1000000</f>
        <v>14.5985061433103</v>
      </c>
    </row>
    <row r="230" customFormat="false" ht="15" hidden="false" customHeight="false" outlineLevel="0" collapsed="false">
      <c r="A230" s="4" t="s">
        <v>205</v>
      </c>
      <c r="B230" s="4" t="s">
        <v>206</v>
      </c>
      <c r="C230" s="4" t="s">
        <v>68</v>
      </c>
      <c r="D230" s="16" t="n">
        <v>45200</v>
      </c>
      <c r="E230" s="4" t="n">
        <v>2023</v>
      </c>
      <c r="F230" s="4" t="n">
        <v>10</v>
      </c>
      <c r="G230" s="17" t="n">
        <v>5034167</v>
      </c>
      <c r="H230" s="18" t="n">
        <f aca="false">G230*$B$1/1000000</f>
        <v>11.0984384503708</v>
      </c>
    </row>
    <row r="231" customFormat="false" ht="15" hidden="false" customHeight="false" outlineLevel="0" collapsed="false">
      <c r="A231" s="4" t="s">
        <v>205</v>
      </c>
      <c r="B231" s="4" t="s">
        <v>206</v>
      </c>
      <c r="C231" s="4" t="s">
        <v>68</v>
      </c>
      <c r="D231" s="16" t="n">
        <v>45231</v>
      </c>
      <c r="E231" s="4" t="n">
        <v>2023</v>
      </c>
      <c r="F231" s="4" t="n">
        <v>11</v>
      </c>
      <c r="G231" s="17" t="n">
        <v>12014141</v>
      </c>
      <c r="H231" s="18" t="n">
        <f aca="false">G231*$B$1/1000000</f>
        <v>26.4866470306956</v>
      </c>
    </row>
    <row r="232" customFormat="false" ht="15" hidden="false" customHeight="false" outlineLevel="0" collapsed="false">
      <c r="A232" s="4" t="s">
        <v>205</v>
      </c>
      <c r="B232" s="4" t="s">
        <v>206</v>
      </c>
      <c r="C232" s="4" t="s">
        <v>68</v>
      </c>
      <c r="D232" s="16" t="n">
        <v>45261</v>
      </c>
      <c r="E232" s="4" t="n">
        <v>2023</v>
      </c>
      <c r="F232" s="4" t="n">
        <v>12</v>
      </c>
      <c r="G232" s="17" t="n">
        <v>5074850</v>
      </c>
      <c r="H232" s="18" t="n">
        <f aca="false">G232*$B$1/1000000</f>
        <v>11.1881291124955</v>
      </c>
    </row>
    <row r="233" customFormat="false" ht="15" hidden="false" customHeight="false" outlineLevel="0" collapsed="false">
      <c r="A233" s="4" t="s">
        <v>205</v>
      </c>
      <c r="B233" s="4" t="s">
        <v>206</v>
      </c>
      <c r="C233" s="4" t="s">
        <v>68</v>
      </c>
      <c r="D233" s="16" t="n">
        <v>45292</v>
      </c>
      <c r="E233" s="4" t="n">
        <v>2024</v>
      </c>
      <c r="F233" s="4" t="n">
        <v>1</v>
      </c>
      <c r="G233" s="17" t="n">
        <v>5680424</v>
      </c>
      <c r="H233" s="18" t="n">
        <f aca="false">G233*$B$1/1000000</f>
        <v>12.5231912520997</v>
      </c>
    </row>
    <row r="234" customFormat="false" ht="15" hidden="false" customHeight="false" outlineLevel="0" collapsed="false">
      <c r="A234" s="4" t="s">
        <v>205</v>
      </c>
      <c r="B234" s="4" t="s">
        <v>206</v>
      </c>
      <c r="C234" s="4" t="s">
        <v>68</v>
      </c>
      <c r="D234" s="16" t="n">
        <v>45323</v>
      </c>
      <c r="E234" s="4" t="n">
        <v>2024</v>
      </c>
      <c r="F234" s="4" t="n">
        <v>2</v>
      </c>
      <c r="G234" s="17" t="n">
        <v>5066272</v>
      </c>
      <c r="H234" s="18" t="n">
        <f aca="false">G234*$B$1/1000000</f>
        <v>11.1692178596452</v>
      </c>
    </row>
    <row r="235" customFormat="false" ht="15" hidden="false" customHeight="false" outlineLevel="0" collapsed="false">
      <c r="A235" s="4" t="s">
        <v>205</v>
      </c>
      <c r="B235" s="4" t="s">
        <v>206</v>
      </c>
      <c r="C235" s="4" t="s">
        <v>68</v>
      </c>
      <c r="D235" s="16" t="n">
        <v>45352</v>
      </c>
      <c r="E235" s="4" t="n">
        <v>2024</v>
      </c>
      <c r="F235" s="4" t="n">
        <v>3</v>
      </c>
      <c r="G235" s="17" t="n">
        <v>16311751</v>
      </c>
      <c r="H235" s="18" t="n">
        <f aca="false">G235*$B$1/1000000</f>
        <v>35.9612552565844</v>
      </c>
    </row>
    <row r="236" customFormat="false" ht="15" hidden="false" customHeight="false" outlineLevel="0" collapsed="false">
      <c r="A236" s="4" t="s">
        <v>205</v>
      </c>
      <c r="B236" s="4" t="s">
        <v>206</v>
      </c>
      <c r="C236" s="4" t="s">
        <v>68</v>
      </c>
      <c r="D236" s="16" t="n">
        <v>45474</v>
      </c>
      <c r="E236" s="4" t="n">
        <v>2024</v>
      </c>
      <c r="F236" s="4" t="n">
        <v>7</v>
      </c>
      <c r="G236" s="17" t="n">
        <v>41420</v>
      </c>
      <c r="H236" s="18" t="n">
        <f aca="false">G236*$B$1/1000000</f>
        <v>0.091315468997027</v>
      </c>
    </row>
    <row r="237" customFormat="false" ht="15" hidden="false" customHeight="false" outlineLevel="0" collapsed="false">
      <c r="A237" s="4" t="s">
        <v>205</v>
      </c>
      <c r="B237" s="4" t="s">
        <v>206</v>
      </c>
      <c r="C237" s="4" t="s">
        <v>68</v>
      </c>
      <c r="D237" s="16" t="n">
        <v>45536</v>
      </c>
      <c r="E237" s="4" t="n">
        <v>2024</v>
      </c>
      <c r="F237" s="4" t="n">
        <v>9</v>
      </c>
      <c r="G237" s="17" t="n">
        <v>12469706</v>
      </c>
      <c r="H237" s="18" t="n">
        <f aca="false">G237*$B$1/1000000</f>
        <v>27.4909959354187</v>
      </c>
    </row>
    <row r="238" customFormat="false" ht="15" hidden="false" customHeight="false" outlineLevel="0" collapsed="false">
      <c r="A238" s="4" t="s">
        <v>205</v>
      </c>
      <c r="B238" s="4" t="s">
        <v>206</v>
      </c>
      <c r="C238" s="4" t="s">
        <v>68</v>
      </c>
      <c r="D238" s="16" t="n">
        <v>45597</v>
      </c>
      <c r="E238" s="4" t="n">
        <v>2024</v>
      </c>
      <c r="F238" s="4" t="n">
        <v>11</v>
      </c>
      <c r="G238" s="17" t="n">
        <v>11474634</v>
      </c>
      <c r="H238" s="18" t="n">
        <f aca="false">G238*$B$1/1000000</f>
        <v>25.2972376938492</v>
      </c>
    </row>
    <row r="239" customFormat="false" ht="15" hidden="false" customHeight="false" outlineLevel="0" collapsed="false">
      <c r="A239" s="4" t="s">
        <v>205</v>
      </c>
      <c r="B239" s="4" t="s">
        <v>206</v>
      </c>
      <c r="C239" s="4" t="s">
        <v>68</v>
      </c>
      <c r="D239" s="16" t="n">
        <v>45627</v>
      </c>
      <c r="E239" s="4" t="n">
        <v>2024</v>
      </c>
      <c r="F239" s="4" t="n">
        <v>12</v>
      </c>
      <c r="G239" s="17" t="n">
        <v>6039457</v>
      </c>
      <c r="H239" s="18" t="n">
        <f aca="false">G239*$B$1/1000000</f>
        <v>13.3147235258903</v>
      </c>
    </row>
    <row r="240" customFormat="false" ht="15" hidden="false" customHeight="false" outlineLevel="0" collapsed="false">
      <c r="A240" s="4" t="s">
        <v>205</v>
      </c>
      <c r="B240" s="4" t="s">
        <v>206</v>
      </c>
      <c r="C240" s="4" t="s">
        <v>68</v>
      </c>
      <c r="D240" s="16" t="n">
        <v>45658</v>
      </c>
      <c r="E240" s="4" t="n">
        <v>2025</v>
      </c>
      <c r="F240" s="4" t="n">
        <v>1</v>
      </c>
      <c r="G240" s="17" t="n">
        <v>22979944</v>
      </c>
      <c r="H240" s="18" t="n">
        <f aca="false">G240*$B$1/1000000</f>
        <v>50.6621043912462</v>
      </c>
    </row>
    <row r="241" customFormat="false" ht="15" hidden="false" customHeight="false" outlineLevel="0" collapsed="false">
      <c r="A241" s="4" t="s">
        <v>205</v>
      </c>
      <c r="B241" s="4" t="s">
        <v>206</v>
      </c>
      <c r="C241" s="4" t="s">
        <v>68</v>
      </c>
      <c r="D241" s="16" t="n">
        <v>45689</v>
      </c>
      <c r="E241" s="4" t="n">
        <v>2025</v>
      </c>
      <c r="F241" s="4" t="n">
        <v>2</v>
      </c>
      <c r="G241" s="17" t="n">
        <v>4094901</v>
      </c>
      <c r="H241" s="18" t="n">
        <f aca="false">G241*$B$1/1000000</f>
        <v>9.02771137883619</v>
      </c>
    </row>
    <row r="242" customFormat="false" ht="15" hidden="false" customHeight="false" outlineLevel="0" collapsed="false">
      <c r="A242" s="4" t="s">
        <v>205</v>
      </c>
      <c r="B242" s="4" t="s">
        <v>206</v>
      </c>
      <c r="C242" s="4" t="s">
        <v>68</v>
      </c>
      <c r="D242" s="16" t="n">
        <v>45717</v>
      </c>
      <c r="E242" s="4" t="n">
        <v>2025</v>
      </c>
      <c r="F242" s="4" t="n">
        <v>3</v>
      </c>
      <c r="G242" s="17" t="n">
        <v>15404666</v>
      </c>
      <c r="H242" s="18" t="n">
        <f aca="false">G242*$B$1/1000000</f>
        <v>33.9614751456436</v>
      </c>
    </row>
    <row r="243" customFormat="false" ht="15" hidden="false" customHeight="false" outlineLevel="0" collapsed="false">
      <c r="A243" s="4" t="s">
        <v>205</v>
      </c>
      <c r="B243" s="4" t="s">
        <v>206</v>
      </c>
      <c r="C243" s="4" t="s">
        <v>68</v>
      </c>
      <c r="D243" s="16" t="n">
        <v>45748</v>
      </c>
      <c r="E243" s="4" t="n">
        <v>2025</v>
      </c>
      <c r="F243" s="4" t="n">
        <v>4</v>
      </c>
      <c r="G243" s="17" t="n">
        <v>7424341</v>
      </c>
      <c r="H243" s="18" t="n">
        <f aca="false">G243*$B$1/1000000</f>
        <v>16.3678701209285</v>
      </c>
    </row>
    <row r="244" customFormat="false" ht="15" hidden="false" customHeight="false" outlineLevel="0" collapsed="false">
      <c r="A244" s="4" t="s">
        <v>205</v>
      </c>
      <c r="B244" s="4" t="s">
        <v>206</v>
      </c>
      <c r="C244" s="4" t="s">
        <v>68</v>
      </c>
      <c r="D244" s="16" t="n">
        <v>45778</v>
      </c>
      <c r="E244" s="4" t="n">
        <v>2025</v>
      </c>
      <c r="F244" s="4" t="n">
        <v>5</v>
      </c>
      <c r="G244" s="17" t="n">
        <v>3638988</v>
      </c>
      <c r="H244" s="18" t="n">
        <f aca="false">G244*$B$1/1000000</f>
        <v>8.02259526544069</v>
      </c>
    </row>
    <row r="245" customFormat="false" ht="15" hidden="false" customHeight="false" outlineLevel="0" collapsed="false">
      <c r="A245" s="4" t="s">
        <v>205</v>
      </c>
      <c r="B245" s="4" t="s">
        <v>206</v>
      </c>
      <c r="C245" s="4" t="s">
        <v>68</v>
      </c>
      <c r="D245" s="16" t="n">
        <v>45809</v>
      </c>
      <c r="E245" s="4" t="n">
        <v>2025</v>
      </c>
      <c r="F245" s="4" t="n">
        <v>6</v>
      </c>
      <c r="G245" s="17" t="n">
        <v>5170112</v>
      </c>
      <c r="H245" s="18" t="n">
        <f aca="false">G245*$B$1/1000000</f>
        <v>11.3981458726981</v>
      </c>
    </row>
    <row r="246" customFormat="false" ht="15" hidden="false" customHeight="false" outlineLevel="0" collapsed="false">
      <c r="A246" s="4" t="s">
        <v>205</v>
      </c>
      <c r="B246" s="4" t="s">
        <v>206</v>
      </c>
      <c r="C246" s="4" t="s">
        <v>68</v>
      </c>
      <c r="D246" s="16" t="n">
        <v>45839</v>
      </c>
      <c r="E246" s="4" t="n">
        <v>2025</v>
      </c>
      <c r="F246" s="4" t="n">
        <v>7</v>
      </c>
      <c r="G246" s="17" t="n">
        <v>7922566</v>
      </c>
      <c r="H246" s="18" t="n">
        <f aca="false">G246*$B$1/1000000</f>
        <v>17.4662682266997</v>
      </c>
    </row>
    <row r="247" customFormat="false" ht="15" hidden="false" customHeight="false" outlineLevel="0" collapsed="false">
      <c r="A247" s="4" t="s">
        <v>205</v>
      </c>
      <c r="B247" s="4" t="s">
        <v>206</v>
      </c>
      <c r="C247" s="4" t="s">
        <v>68</v>
      </c>
      <c r="D247" s="16" t="n">
        <v>45931</v>
      </c>
      <c r="E247" s="4" t="n">
        <v>2025</v>
      </c>
      <c r="F247" s="4" t="n">
        <v>10</v>
      </c>
      <c r="G247" s="17" t="n">
        <v>24803294</v>
      </c>
      <c r="H247" s="18" t="n">
        <f aca="false">G247*$B$1/1000000</f>
        <v>54.6819030487964</v>
      </c>
    </row>
    <row r="248" customFormat="false" ht="15" hidden="false" customHeight="false" outlineLevel="0" collapsed="false">
      <c r="A248" s="4" t="s">
        <v>205</v>
      </c>
      <c r="B248" s="4" t="s">
        <v>206</v>
      </c>
      <c r="C248" s="4" t="s">
        <v>68</v>
      </c>
      <c r="D248" s="16" t="n">
        <v>45962</v>
      </c>
      <c r="E248" s="4" t="n">
        <v>2025</v>
      </c>
      <c r="F248" s="4" t="n">
        <v>11</v>
      </c>
      <c r="G248" s="17" t="n">
        <v>14584995</v>
      </c>
      <c r="H248" s="18" t="n">
        <f aca="false">G248*$B$1/1000000</f>
        <v>32.1544099165691</v>
      </c>
    </row>
    <row r="249" customFormat="false" ht="15" hidden="false" customHeight="false" outlineLevel="0" collapsed="false">
      <c r="A249" s="4" t="s">
        <v>205</v>
      </c>
      <c r="B249" s="4" t="s">
        <v>206</v>
      </c>
      <c r="C249" s="4" t="s">
        <v>68</v>
      </c>
      <c r="D249" s="16" t="n">
        <v>46023</v>
      </c>
      <c r="E249" s="4" t="n">
        <v>2026</v>
      </c>
      <c r="F249" s="4" t="n">
        <v>1</v>
      </c>
      <c r="G249" s="17" t="n">
        <v>14267059</v>
      </c>
      <c r="H249" s="18" t="n">
        <f aca="false">G249*$B$1/1000000</f>
        <v>31.4534810186686</v>
      </c>
    </row>
    <row r="250" customFormat="false" ht="15" hidden="false" customHeight="false" outlineLevel="0" collapsed="false">
      <c r="A250" s="4" t="s">
        <v>205</v>
      </c>
      <c r="B250" s="4" t="s">
        <v>206</v>
      </c>
      <c r="C250" s="4" t="s">
        <v>68</v>
      </c>
      <c r="D250" s="16" t="n">
        <v>46082</v>
      </c>
      <c r="E250" s="4" t="n">
        <v>2026</v>
      </c>
      <c r="F250" s="4" t="n">
        <v>3</v>
      </c>
      <c r="G250" s="17" t="n">
        <v>8172208</v>
      </c>
      <c r="H250" s="18" t="n">
        <f aca="false">G250*$B$1/1000000</f>
        <v>18.0166346272635</v>
      </c>
    </row>
    <row r="251" customFormat="false" ht="15" hidden="false" customHeight="false" outlineLevel="0" collapsed="false">
      <c r="A251" s="4" t="s">
        <v>205</v>
      </c>
      <c r="B251" s="4" t="s">
        <v>206</v>
      </c>
      <c r="C251" s="4" t="s">
        <v>68</v>
      </c>
      <c r="D251" s="16" t="n">
        <v>46113</v>
      </c>
      <c r="E251" s="4" t="n">
        <v>2026</v>
      </c>
      <c r="F251" s="4" t="n">
        <v>4</v>
      </c>
      <c r="G251" s="17" t="n">
        <v>7868176</v>
      </c>
      <c r="H251" s="18" t="n">
        <f aca="false">G251*$B$1/1000000</f>
        <v>17.3463588022972</v>
      </c>
    </row>
    <row r="252" customFormat="false" ht="15" hidden="false" customHeight="false" outlineLevel="0" collapsed="false">
      <c r="A252" s="4" t="s">
        <v>205</v>
      </c>
      <c r="B252" s="4" t="s">
        <v>206</v>
      </c>
      <c r="C252" s="4" t="s">
        <v>68</v>
      </c>
      <c r="D252" s="16" t="n">
        <v>46143</v>
      </c>
      <c r="E252" s="4" t="n">
        <v>2026</v>
      </c>
      <c r="F252" s="4" t="n">
        <v>5</v>
      </c>
      <c r="G252" s="17" t="n">
        <v>3917661</v>
      </c>
      <c r="H252" s="18" t="n">
        <f aca="false">G252*$B$1/1000000</f>
        <v>8.63696406533949</v>
      </c>
    </row>
    <row r="253" customFormat="false" ht="15" hidden="false" customHeight="false" outlineLevel="0" collapsed="false">
      <c r="A253" s="4" t="s">
        <v>205</v>
      </c>
      <c r="B253" s="4" t="s">
        <v>206</v>
      </c>
      <c r="C253" s="4" t="s">
        <v>68</v>
      </c>
      <c r="D253" s="16" t="n">
        <v>46174</v>
      </c>
      <c r="E253" s="4" t="n">
        <v>2026</v>
      </c>
      <c r="F253" s="4" t="n">
        <v>6</v>
      </c>
      <c r="G253" s="17" t="n">
        <v>4805093</v>
      </c>
      <c r="H253" s="18" t="n">
        <f aca="false">G253*$B$1/1000000</f>
        <v>10.5934167278931</v>
      </c>
    </row>
    <row r="254" customFormat="false" ht="15" hidden="false" customHeight="false" outlineLevel="0" collapsed="false">
      <c r="A254" s="4" t="s">
        <v>205</v>
      </c>
      <c r="B254" s="4" t="s">
        <v>206</v>
      </c>
      <c r="C254" s="4" t="s">
        <v>68</v>
      </c>
      <c r="D254" s="16" t="n">
        <v>46235</v>
      </c>
      <c r="E254" s="4" t="n">
        <v>2026</v>
      </c>
      <c r="F254" s="4" t="n">
        <v>8</v>
      </c>
      <c r="G254" s="17" t="n">
        <v>949686</v>
      </c>
      <c r="H254" s="18" t="n">
        <f aca="false">G254*$B$1/1000000</f>
        <v>2.09369923925424</v>
      </c>
    </row>
    <row r="255" customFormat="false" ht="15" hidden="false" customHeight="false" outlineLevel="0" collapsed="false">
      <c r="A255" s="4" t="s">
        <v>205</v>
      </c>
      <c r="B255" s="4" t="s">
        <v>206</v>
      </c>
      <c r="C255" s="4" t="s">
        <v>109</v>
      </c>
      <c r="D255" s="16" t="n">
        <v>43831</v>
      </c>
      <c r="E255" s="4" t="n">
        <v>2020</v>
      </c>
      <c r="F255" s="4" t="n">
        <v>1</v>
      </c>
      <c r="G255" s="17" t="n">
        <v>8882962</v>
      </c>
      <c r="H255" s="18" t="n">
        <f aca="false">G255*$B$1/1000000</f>
        <v>19.5835789742339</v>
      </c>
    </row>
    <row r="256" customFormat="false" ht="15" hidden="false" customHeight="false" outlineLevel="0" collapsed="false">
      <c r="A256" s="4" t="s">
        <v>205</v>
      </c>
      <c r="B256" s="4" t="s">
        <v>206</v>
      </c>
      <c r="C256" s="4" t="s">
        <v>109</v>
      </c>
      <c r="D256" s="16" t="n">
        <v>44075</v>
      </c>
      <c r="E256" s="4" t="n">
        <v>2020</v>
      </c>
      <c r="F256" s="4" t="n">
        <v>9</v>
      </c>
      <c r="G256" s="17" t="n">
        <v>19014083</v>
      </c>
      <c r="H256" s="18" t="n">
        <f aca="false">G256*$B$1/1000000</f>
        <v>41.9188775155335</v>
      </c>
    </row>
    <row r="257" customFormat="false" ht="15" hidden="false" customHeight="false" outlineLevel="0" collapsed="false">
      <c r="A257" s="4" t="s">
        <v>205</v>
      </c>
      <c r="B257" s="4" t="s">
        <v>206</v>
      </c>
      <c r="C257" s="4" t="s">
        <v>109</v>
      </c>
      <c r="D257" s="16" t="n">
        <v>44287</v>
      </c>
      <c r="E257" s="4" t="n">
        <v>2021</v>
      </c>
      <c r="F257" s="4" t="n">
        <v>4</v>
      </c>
      <c r="G257" s="17" t="n">
        <v>5000445</v>
      </c>
      <c r="H257" s="18" t="n">
        <f aca="false">G257*$B$1/1000000</f>
        <v>11.0240941663167</v>
      </c>
    </row>
    <row r="258" customFormat="false" ht="15" hidden="false" customHeight="false" outlineLevel="0" collapsed="false">
      <c r="A258" s="4" t="s">
        <v>205</v>
      </c>
      <c r="B258" s="4" t="s">
        <v>206</v>
      </c>
      <c r="C258" s="4" t="s">
        <v>109</v>
      </c>
      <c r="D258" s="16" t="n">
        <v>44317</v>
      </c>
      <c r="E258" s="4" t="n">
        <v>2021</v>
      </c>
      <c r="F258" s="4" t="n">
        <v>5</v>
      </c>
      <c r="G258" s="17" t="n">
        <v>10018511</v>
      </c>
      <c r="H258" s="18" t="n">
        <f aca="false">G258*$B$1/1000000</f>
        <v>22.0870359878531</v>
      </c>
    </row>
    <row r="259" customFormat="false" ht="15" hidden="false" customHeight="false" outlineLevel="0" collapsed="false">
      <c r="A259" s="4" t="s">
        <v>205</v>
      </c>
      <c r="B259" s="4" t="s">
        <v>206</v>
      </c>
      <c r="C259" s="4" t="s">
        <v>109</v>
      </c>
      <c r="D259" s="16" t="n">
        <v>44348</v>
      </c>
      <c r="E259" s="4" t="n">
        <v>2021</v>
      </c>
      <c r="F259" s="4" t="n">
        <v>6</v>
      </c>
      <c r="G259" s="17" t="n">
        <v>7557665</v>
      </c>
      <c r="H259" s="18" t="n">
        <f aca="false">G259*$B$1/1000000</f>
        <v>16.661799227364</v>
      </c>
    </row>
    <row r="260" customFormat="false" ht="15" hidden="false" customHeight="false" outlineLevel="0" collapsed="false">
      <c r="A260" s="4" t="s">
        <v>205</v>
      </c>
      <c r="B260" s="4" t="s">
        <v>206</v>
      </c>
      <c r="C260" s="4" t="s">
        <v>109</v>
      </c>
      <c r="D260" s="16" t="n">
        <v>44409</v>
      </c>
      <c r="E260" s="4" t="n">
        <v>2021</v>
      </c>
      <c r="F260" s="4" t="n">
        <v>8</v>
      </c>
      <c r="G260" s="17" t="n">
        <v>6483822</v>
      </c>
      <c r="H260" s="18" t="n">
        <f aca="false">G260*$B$1/1000000</f>
        <v>14.2943806572487</v>
      </c>
    </row>
    <row r="261" customFormat="false" ht="15" hidden="false" customHeight="false" outlineLevel="0" collapsed="false">
      <c r="A261" s="4" t="s">
        <v>205</v>
      </c>
      <c r="B261" s="4" t="s">
        <v>206</v>
      </c>
      <c r="C261" s="4" t="s">
        <v>109</v>
      </c>
      <c r="D261" s="16" t="n">
        <v>44440</v>
      </c>
      <c r="E261" s="4" t="n">
        <v>2021</v>
      </c>
      <c r="F261" s="4" t="n">
        <v>9</v>
      </c>
      <c r="G261" s="17" t="n">
        <v>21835947</v>
      </c>
      <c r="H261" s="18" t="n">
        <f aca="false">G261*$B$1/1000000</f>
        <v>48.1400227257176</v>
      </c>
    </row>
    <row r="262" customFormat="false" ht="15" hidden="false" customHeight="false" outlineLevel="0" collapsed="false">
      <c r="A262" s="4" t="s">
        <v>205</v>
      </c>
      <c r="B262" s="4" t="s">
        <v>206</v>
      </c>
      <c r="C262" s="4" t="s">
        <v>109</v>
      </c>
      <c r="D262" s="16" t="n">
        <v>44470</v>
      </c>
      <c r="E262" s="4" t="n">
        <v>2021</v>
      </c>
      <c r="F262" s="4" t="n">
        <v>10</v>
      </c>
      <c r="G262" s="17" t="n">
        <v>8505086</v>
      </c>
      <c r="H262" s="18" t="n">
        <f aca="false">G262*$B$1/1000000</f>
        <v>18.7505049963797</v>
      </c>
    </row>
    <row r="263" customFormat="false" ht="15" hidden="false" customHeight="false" outlineLevel="0" collapsed="false">
      <c r="A263" s="4" t="s">
        <v>205</v>
      </c>
      <c r="B263" s="4" t="s">
        <v>206</v>
      </c>
      <c r="C263" s="4" t="s">
        <v>109</v>
      </c>
      <c r="D263" s="16" t="n">
        <v>44501</v>
      </c>
      <c r="E263" s="4" t="n">
        <v>2021</v>
      </c>
      <c r="F263" s="4" t="n">
        <v>11</v>
      </c>
      <c r="G263" s="17" t="n">
        <v>9220423</v>
      </c>
      <c r="H263" s="18" t="n">
        <f aca="false">G263*$B$1/1000000</f>
        <v>20.327553128826</v>
      </c>
    </row>
    <row r="264" customFormat="false" ht="15" hidden="false" customHeight="false" outlineLevel="0" collapsed="false">
      <c r="A264" s="4" t="s">
        <v>205</v>
      </c>
      <c r="B264" s="4" t="s">
        <v>206</v>
      </c>
      <c r="C264" s="4" t="s">
        <v>109</v>
      </c>
      <c r="D264" s="16" t="n">
        <v>44531</v>
      </c>
      <c r="E264" s="4" t="n">
        <v>2021</v>
      </c>
      <c r="F264" s="4" t="n">
        <v>12</v>
      </c>
      <c r="G264" s="17" t="n">
        <v>9186590</v>
      </c>
      <c r="H264" s="18" t="n">
        <f aca="false">G264*$B$1/1000000</f>
        <v>20.252964131661</v>
      </c>
    </row>
    <row r="265" customFormat="false" ht="15" hidden="false" customHeight="false" outlineLevel="0" collapsed="false">
      <c r="A265" s="4" t="s">
        <v>205</v>
      </c>
      <c r="B265" s="4" t="s">
        <v>206</v>
      </c>
      <c r="C265" s="4" t="s">
        <v>109</v>
      </c>
      <c r="D265" s="16" t="n">
        <v>44562</v>
      </c>
      <c r="E265" s="4" t="n">
        <v>2022</v>
      </c>
      <c r="F265" s="4" t="n">
        <v>1</v>
      </c>
      <c r="G265" s="17" t="n">
        <v>11303814</v>
      </c>
      <c r="H265" s="18" t="n">
        <f aca="false">G265*$B$1/1000000</f>
        <v>24.9206440575847</v>
      </c>
    </row>
    <row r="266" customFormat="false" ht="15" hidden="false" customHeight="false" outlineLevel="0" collapsed="false">
      <c r="A266" s="4" t="s">
        <v>205</v>
      </c>
      <c r="B266" s="4" t="s">
        <v>206</v>
      </c>
      <c r="C266" s="4" t="s">
        <v>109</v>
      </c>
      <c r="D266" s="16" t="n">
        <v>44652</v>
      </c>
      <c r="E266" s="4" t="n">
        <v>2022</v>
      </c>
      <c r="F266" s="4" t="n">
        <v>4</v>
      </c>
      <c r="G266" s="17" t="n">
        <v>21680427</v>
      </c>
      <c r="H266" s="18" t="n">
        <f aca="false">G266*$B$1/1000000</f>
        <v>47.7971598155675</v>
      </c>
    </row>
    <row r="267" customFormat="false" ht="15" hidden="false" customHeight="false" outlineLevel="0" collapsed="false">
      <c r="A267" s="4" t="s">
        <v>205</v>
      </c>
      <c r="B267" s="4" t="s">
        <v>206</v>
      </c>
      <c r="C267" s="4" t="s">
        <v>109</v>
      </c>
      <c r="D267" s="16" t="n">
        <v>44682</v>
      </c>
      <c r="E267" s="4" t="n">
        <v>2022</v>
      </c>
      <c r="F267" s="4" t="n">
        <v>5</v>
      </c>
      <c r="G267" s="17" t="n">
        <v>7809479</v>
      </c>
      <c r="H267" s="18" t="n">
        <f aca="false">G267*$B$1/1000000</f>
        <v>17.2169540682625</v>
      </c>
    </row>
    <row r="268" customFormat="false" ht="15" hidden="false" customHeight="false" outlineLevel="0" collapsed="false">
      <c r="A268" s="4" t="s">
        <v>205</v>
      </c>
      <c r="B268" s="4" t="s">
        <v>206</v>
      </c>
      <c r="C268" s="4" t="s">
        <v>109</v>
      </c>
      <c r="D268" s="16" t="n">
        <v>44713</v>
      </c>
      <c r="E268" s="4" t="n">
        <v>2022</v>
      </c>
      <c r="F268" s="4" t="n">
        <v>6</v>
      </c>
      <c r="G268" s="17" t="n">
        <v>20755992</v>
      </c>
      <c r="H268" s="18" t="n">
        <f aca="false">G268*$B$1/1000000</f>
        <v>45.7591295021376</v>
      </c>
    </row>
    <row r="269" customFormat="false" ht="15" hidden="false" customHeight="false" outlineLevel="0" collapsed="false">
      <c r="A269" s="4" t="s">
        <v>205</v>
      </c>
      <c r="B269" s="4" t="s">
        <v>206</v>
      </c>
      <c r="C269" s="4" t="s">
        <v>109</v>
      </c>
      <c r="D269" s="16" t="n">
        <v>44743</v>
      </c>
      <c r="E269" s="4" t="n">
        <v>2022</v>
      </c>
      <c r="F269" s="4" t="n">
        <v>7</v>
      </c>
      <c r="G269" s="17" t="n">
        <v>14444240</v>
      </c>
      <c r="H269" s="18" t="n">
        <f aca="false">G269*$B$1/1000000</f>
        <v>31.8440982594306</v>
      </c>
    </row>
    <row r="270" customFormat="false" ht="15" hidden="false" customHeight="false" outlineLevel="0" collapsed="false">
      <c r="A270" s="4" t="s">
        <v>205</v>
      </c>
      <c r="B270" s="4" t="s">
        <v>206</v>
      </c>
      <c r="C270" s="4" t="s">
        <v>109</v>
      </c>
      <c r="D270" s="16" t="n">
        <v>44774</v>
      </c>
      <c r="E270" s="4" t="n">
        <v>2022</v>
      </c>
      <c r="F270" s="4" t="n">
        <v>8</v>
      </c>
      <c r="G270" s="17" t="n">
        <v>6673293</v>
      </c>
      <c r="H270" s="18" t="n">
        <f aca="false">G270*$B$1/1000000</f>
        <v>14.7120927100333</v>
      </c>
    </row>
    <row r="271" customFormat="false" ht="15" hidden="false" customHeight="false" outlineLevel="0" collapsed="false">
      <c r="A271" s="4" t="s">
        <v>205</v>
      </c>
      <c r="B271" s="4" t="s">
        <v>206</v>
      </c>
      <c r="C271" s="4" t="s">
        <v>109</v>
      </c>
      <c r="D271" s="16" t="n">
        <v>44805</v>
      </c>
      <c r="E271" s="4" t="n">
        <v>2022</v>
      </c>
      <c r="F271" s="4" t="n">
        <v>9</v>
      </c>
      <c r="G271" s="17" t="n">
        <v>9106379</v>
      </c>
      <c r="H271" s="18" t="n">
        <f aca="false">G271*$B$1/1000000</f>
        <v>20.0761291465398</v>
      </c>
    </row>
    <row r="272" customFormat="false" ht="15" hidden="false" customHeight="false" outlineLevel="0" collapsed="false">
      <c r="A272" s="4" t="s">
        <v>205</v>
      </c>
      <c r="B272" s="4" t="s">
        <v>206</v>
      </c>
      <c r="C272" s="4" t="s">
        <v>109</v>
      </c>
      <c r="D272" s="16" t="n">
        <v>44835</v>
      </c>
      <c r="E272" s="4" t="n">
        <v>2022</v>
      </c>
      <c r="F272" s="4" t="n">
        <v>10</v>
      </c>
      <c r="G272" s="17" t="n">
        <v>24973050</v>
      </c>
      <c r="H272" s="18" t="n">
        <f aca="false">G272*$B$1/1000000</f>
        <v>55.0561509665911</v>
      </c>
    </row>
    <row r="273" customFormat="false" ht="15" hidden="false" customHeight="false" outlineLevel="0" collapsed="false">
      <c r="A273" s="4" t="s">
        <v>205</v>
      </c>
      <c r="B273" s="4" t="s">
        <v>206</v>
      </c>
      <c r="C273" s="4" t="s">
        <v>109</v>
      </c>
      <c r="D273" s="16" t="n">
        <v>44866</v>
      </c>
      <c r="E273" s="4" t="n">
        <v>2022</v>
      </c>
      <c r="F273" s="4" t="n">
        <v>11</v>
      </c>
      <c r="G273" s="17" t="n">
        <v>1162545</v>
      </c>
      <c r="H273" s="18" t="n">
        <f aca="false">G273*$B$1/1000000</f>
        <v>2.56297300591861</v>
      </c>
    </row>
    <row r="274" customFormat="false" ht="15" hidden="false" customHeight="false" outlineLevel="0" collapsed="false">
      <c r="A274" s="4" t="s">
        <v>205</v>
      </c>
      <c r="B274" s="4" t="s">
        <v>206</v>
      </c>
      <c r="C274" s="4" t="s">
        <v>109</v>
      </c>
      <c r="D274" s="16" t="n">
        <v>44896</v>
      </c>
      <c r="E274" s="4" t="n">
        <v>2022</v>
      </c>
      <c r="F274" s="4" t="n">
        <v>12</v>
      </c>
      <c r="G274" s="17" t="n">
        <v>17947975</v>
      </c>
      <c r="H274" s="18" t="n">
        <f aca="false">G274*$B$1/1000000</f>
        <v>39.5685117013983</v>
      </c>
    </row>
    <row r="275" customFormat="false" ht="15" hidden="false" customHeight="false" outlineLevel="0" collapsed="false">
      <c r="A275" s="4" t="s">
        <v>205</v>
      </c>
      <c r="B275" s="4" t="s">
        <v>206</v>
      </c>
      <c r="C275" s="4" t="s">
        <v>109</v>
      </c>
      <c r="D275" s="16" t="n">
        <v>44927</v>
      </c>
      <c r="E275" s="4" t="n">
        <v>2023</v>
      </c>
      <c r="F275" s="4" t="n">
        <v>1</v>
      </c>
      <c r="G275" s="17" t="n">
        <v>12256660</v>
      </c>
      <c r="H275" s="18" t="n">
        <f aca="false">G275*$B$1/1000000</f>
        <v>27.021309904324</v>
      </c>
    </row>
    <row r="276" customFormat="false" ht="15" hidden="false" customHeight="false" outlineLevel="0" collapsed="false">
      <c r="A276" s="4" t="s">
        <v>205</v>
      </c>
      <c r="B276" s="4" t="s">
        <v>206</v>
      </c>
      <c r="C276" s="4" t="s">
        <v>109</v>
      </c>
      <c r="D276" s="16" t="n">
        <v>44958</v>
      </c>
      <c r="E276" s="4" t="n">
        <v>2023</v>
      </c>
      <c r="F276" s="4" t="n">
        <v>2</v>
      </c>
      <c r="G276" s="17" t="n">
        <v>6608425</v>
      </c>
      <c r="H276" s="18" t="n">
        <f aca="false">G276*$B$1/1000000</f>
        <v>14.5690832497991</v>
      </c>
    </row>
    <row r="277" customFormat="false" ht="15" hidden="false" customHeight="false" outlineLevel="0" collapsed="false">
      <c r="A277" s="4" t="s">
        <v>205</v>
      </c>
      <c r="B277" s="4" t="s">
        <v>206</v>
      </c>
      <c r="C277" s="4" t="s">
        <v>109</v>
      </c>
      <c r="D277" s="16" t="n">
        <v>44986</v>
      </c>
      <c r="E277" s="4" t="n">
        <v>2023</v>
      </c>
      <c r="F277" s="4" t="n">
        <v>3</v>
      </c>
      <c r="G277" s="17" t="n">
        <v>6855134</v>
      </c>
      <c r="H277" s="18" t="n">
        <f aca="false">G277*$B$1/1000000</f>
        <v>15.1129834922131</v>
      </c>
    </row>
    <row r="278" customFormat="false" ht="15" hidden="false" customHeight="false" outlineLevel="0" collapsed="false">
      <c r="A278" s="4" t="s">
        <v>205</v>
      </c>
      <c r="B278" s="4" t="s">
        <v>206</v>
      </c>
      <c r="C278" s="4" t="s">
        <v>109</v>
      </c>
      <c r="D278" s="16" t="n">
        <v>45017</v>
      </c>
      <c r="E278" s="4" t="n">
        <v>2023</v>
      </c>
      <c r="F278" s="4" t="n">
        <v>4</v>
      </c>
      <c r="G278" s="17" t="n">
        <v>4752661</v>
      </c>
      <c r="H278" s="18" t="n">
        <f aca="false">G278*$B$1/1000000</f>
        <v>10.4778239545842</v>
      </c>
    </row>
    <row r="279" customFormat="false" ht="15" hidden="false" customHeight="false" outlineLevel="0" collapsed="false">
      <c r="A279" s="4" t="s">
        <v>205</v>
      </c>
      <c r="B279" s="4" t="s">
        <v>206</v>
      </c>
      <c r="C279" s="4" t="s">
        <v>109</v>
      </c>
      <c r="D279" s="16" t="n">
        <v>45047</v>
      </c>
      <c r="E279" s="4" t="n">
        <v>2023</v>
      </c>
      <c r="F279" s="4" t="n">
        <v>5</v>
      </c>
      <c r="G279" s="17" t="n">
        <v>19524663</v>
      </c>
      <c r="H279" s="18" t="n">
        <f aca="false">G279*$B$1/1000000</f>
        <v>43.0445137337977</v>
      </c>
    </row>
    <row r="280" customFormat="false" ht="15" hidden="false" customHeight="false" outlineLevel="0" collapsed="false">
      <c r="A280" s="4" t="s">
        <v>205</v>
      </c>
      <c r="B280" s="4" t="s">
        <v>206</v>
      </c>
      <c r="C280" s="4" t="s">
        <v>109</v>
      </c>
      <c r="D280" s="16" t="n">
        <v>45078</v>
      </c>
      <c r="E280" s="4" t="n">
        <v>2023</v>
      </c>
      <c r="F280" s="4" t="n">
        <v>6</v>
      </c>
      <c r="G280" s="17" t="n">
        <v>6778078</v>
      </c>
      <c r="H280" s="18" t="n">
        <f aca="false">G280*$B$1/1000000</f>
        <v>14.9431040914638</v>
      </c>
    </row>
    <row r="281" customFormat="false" ht="15" hidden="false" customHeight="false" outlineLevel="0" collapsed="false">
      <c r="A281" s="4" t="s">
        <v>205</v>
      </c>
      <c r="B281" s="4" t="s">
        <v>206</v>
      </c>
      <c r="C281" s="4" t="s">
        <v>109</v>
      </c>
      <c r="D281" s="16" t="n">
        <v>45108</v>
      </c>
      <c r="E281" s="4" t="n">
        <v>2023</v>
      </c>
      <c r="F281" s="4" t="n">
        <v>7</v>
      </c>
      <c r="G281" s="17" t="n">
        <v>31367069</v>
      </c>
      <c r="H281" s="18" t="n">
        <f aca="false">G281*$B$1/1000000</f>
        <v>69.1525498985299</v>
      </c>
    </row>
    <row r="282" customFormat="false" ht="15" hidden="false" customHeight="false" outlineLevel="0" collapsed="false">
      <c r="A282" s="4" t="s">
        <v>205</v>
      </c>
      <c r="B282" s="4" t="s">
        <v>206</v>
      </c>
      <c r="C282" s="4" t="s">
        <v>109</v>
      </c>
      <c r="D282" s="16" t="n">
        <v>45170</v>
      </c>
      <c r="E282" s="4" t="n">
        <v>2023</v>
      </c>
      <c r="F282" s="4" t="n">
        <v>9</v>
      </c>
      <c r="G282" s="17" t="n">
        <v>12640763</v>
      </c>
      <c r="H282" s="18" t="n">
        <f aca="false">G282*$B$1/1000000</f>
        <v>27.8681120672445</v>
      </c>
    </row>
    <row r="283" customFormat="false" ht="15" hidden="false" customHeight="false" outlineLevel="0" collapsed="false">
      <c r="A283" s="4" t="s">
        <v>205</v>
      </c>
      <c r="B283" s="4" t="s">
        <v>206</v>
      </c>
      <c r="C283" s="4" t="s">
        <v>109</v>
      </c>
      <c r="D283" s="16" t="n">
        <v>45200</v>
      </c>
      <c r="E283" s="4" t="n">
        <v>2023</v>
      </c>
      <c r="F283" s="4" t="n">
        <v>10</v>
      </c>
      <c r="G283" s="17" t="n">
        <v>8152665</v>
      </c>
      <c r="H283" s="18" t="n">
        <f aca="false">G283*$B$1/1000000</f>
        <v>17.9735496873647</v>
      </c>
    </row>
    <row r="284" customFormat="false" ht="15" hidden="false" customHeight="false" outlineLevel="0" collapsed="false">
      <c r="A284" s="4" t="s">
        <v>205</v>
      </c>
      <c r="B284" s="4" t="s">
        <v>206</v>
      </c>
      <c r="C284" s="4" t="s">
        <v>109</v>
      </c>
      <c r="D284" s="16" t="n">
        <v>45231</v>
      </c>
      <c r="E284" s="4" t="n">
        <v>2023</v>
      </c>
      <c r="F284" s="4" t="n">
        <v>11</v>
      </c>
      <c r="G284" s="17" t="n">
        <v>58793179</v>
      </c>
      <c r="H284" s="18" t="n">
        <f aca="false">G284*$B$1/1000000</f>
        <v>129.616772433876</v>
      </c>
    </row>
    <row r="285" customFormat="false" ht="15" hidden="false" customHeight="false" outlineLevel="0" collapsed="false">
      <c r="A285" s="4" t="s">
        <v>205</v>
      </c>
      <c r="B285" s="4" t="s">
        <v>206</v>
      </c>
      <c r="C285" s="4" t="s">
        <v>109</v>
      </c>
      <c r="D285" s="16" t="n">
        <v>45261</v>
      </c>
      <c r="E285" s="4" t="n">
        <v>2023</v>
      </c>
      <c r="F285" s="4" t="n">
        <v>12</v>
      </c>
      <c r="G285" s="17" t="n">
        <v>35925643</v>
      </c>
      <c r="H285" s="18" t="n">
        <f aca="false">G285*$B$1/1000000</f>
        <v>79.2024852623071</v>
      </c>
    </row>
    <row r="286" customFormat="false" ht="15" hidden="false" customHeight="false" outlineLevel="0" collapsed="false">
      <c r="A286" s="4" t="s">
        <v>205</v>
      </c>
      <c r="B286" s="4" t="s">
        <v>206</v>
      </c>
      <c r="C286" s="4" t="s">
        <v>109</v>
      </c>
      <c r="D286" s="16" t="n">
        <v>45292</v>
      </c>
      <c r="E286" s="4" t="n">
        <v>2024</v>
      </c>
      <c r="F286" s="4" t="n">
        <v>1</v>
      </c>
      <c r="G286" s="17" t="n">
        <v>10144953</v>
      </c>
      <c r="H286" s="18" t="n">
        <f aca="false">G286*$B$1/1000000</f>
        <v>22.365792881405</v>
      </c>
    </row>
    <row r="287" customFormat="false" ht="15" hidden="false" customHeight="false" outlineLevel="0" collapsed="false">
      <c r="A287" s="4" t="s">
        <v>205</v>
      </c>
      <c r="B287" s="4" t="s">
        <v>206</v>
      </c>
      <c r="C287" s="4" t="s">
        <v>109</v>
      </c>
      <c r="D287" s="16" t="n">
        <v>45323</v>
      </c>
      <c r="E287" s="4" t="n">
        <v>2024</v>
      </c>
      <c r="F287" s="4" t="n">
        <v>2</v>
      </c>
      <c r="G287" s="17" t="n">
        <v>9050614</v>
      </c>
      <c r="H287" s="18" t="n">
        <f aca="false">G287*$B$1/1000000</f>
        <v>19.9531883660323</v>
      </c>
    </row>
    <row r="288" customFormat="false" ht="15" hidden="false" customHeight="false" outlineLevel="0" collapsed="false">
      <c r="A288" s="4" t="s">
        <v>205</v>
      </c>
      <c r="B288" s="4" t="s">
        <v>206</v>
      </c>
      <c r="C288" s="4" t="s">
        <v>109</v>
      </c>
      <c r="D288" s="16" t="n">
        <v>45383</v>
      </c>
      <c r="E288" s="4" t="n">
        <v>2024</v>
      </c>
      <c r="F288" s="4" t="n">
        <v>4</v>
      </c>
      <c r="G288" s="17" t="n">
        <v>12557378</v>
      </c>
      <c r="H288" s="18" t="n">
        <f aca="false">G288*$B$1/1000000</f>
        <v>27.6842796099215</v>
      </c>
    </row>
    <row r="289" customFormat="false" ht="15" hidden="false" customHeight="false" outlineLevel="0" collapsed="false">
      <c r="A289" s="4" t="s">
        <v>205</v>
      </c>
      <c r="B289" s="4" t="s">
        <v>206</v>
      </c>
      <c r="C289" s="4" t="s">
        <v>109</v>
      </c>
      <c r="D289" s="16" t="n">
        <v>45413</v>
      </c>
      <c r="E289" s="4" t="n">
        <v>2024</v>
      </c>
      <c r="F289" s="4" t="n">
        <v>5</v>
      </c>
      <c r="G289" s="17" t="n">
        <v>33053516</v>
      </c>
      <c r="H289" s="18" t="n">
        <f aca="false">G289*$B$1/1000000</f>
        <v>72.8705291052809</v>
      </c>
    </row>
    <row r="290" customFormat="false" ht="15" hidden="false" customHeight="false" outlineLevel="0" collapsed="false">
      <c r="A290" s="4" t="s">
        <v>205</v>
      </c>
      <c r="B290" s="4" t="s">
        <v>206</v>
      </c>
      <c r="C290" s="4" t="s">
        <v>109</v>
      </c>
      <c r="D290" s="16" t="n">
        <v>45444</v>
      </c>
      <c r="E290" s="4" t="n">
        <v>2024</v>
      </c>
      <c r="F290" s="4" t="n">
        <v>6</v>
      </c>
      <c r="G290" s="17" t="n">
        <v>1576122</v>
      </c>
      <c r="H290" s="18" t="n">
        <f aca="false">G290*$B$1/1000000</f>
        <v>3.47475421599547</v>
      </c>
    </row>
    <row r="291" customFormat="false" ht="15" hidden="false" customHeight="false" outlineLevel="0" collapsed="false">
      <c r="A291" s="4" t="s">
        <v>205</v>
      </c>
      <c r="B291" s="4" t="s">
        <v>206</v>
      </c>
      <c r="C291" s="4" t="s">
        <v>109</v>
      </c>
      <c r="D291" s="16" t="n">
        <v>45474</v>
      </c>
      <c r="E291" s="4" t="n">
        <v>2024</v>
      </c>
      <c r="F291" s="4" t="n">
        <v>7</v>
      </c>
      <c r="G291" s="17" t="n">
        <v>29484037</v>
      </c>
      <c r="H291" s="18" t="n">
        <f aca="false">G291*$B$1/1000000</f>
        <v>65.0011749536624</v>
      </c>
    </row>
    <row r="292" customFormat="false" ht="15" hidden="false" customHeight="false" outlineLevel="0" collapsed="false">
      <c r="A292" s="4" t="s">
        <v>205</v>
      </c>
      <c r="B292" s="4" t="s">
        <v>206</v>
      </c>
      <c r="C292" s="4" t="s">
        <v>109</v>
      </c>
      <c r="D292" s="16" t="n">
        <v>45536</v>
      </c>
      <c r="E292" s="4" t="n">
        <v>2024</v>
      </c>
      <c r="F292" s="4" t="n">
        <v>9</v>
      </c>
      <c r="G292" s="17" t="n">
        <v>30860064</v>
      </c>
      <c r="H292" s="18" t="n">
        <f aca="false">G292*$B$1/1000000</f>
        <v>68.0347952061388</v>
      </c>
    </row>
    <row r="293" customFormat="false" ht="15" hidden="false" customHeight="false" outlineLevel="0" collapsed="false">
      <c r="A293" s="4" t="s">
        <v>205</v>
      </c>
      <c r="B293" s="4" t="s">
        <v>206</v>
      </c>
      <c r="C293" s="4" t="s">
        <v>109</v>
      </c>
      <c r="D293" s="16" t="n">
        <v>45566</v>
      </c>
      <c r="E293" s="4" t="n">
        <v>2024</v>
      </c>
      <c r="F293" s="4" t="n">
        <v>10</v>
      </c>
      <c r="G293" s="17" t="n">
        <v>11505750</v>
      </c>
      <c r="H293" s="18" t="n">
        <f aca="false">G293*$B$1/1000000</f>
        <v>25.3658367313506</v>
      </c>
    </row>
    <row r="294" customFormat="false" ht="15" hidden="false" customHeight="false" outlineLevel="0" collapsed="false">
      <c r="A294" s="4" t="s">
        <v>205</v>
      </c>
      <c r="B294" s="4" t="s">
        <v>206</v>
      </c>
      <c r="C294" s="4" t="s">
        <v>109</v>
      </c>
      <c r="D294" s="16" t="n">
        <v>45597</v>
      </c>
      <c r="E294" s="4" t="n">
        <v>2024</v>
      </c>
      <c r="F294" s="4" t="n">
        <v>11</v>
      </c>
      <c r="G294" s="17" t="n">
        <v>12101300</v>
      </c>
      <c r="H294" s="18" t="n">
        <f aca="false">G294*$B$1/1000000</f>
        <v>26.6787997337934</v>
      </c>
    </row>
    <row r="295" customFormat="false" ht="15" hidden="false" customHeight="false" outlineLevel="0" collapsed="false">
      <c r="A295" s="4" t="s">
        <v>205</v>
      </c>
      <c r="B295" s="4" t="s">
        <v>206</v>
      </c>
      <c r="C295" s="4" t="s">
        <v>109</v>
      </c>
      <c r="D295" s="16" t="n">
        <v>45627</v>
      </c>
      <c r="E295" s="4" t="n">
        <v>2024</v>
      </c>
      <c r="F295" s="4" t="n">
        <v>12</v>
      </c>
      <c r="G295" s="17" t="n">
        <v>9121471</v>
      </c>
      <c r="H295" s="18" t="n">
        <f aca="false">G295*$B$1/1000000</f>
        <v>20.1094013111487</v>
      </c>
    </row>
    <row r="296" customFormat="false" ht="15" hidden="false" customHeight="false" outlineLevel="0" collapsed="false">
      <c r="A296" s="4" t="s">
        <v>205</v>
      </c>
      <c r="B296" s="4" t="s">
        <v>206</v>
      </c>
      <c r="C296" s="4" t="s">
        <v>109</v>
      </c>
      <c r="D296" s="16" t="n">
        <v>45658</v>
      </c>
      <c r="E296" s="4" t="n">
        <v>2025</v>
      </c>
      <c r="F296" s="4" t="n">
        <v>1</v>
      </c>
      <c r="G296" s="17" t="n">
        <v>7414183</v>
      </c>
      <c r="H296" s="18" t="n">
        <f aca="false">G296*$B$1/1000000</f>
        <v>16.3454755643357</v>
      </c>
    </row>
    <row r="297" customFormat="false" ht="15" hidden="false" customHeight="false" outlineLevel="0" collapsed="false">
      <c r="A297" s="4" t="s">
        <v>205</v>
      </c>
      <c r="B297" s="4" t="s">
        <v>206</v>
      </c>
      <c r="C297" s="4" t="s">
        <v>109</v>
      </c>
      <c r="D297" s="16" t="n">
        <v>45689</v>
      </c>
      <c r="E297" s="4" t="n">
        <v>2025</v>
      </c>
      <c r="F297" s="4" t="n">
        <v>2</v>
      </c>
      <c r="G297" s="17" t="n">
        <v>21082475</v>
      </c>
      <c r="H297" s="18" t="n">
        <f aca="false">G297*$B$1/1000000</f>
        <v>46.4789013095871</v>
      </c>
    </row>
    <row r="298" customFormat="false" ht="15" hidden="false" customHeight="false" outlineLevel="0" collapsed="false">
      <c r="A298" s="4" t="s">
        <v>205</v>
      </c>
      <c r="B298" s="4" t="s">
        <v>206</v>
      </c>
      <c r="C298" s="4" t="s">
        <v>109</v>
      </c>
      <c r="D298" s="16" t="n">
        <v>45717</v>
      </c>
      <c r="E298" s="4" t="n">
        <v>2025</v>
      </c>
      <c r="F298" s="4" t="n">
        <v>3</v>
      </c>
      <c r="G298" s="17" t="n">
        <v>15779012</v>
      </c>
      <c r="H298" s="18" t="n">
        <f aca="false">G298*$B$1/1000000</f>
        <v>34.7867668056426</v>
      </c>
    </row>
    <row r="299" customFormat="false" ht="15" hidden="false" customHeight="false" outlineLevel="0" collapsed="false">
      <c r="A299" s="4" t="s">
        <v>205</v>
      </c>
      <c r="B299" s="4" t="s">
        <v>206</v>
      </c>
      <c r="C299" s="4" t="s">
        <v>109</v>
      </c>
      <c r="D299" s="16" t="n">
        <v>45748</v>
      </c>
      <c r="E299" s="4" t="n">
        <v>2025</v>
      </c>
      <c r="F299" s="4" t="n">
        <v>4</v>
      </c>
      <c r="G299" s="17" t="n">
        <v>12261740</v>
      </c>
      <c r="H299" s="18" t="n">
        <f aca="false">G299*$B$1/1000000</f>
        <v>27.032509387243</v>
      </c>
    </row>
    <row r="300" customFormat="false" ht="15" hidden="false" customHeight="false" outlineLevel="0" collapsed="false">
      <c r="A300" s="4" t="s">
        <v>205</v>
      </c>
      <c r="B300" s="4" t="s">
        <v>206</v>
      </c>
      <c r="C300" s="4" t="s">
        <v>109</v>
      </c>
      <c r="D300" s="16" t="n">
        <v>45778</v>
      </c>
      <c r="E300" s="4" t="n">
        <v>2025</v>
      </c>
      <c r="F300" s="4" t="n">
        <v>5</v>
      </c>
      <c r="G300" s="17" t="n">
        <v>5850002</v>
      </c>
      <c r="H300" s="18" t="n">
        <f aca="false">G300*$B$1/1000000</f>
        <v>12.8970467470677</v>
      </c>
    </row>
    <row r="301" customFormat="false" ht="15" hidden="false" customHeight="false" outlineLevel="0" collapsed="false">
      <c r="A301" s="4" t="s">
        <v>205</v>
      </c>
      <c r="B301" s="4" t="s">
        <v>206</v>
      </c>
      <c r="C301" s="4" t="s">
        <v>109</v>
      </c>
      <c r="D301" s="16" t="n">
        <v>45839</v>
      </c>
      <c r="E301" s="4" t="n">
        <v>2025</v>
      </c>
      <c r="F301" s="4" t="n">
        <v>7</v>
      </c>
      <c r="G301" s="17" t="n">
        <v>10968589</v>
      </c>
      <c r="H301" s="18" t="n">
        <f aca="false">G301*$B$1/1000000</f>
        <v>24.1815994391751</v>
      </c>
    </row>
    <row r="302" customFormat="false" ht="15" hidden="false" customHeight="false" outlineLevel="0" collapsed="false">
      <c r="A302" s="4" t="s">
        <v>205</v>
      </c>
      <c r="B302" s="4" t="s">
        <v>206</v>
      </c>
      <c r="C302" s="4" t="s">
        <v>109</v>
      </c>
      <c r="D302" s="16" t="n">
        <v>45901</v>
      </c>
      <c r="E302" s="4" t="n">
        <v>2025</v>
      </c>
      <c r="F302" s="4" t="n">
        <v>9</v>
      </c>
      <c r="G302" s="17" t="n">
        <v>9637695</v>
      </c>
      <c r="H302" s="18" t="n">
        <f aca="false">G302*$B$1/1000000</f>
        <v>21.2474804194906</v>
      </c>
    </row>
    <row r="303" customFormat="false" ht="15" hidden="false" customHeight="false" outlineLevel="0" collapsed="false">
      <c r="A303" s="4" t="s">
        <v>205</v>
      </c>
      <c r="B303" s="4" t="s">
        <v>206</v>
      </c>
      <c r="C303" s="4" t="s">
        <v>109</v>
      </c>
      <c r="D303" s="16" t="n">
        <v>45931</v>
      </c>
      <c r="E303" s="4" t="n">
        <v>2025</v>
      </c>
      <c r="F303" s="4" t="n">
        <v>10</v>
      </c>
      <c r="G303" s="17" t="n">
        <v>15123822</v>
      </c>
      <c r="H303" s="18" t="n">
        <f aca="false">G303*$B$1/1000000</f>
        <v>33.3423201100327</v>
      </c>
    </row>
    <row r="304" customFormat="false" ht="15" hidden="false" customHeight="false" outlineLevel="0" collapsed="false">
      <c r="A304" s="4" t="s">
        <v>205</v>
      </c>
      <c r="B304" s="4" t="s">
        <v>206</v>
      </c>
      <c r="C304" s="4" t="s">
        <v>109</v>
      </c>
      <c r="D304" s="16" t="n">
        <v>45962</v>
      </c>
      <c r="E304" s="4" t="n">
        <v>2025</v>
      </c>
      <c r="F304" s="4" t="n">
        <v>11</v>
      </c>
      <c r="G304" s="17" t="n">
        <v>3938550</v>
      </c>
      <c r="H304" s="18" t="n">
        <f aca="false">G304*$B$1/1000000</f>
        <v>8.68301642728732</v>
      </c>
    </row>
    <row r="305" customFormat="false" ht="15" hidden="false" customHeight="false" outlineLevel="0" collapsed="false">
      <c r="A305" s="4" t="s">
        <v>205</v>
      </c>
      <c r="B305" s="4" t="s">
        <v>206</v>
      </c>
      <c r="C305" s="4" t="s">
        <v>109</v>
      </c>
      <c r="D305" s="16" t="n">
        <v>45992</v>
      </c>
      <c r="E305" s="4" t="n">
        <v>2025</v>
      </c>
      <c r="F305" s="4" t="n">
        <v>12</v>
      </c>
      <c r="G305" s="17" t="n">
        <v>62343659</v>
      </c>
      <c r="H305" s="18" t="n">
        <f aca="false">G305*$B$1/1000000</f>
        <v>137.444240960302</v>
      </c>
    </row>
    <row r="306" customFormat="false" ht="15" hidden="false" customHeight="false" outlineLevel="0" collapsed="false">
      <c r="A306" s="4" t="s">
        <v>205</v>
      </c>
      <c r="B306" s="4" t="s">
        <v>206</v>
      </c>
      <c r="C306" s="4" t="s">
        <v>109</v>
      </c>
      <c r="D306" s="16" t="n">
        <v>46023</v>
      </c>
      <c r="E306" s="4" t="n">
        <v>2026</v>
      </c>
      <c r="F306" s="4" t="n">
        <v>1</v>
      </c>
      <c r="G306" s="17" t="n">
        <v>19345884</v>
      </c>
      <c r="H306" s="18" t="n">
        <f aca="false">G306*$B$1/1000000</f>
        <v>42.650373506086</v>
      </c>
    </row>
    <row r="307" customFormat="false" ht="15" hidden="false" customHeight="false" outlineLevel="0" collapsed="false">
      <c r="A307" s="4" t="s">
        <v>205</v>
      </c>
      <c r="B307" s="4" t="s">
        <v>206</v>
      </c>
      <c r="C307" s="4" t="s">
        <v>109</v>
      </c>
      <c r="D307" s="16" t="n">
        <v>46054</v>
      </c>
      <c r="E307" s="4" t="n">
        <v>2026</v>
      </c>
      <c r="F307" s="4" t="n">
        <v>2</v>
      </c>
      <c r="G307" s="17" t="n">
        <v>31051365</v>
      </c>
      <c r="H307" s="18" t="n">
        <f aca="false">G307*$B$1/1000000</f>
        <v>68.4565417183213</v>
      </c>
    </row>
    <row r="308" customFormat="false" ht="15" hidden="false" customHeight="false" outlineLevel="0" collapsed="false">
      <c r="A308" s="4" t="s">
        <v>205</v>
      </c>
      <c r="B308" s="4" t="s">
        <v>206</v>
      </c>
      <c r="C308" s="4" t="s">
        <v>109</v>
      </c>
      <c r="D308" s="16" t="n">
        <v>46113</v>
      </c>
      <c r="E308" s="4" t="n">
        <v>2026</v>
      </c>
      <c r="F308" s="4" t="n">
        <v>4</v>
      </c>
      <c r="G308" s="17" t="n">
        <v>41447066</v>
      </c>
      <c r="H308" s="18" t="n">
        <f aca="false">G308*$B$1/1000000</f>
        <v>91.37513931291</v>
      </c>
    </row>
    <row r="309" customFormat="false" ht="15" hidden="false" customHeight="false" outlineLevel="0" collapsed="false">
      <c r="A309" s="4" t="s">
        <v>205</v>
      </c>
      <c r="B309" s="4" t="s">
        <v>206</v>
      </c>
      <c r="C309" s="4" t="s">
        <v>109</v>
      </c>
      <c r="D309" s="16" t="n">
        <v>46143</v>
      </c>
      <c r="E309" s="4" t="n">
        <v>2026</v>
      </c>
      <c r="F309" s="4" t="n">
        <v>5</v>
      </c>
      <c r="G309" s="17" t="n">
        <v>615870</v>
      </c>
      <c r="H309" s="18" t="n">
        <f aca="false">G309*$B$1/1000000</f>
        <v>1.35776093411876</v>
      </c>
    </row>
    <row r="310" customFormat="false" ht="15" hidden="false" customHeight="false" outlineLevel="0" collapsed="false">
      <c r="A310" s="4" t="s">
        <v>205</v>
      </c>
      <c r="B310" s="4" t="s">
        <v>206</v>
      </c>
      <c r="C310" s="4" t="s">
        <v>109</v>
      </c>
      <c r="D310" s="16" t="n">
        <v>46174</v>
      </c>
      <c r="E310" s="4" t="n">
        <v>2026</v>
      </c>
      <c r="F310" s="4" t="n">
        <v>6</v>
      </c>
      <c r="G310" s="17" t="n">
        <v>17955952</v>
      </c>
      <c r="H310" s="18" t="n">
        <f aca="false">G310*$B$1/1000000</f>
        <v>39.5860979760528</v>
      </c>
    </row>
    <row r="311" customFormat="false" ht="15" hidden="false" customHeight="false" outlineLevel="0" collapsed="false">
      <c r="A311" s="4" t="s">
        <v>205</v>
      </c>
      <c r="B311" s="4" t="s">
        <v>206</v>
      </c>
      <c r="C311" s="4" t="s">
        <v>109</v>
      </c>
      <c r="D311" s="16" t="n">
        <v>46204</v>
      </c>
      <c r="E311" s="4" t="n">
        <v>2026</v>
      </c>
      <c r="F311" s="4" t="n">
        <v>7</v>
      </c>
      <c r="G311" s="17" t="n">
        <v>12777888</v>
      </c>
      <c r="H311" s="18" t="n">
        <f aca="false">G311*$B$1/1000000</f>
        <v>28.1704209442657</v>
      </c>
    </row>
    <row r="312" customFormat="false" ht="15" hidden="false" customHeight="false" outlineLevel="0" collapsed="false">
      <c r="A312" s="4" t="s">
        <v>205</v>
      </c>
      <c r="B312" s="4" t="s">
        <v>206</v>
      </c>
      <c r="C312" s="4" t="s">
        <v>109</v>
      </c>
      <c r="D312" s="16" t="n">
        <v>46235</v>
      </c>
      <c r="E312" s="4" t="n">
        <v>2026</v>
      </c>
      <c r="F312" s="4" t="n">
        <v>8</v>
      </c>
      <c r="G312" s="17" t="n">
        <v>29968422</v>
      </c>
      <c r="H312" s="18" t="n">
        <f aca="false">G312*$B$1/1000000</f>
        <v>66.0690610823472</v>
      </c>
    </row>
    <row r="313" customFormat="false" ht="15" hidden="false" customHeight="false" outlineLevel="0" collapsed="false">
      <c r="A313" s="4" t="s">
        <v>205</v>
      </c>
      <c r="B313" s="4" t="s">
        <v>206</v>
      </c>
      <c r="C313" s="4" t="s">
        <v>49</v>
      </c>
      <c r="D313" s="16" t="n">
        <v>44470</v>
      </c>
      <c r="E313" s="4" t="n">
        <v>2021</v>
      </c>
      <c r="F313" s="4" t="n">
        <v>10</v>
      </c>
      <c r="G313" s="17" t="n">
        <v>5009304</v>
      </c>
      <c r="H313" s="18" t="n">
        <f aca="false">G313*$B$1/1000000</f>
        <v>11.0436249181237</v>
      </c>
    </row>
    <row r="314" customFormat="false" ht="15" hidden="false" customHeight="false" outlineLevel="0" collapsed="false">
      <c r="A314" s="4" t="s">
        <v>205</v>
      </c>
      <c r="B314" s="4" t="s">
        <v>206</v>
      </c>
      <c r="C314" s="4" t="s">
        <v>49</v>
      </c>
      <c r="D314" s="16" t="n">
        <v>44531</v>
      </c>
      <c r="E314" s="4" t="n">
        <v>2021</v>
      </c>
      <c r="F314" s="4" t="n">
        <v>12</v>
      </c>
      <c r="G314" s="17" t="n">
        <v>4749591</v>
      </c>
      <c r="H314" s="18" t="n">
        <f aca="false">G314*$B$1/1000000</f>
        <v>10.4710557631352</v>
      </c>
    </row>
    <row r="315" customFormat="false" ht="15" hidden="false" customHeight="false" outlineLevel="0" collapsed="false">
      <c r="A315" s="4" t="s">
        <v>205</v>
      </c>
      <c r="B315" s="4" t="s">
        <v>206</v>
      </c>
      <c r="C315" s="4" t="s">
        <v>49</v>
      </c>
      <c r="D315" s="16" t="n">
        <v>44621</v>
      </c>
      <c r="E315" s="4" t="n">
        <v>2022</v>
      </c>
      <c r="F315" s="4" t="n">
        <v>3</v>
      </c>
      <c r="G315" s="17" t="n">
        <v>10282946</v>
      </c>
      <c r="H315" s="18" t="n">
        <f aca="false">G315*$B$1/1000000</f>
        <v>22.670015370862</v>
      </c>
    </row>
    <row r="316" customFormat="false" ht="15" hidden="false" customHeight="false" outlineLevel="0" collapsed="false">
      <c r="A316" s="4" t="s">
        <v>205</v>
      </c>
      <c r="B316" s="4" t="s">
        <v>206</v>
      </c>
      <c r="C316" s="4" t="s">
        <v>49</v>
      </c>
      <c r="D316" s="16" t="n">
        <v>44652</v>
      </c>
      <c r="E316" s="4" t="n">
        <v>2022</v>
      </c>
      <c r="F316" s="4" t="n">
        <v>4</v>
      </c>
      <c r="G316" s="17" t="n">
        <v>5529424</v>
      </c>
      <c r="H316" s="18" t="n">
        <f aca="false">G316*$B$1/1000000</f>
        <v>12.1902932362003</v>
      </c>
    </row>
    <row r="317" customFormat="false" ht="15" hidden="false" customHeight="false" outlineLevel="0" collapsed="false">
      <c r="A317" s="4" t="s">
        <v>205</v>
      </c>
      <c r="B317" s="4" t="s">
        <v>206</v>
      </c>
      <c r="C317" s="4" t="s">
        <v>49</v>
      </c>
      <c r="D317" s="16" t="n">
        <v>44713</v>
      </c>
      <c r="E317" s="4" t="n">
        <v>2022</v>
      </c>
      <c r="F317" s="4" t="n">
        <v>6</v>
      </c>
      <c r="G317" s="17" t="n">
        <v>4004458</v>
      </c>
      <c r="H317" s="18" t="n">
        <f aca="false">G317*$B$1/1000000</f>
        <v>8.82831869504821</v>
      </c>
    </row>
    <row r="318" customFormat="false" ht="15" hidden="false" customHeight="false" outlineLevel="0" collapsed="false">
      <c r="A318" s="4" t="s">
        <v>205</v>
      </c>
      <c r="B318" s="4" t="s">
        <v>206</v>
      </c>
      <c r="C318" s="4" t="s">
        <v>49</v>
      </c>
      <c r="D318" s="16" t="n">
        <v>44774</v>
      </c>
      <c r="E318" s="4" t="n">
        <v>2022</v>
      </c>
      <c r="F318" s="4" t="n">
        <v>8</v>
      </c>
      <c r="G318" s="17" t="n">
        <v>5511159</v>
      </c>
      <c r="H318" s="18" t="n">
        <f aca="false">G318*$B$1/1000000</f>
        <v>12.1500258040122</v>
      </c>
    </row>
    <row r="319" customFormat="false" ht="15" hidden="false" customHeight="false" outlineLevel="0" collapsed="false">
      <c r="A319" s="4" t="s">
        <v>205</v>
      </c>
      <c r="B319" s="4" t="s">
        <v>206</v>
      </c>
      <c r="C319" s="4" t="s">
        <v>49</v>
      </c>
      <c r="D319" s="16" t="n">
        <v>44805</v>
      </c>
      <c r="E319" s="4" t="n">
        <v>2022</v>
      </c>
      <c r="F319" s="4" t="n">
        <v>9</v>
      </c>
      <c r="G319" s="17" t="n">
        <v>5777448</v>
      </c>
      <c r="H319" s="18" t="n">
        <f aca="false">G319*$B$1/1000000</f>
        <v>12.737092557362</v>
      </c>
    </row>
    <row r="320" customFormat="false" ht="15" hidden="false" customHeight="false" outlineLevel="0" collapsed="false">
      <c r="A320" s="4" t="s">
        <v>205</v>
      </c>
      <c r="B320" s="4" t="s">
        <v>206</v>
      </c>
      <c r="C320" s="4" t="s">
        <v>49</v>
      </c>
      <c r="D320" s="16" t="n">
        <v>44866</v>
      </c>
      <c r="E320" s="4" t="n">
        <v>2022</v>
      </c>
      <c r="F320" s="4" t="n">
        <v>11</v>
      </c>
      <c r="G320" s="17" t="n">
        <v>20309160</v>
      </c>
      <c r="H320" s="18" t="n">
        <f aca="false">G320*$B$1/1000000</f>
        <v>44.7740335667712</v>
      </c>
    </row>
    <row r="321" customFormat="false" ht="15" hidden="false" customHeight="false" outlineLevel="0" collapsed="false">
      <c r="A321" s="4" t="s">
        <v>205</v>
      </c>
      <c r="B321" s="4" t="s">
        <v>206</v>
      </c>
      <c r="C321" s="4" t="s">
        <v>49</v>
      </c>
      <c r="D321" s="16" t="n">
        <v>44896</v>
      </c>
      <c r="E321" s="4" t="n">
        <v>2022</v>
      </c>
      <c r="F321" s="4" t="n">
        <v>12</v>
      </c>
      <c r="G321" s="17" t="n">
        <v>5753607</v>
      </c>
      <c r="H321" s="18" t="n">
        <f aca="false">G321*$B$1/1000000</f>
        <v>12.6845321494345</v>
      </c>
    </row>
    <row r="322" customFormat="false" ht="15" hidden="false" customHeight="false" outlineLevel="0" collapsed="false">
      <c r="A322" s="4" t="s">
        <v>205</v>
      </c>
      <c r="B322" s="4" t="s">
        <v>206</v>
      </c>
      <c r="C322" s="4" t="s">
        <v>49</v>
      </c>
      <c r="D322" s="16" t="n">
        <v>44927</v>
      </c>
      <c r="E322" s="4" t="n">
        <v>2023</v>
      </c>
      <c r="F322" s="4" t="n">
        <v>1</v>
      </c>
      <c r="G322" s="17" t="n">
        <v>5544836</v>
      </c>
      <c r="H322" s="18" t="n">
        <f aca="false">G322*$B$1/1000000</f>
        <v>12.2242708800483</v>
      </c>
    </row>
    <row r="323" customFormat="false" ht="15" hidden="false" customHeight="false" outlineLevel="0" collapsed="false">
      <c r="A323" s="4" t="s">
        <v>205</v>
      </c>
      <c r="B323" s="4" t="s">
        <v>206</v>
      </c>
      <c r="C323" s="4" t="s">
        <v>49</v>
      </c>
      <c r="D323" s="16" t="n">
        <v>44986</v>
      </c>
      <c r="E323" s="4" t="n">
        <v>2023</v>
      </c>
      <c r="F323" s="4" t="n">
        <v>3</v>
      </c>
      <c r="G323" s="17" t="n">
        <v>5282966</v>
      </c>
      <c r="H323" s="18" t="n">
        <f aca="false">G323*$B$1/1000000</f>
        <v>11.6469463540644</v>
      </c>
    </row>
    <row r="324" customFormat="false" ht="15" hidden="false" customHeight="false" outlineLevel="0" collapsed="false">
      <c r="A324" s="4" t="s">
        <v>205</v>
      </c>
      <c r="B324" s="4" t="s">
        <v>206</v>
      </c>
      <c r="C324" s="4" t="s">
        <v>49</v>
      </c>
      <c r="D324" s="16" t="n">
        <v>45017</v>
      </c>
      <c r="E324" s="4" t="n">
        <v>2023</v>
      </c>
      <c r="F324" s="4" t="n">
        <v>4</v>
      </c>
      <c r="G324" s="17" t="n">
        <v>12311311</v>
      </c>
      <c r="H324" s="18" t="n">
        <f aca="false">G324*$B$1/1000000</f>
        <v>27.1417947352307</v>
      </c>
    </row>
    <row r="325" customFormat="false" ht="15" hidden="false" customHeight="false" outlineLevel="0" collapsed="false">
      <c r="A325" s="4" t="s">
        <v>205</v>
      </c>
      <c r="B325" s="4" t="s">
        <v>206</v>
      </c>
      <c r="C325" s="4" t="s">
        <v>49</v>
      </c>
      <c r="D325" s="16" t="n">
        <v>45047</v>
      </c>
      <c r="E325" s="4" t="n">
        <v>2023</v>
      </c>
      <c r="F325" s="4" t="n">
        <v>5</v>
      </c>
      <c r="G325" s="17" t="n">
        <v>6562159</v>
      </c>
      <c r="H325" s="18" t="n">
        <f aca="false">G325*$B$1/1000000</f>
        <v>14.4670841795766</v>
      </c>
    </row>
    <row r="326" customFormat="false" ht="15" hidden="false" customHeight="false" outlineLevel="0" collapsed="false">
      <c r="A326" s="4" t="s">
        <v>205</v>
      </c>
      <c r="B326" s="4" t="s">
        <v>206</v>
      </c>
      <c r="C326" s="4" t="s">
        <v>49</v>
      </c>
      <c r="D326" s="16" t="n">
        <v>45078</v>
      </c>
      <c r="E326" s="4" t="n">
        <v>2023</v>
      </c>
      <c r="F326" s="4" t="n">
        <v>6</v>
      </c>
      <c r="G326" s="17" t="n">
        <v>9437189</v>
      </c>
      <c r="H326" s="18" t="n">
        <f aca="false">G326*$B$1/1000000</f>
        <v>20.805440356074</v>
      </c>
    </row>
    <row r="327" customFormat="false" ht="15" hidden="false" customHeight="false" outlineLevel="0" collapsed="false">
      <c r="A327" s="4" t="s">
        <v>205</v>
      </c>
      <c r="B327" s="4" t="s">
        <v>206</v>
      </c>
      <c r="C327" s="4" t="s">
        <v>49</v>
      </c>
      <c r="D327" s="16" t="n">
        <v>45108</v>
      </c>
      <c r="E327" s="4" t="n">
        <v>2023</v>
      </c>
      <c r="F327" s="4" t="n">
        <v>7</v>
      </c>
      <c r="G327" s="17" t="n">
        <v>12162965</v>
      </c>
      <c r="H327" s="18" t="n">
        <f aca="false">G327*$B$1/1000000</f>
        <v>26.8147477877698</v>
      </c>
    </row>
    <row r="328" customFormat="false" ht="15" hidden="false" customHeight="false" outlineLevel="0" collapsed="false">
      <c r="A328" s="4" t="s">
        <v>205</v>
      </c>
      <c r="B328" s="4" t="s">
        <v>206</v>
      </c>
      <c r="C328" s="4" t="s">
        <v>49</v>
      </c>
      <c r="D328" s="16" t="n">
        <v>45139</v>
      </c>
      <c r="E328" s="4" t="n">
        <v>2023</v>
      </c>
      <c r="F328" s="4" t="n">
        <v>8</v>
      </c>
      <c r="G328" s="17" t="n">
        <v>23880742</v>
      </c>
      <c r="H328" s="18" t="n">
        <f aca="false">G328*$B$1/1000000</f>
        <v>52.6480240397634</v>
      </c>
    </row>
    <row r="329" customFormat="false" ht="15" hidden="false" customHeight="false" outlineLevel="0" collapsed="false">
      <c r="A329" s="4" t="s">
        <v>205</v>
      </c>
      <c r="B329" s="4" t="s">
        <v>206</v>
      </c>
      <c r="C329" s="4" t="s">
        <v>49</v>
      </c>
      <c r="D329" s="16" t="n">
        <v>45170</v>
      </c>
      <c r="E329" s="4" t="n">
        <v>2023</v>
      </c>
      <c r="F329" s="4" t="n">
        <v>9</v>
      </c>
      <c r="G329" s="17" t="n">
        <v>18603656</v>
      </c>
      <c r="H329" s="18" t="n">
        <f aca="false">G329*$B$1/1000000</f>
        <v>41.0140408667155</v>
      </c>
    </row>
    <row r="330" customFormat="false" ht="15" hidden="false" customHeight="false" outlineLevel="0" collapsed="false">
      <c r="A330" s="4" t="s">
        <v>205</v>
      </c>
      <c r="B330" s="4" t="s">
        <v>206</v>
      </c>
      <c r="C330" s="4" t="s">
        <v>49</v>
      </c>
      <c r="D330" s="16" t="n">
        <v>45200</v>
      </c>
      <c r="E330" s="4" t="n">
        <v>2023</v>
      </c>
      <c r="F330" s="4" t="n">
        <v>10</v>
      </c>
      <c r="G330" s="17" t="n">
        <v>23523725</v>
      </c>
      <c r="H330" s="18" t="n">
        <f aca="false">G330*$B$1/1000000</f>
        <v>51.8609362851784</v>
      </c>
    </row>
    <row r="331" customFormat="false" ht="15" hidden="false" customHeight="false" outlineLevel="0" collapsed="false">
      <c r="A331" s="4" t="s">
        <v>205</v>
      </c>
      <c r="B331" s="4" t="s">
        <v>206</v>
      </c>
      <c r="C331" s="4" t="s">
        <v>49</v>
      </c>
      <c r="D331" s="16" t="n">
        <v>45231</v>
      </c>
      <c r="E331" s="4" t="n">
        <v>2023</v>
      </c>
      <c r="F331" s="4" t="n">
        <v>11</v>
      </c>
      <c r="G331" s="17" t="n">
        <v>27306267</v>
      </c>
      <c r="H331" s="18" t="n">
        <f aca="false">G331*$B$1/1000000</f>
        <v>60.2000139464761</v>
      </c>
    </row>
    <row r="332" customFormat="false" ht="15" hidden="false" customHeight="false" outlineLevel="0" collapsed="false">
      <c r="A332" s="4" t="s">
        <v>205</v>
      </c>
      <c r="B332" s="4" t="s">
        <v>206</v>
      </c>
      <c r="C332" s="4" t="s">
        <v>49</v>
      </c>
      <c r="D332" s="16" t="n">
        <v>45261</v>
      </c>
      <c r="E332" s="4" t="n">
        <v>2023</v>
      </c>
      <c r="F332" s="4" t="n">
        <v>12</v>
      </c>
      <c r="G332" s="17" t="n">
        <v>27857929</v>
      </c>
      <c r="H332" s="18" t="n">
        <f aca="false">G332*$B$1/1000000</f>
        <v>61.4162204712912</v>
      </c>
    </row>
    <row r="333" customFormat="false" ht="15" hidden="false" customHeight="false" outlineLevel="0" collapsed="false">
      <c r="A333" s="4" t="s">
        <v>205</v>
      </c>
      <c r="B333" s="4" t="s">
        <v>206</v>
      </c>
      <c r="C333" s="4" t="s">
        <v>49</v>
      </c>
      <c r="D333" s="16" t="n">
        <v>45292</v>
      </c>
      <c r="E333" s="4" t="n">
        <v>2024</v>
      </c>
      <c r="F333" s="4" t="n">
        <v>1</v>
      </c>
      <c r="G333" s="17" t="n">
        <v>52218621</v>
      </c>
      <c r="H333" s="18" t="n">
        <f aca="false">G333*$B$1/1000000</f>
        <v>115.122353138411</v>
      </c>
    </row>
    <row r="334" customFormat="false" ht="15" hidden="false" customHeight="false" outlineLevel="0" collapsed="false">
      <c r="A334" s="4" t="s">
        <v>205</v>
      </c>
      <c r="B334" s="4" t="s">
        <v>206</v>
      </c>
      <c r="C334" s="4" t="s">
        <v>49</v>
      </c>
      <c r="D334" s="16" t="n">
        <v>45323</v>
      </c>
      <c r="E334" s="4" t="n">
        <v>2024</v>
      </c>
      <c r="F334" s="4" t="n">
        <v>2</v>
      </c>
      <c r="G334" s="17" t="n">
        <v>33654734</v>
      </c>
      <c r="H334" s="18" t="n">
        <f aca="false">G334*$B$1/1000000</f>
        <v>74.1959879087443</v>
      </c>
    </row>
    <row r="335" customFormat="false" ht="15" hidden="false" customHeight="false" outlineLevel="0" collapsed="false">
      <c r="A335" s="4" t="s">
        <v>205</v>
      </c>
      <c r="B335" s="4" t="s">
        <v>206</v>
      </c>
      <c r="C335" s="4" t="s">
        <v>49</v>
      </c>
      <c r="D335" s="16" t="n">
        <v>45352</v>
      </c>
      <c r="E335" s="4" t="n">
        <v>2024</v>
      </c>
      <c r="F335" s="4" t="n">
        <v>3</v>
      </c>
      <c r="G335" s="17" t="n">
        <v>9357909</v>
      </c>
      <c r="H335" s="18" t="n">
        <f aca="false">G335*$B$1/1000000</f>
        <v>20.6306578746137</v>
      </c>
    </row>
    <row r="336" customFormat="false" ht="15" hidden="false" customHeight="false" outlineLevel="0" collapsed="false">
      <c r="A336" s="4" t="s">
        <v>205</v>
      </c>
      <c r="B336" s="4" t="s">
        <v>206</v>
      </c>
      <c r="C336" s="4" t="s">
        <v>49</v>
      </c>
      <c r="D336" s="16" t="n">
        <v>45383</v>
      </c>
      <c r="E336" s="4" t="n">
        <v>2024</v>
      </c>
      <c r="F336" s="4" t="n">
        <v>4</v>
      </c>
      <c r="G336" s="17" t="n">
        <v>21890957</v>
      </c>
      <c r="H336" s="18" t="n">
        <f aca="false">G336*$B$1/1000000</f>
        <v>48.2612990161456</v>
      </c>
    </row>
    <row r="337" customFormat="false" ht="15" hidden="false" customHeight="false" outlineLevel="0" collapsed="false">
      <c r="A337" s="4" t="s">
        <v>205</v>
      </c>
      <c r="B337" s="4" t="s">
        <v>206</v>
      </c>
      <c r="C337" s="4" t="s">
        <v>49</v>
      </c>
      <c r="D337" s="16" t="n">
        <v>45413</v>
      </c>
      <c r="E337" s="4" t="n">
        <v>2024</v>
      </c>
      <c r="F337" s="4" t="n">
        <v>5</v>
      </c>
      <c r="G337" s="17" t="n">
        <v>23387329</v>
      </c>
      <c r="H337" s="18" t="n">
        <f aca="false">G337*$B$1/1000000</f>
        <v>51.5602345780485</v>
      </c>
    </row>
    <row r="338" customFormat="false" ht="15" hidden="false" customHeight="false" outlineLevel="0" collapsed="false">
      <c r="A338" s="4" t="s">
        <v>205</v>
      </c>
      <c r="B338" s="4" t="s">
        <v>206</v>
      </c>
      <c r="C338" s="4" t="s">
        <v>49</v>
      </c>
      <c r="D338" s="16" t="n">
        <v>45444</v>
      </c>
      <c r="E338" s="4" t="n">
        <v>2024</v>
      </c>
      <c r="F338" s="4" t="n">
        <v>6</v>
      </c>
      <c r="G338" s="17" t="n">
        <v>18255867</v>
      </c>
      <c r="H338" s="18" t="n">
        <f aca="false">G338*$B$1/1000000</f>
        <v>40.2472973696849</v>
      </c>
    </row>
    <row r="339" customFormat="false" ht="15" hidden="false" customHeight="false" outlineLevel="0" collapsed="false">
      <c r="A339" s="4" t="s">
        <v>205</v>
      </c>
      <c r="B339" s="4" t="s">
        <v>206</v>
      </c>
      <c r="C339" s="4" t="s">
        <v>49</v>
      </c>
      <c r="D339" s="16" t="n">
        <v>45474</v>
      </c>
      <c r="E339" s="4" t="n">
        <v>2024</v>
      </c>
      <c r="F339" s="4" t="n">
        <v>7</v>
      </c>
      <c r="G339" s="17" t="n">
        <v>32456513</v>
      </c>
      <c r="H339" s="18" t="n">
        <f aca="false">G339*$B$1/1000000</f>
        <v>71.5543627861686</v>
      </c>
    </row>
    <row r="340" customFormat="false" ht="15" hidden="false" customHeight="false" outlineLevel="0" collapsed="false">
      <c r="A340" s="4" t="s">
        <v>205</v>
      </c>
      <c r="B340" s="4" t="s">
        <v>206</v>
      </c>
      <c r="C340" s="4" t="s">
        <v>49</v>
      </c>
      <c r="D340" s="16" t="n">
        <v>45505</v>
      </c>
      <c r="E340" s="4" t="n">
        <v>2024</v>
      </c>
      <c r="F340" s="4" t="n">
        <v>8</v>
      </c>
      <c r="G340" s="17" t="n">
        <v>32812860</v>
      </c>
      <c r="H340" s="18" t="n">
        <f aca="false">G340*$B$1/1000000</f>
        <v>72.339973443597</v>
      </c>
    </row>
    <row r="341" customFormat="false" ht="15" hidden="false" customHeight="false" outlineLevel="0" collapsed="false">
      <c r="A341" s="4" t="s">
        <v>205</v>
      </c>
      <c r="B341" s="4" t="s">
        <v>206</v>
      </c>
      <c r="C341" s="4" t="s">
        <v>49</v>
      </c>
      <c r="D341" s="16" t="n">
        <v>45536</v>
      </c>
      <c r="E341" s="4" t="n">
        <v>2024</v>
      </c>
      <c r="F341" s="4" t="n">
        <v>9</v>
      </c>
      <c r="G341" s="17" t="n">
        <v>16664680</v>
      </c>
      <c r="H341" s="18" t="n">
        <f aca="false">G341*$B$1/1000000</f>
        <v>36.7393305138913</v>
      </c>
    </row>
    <row r="342" customFormat="false" ht="15" hidden="false" customHeight="false" outlineLevel="0" collapsed="false">
      <c r="A342" s="4" t="s">
        <v>205</v>
      </c>
      <c r="B342" s="4" t="s">
        <v>206</v>
      </c>
      <c r="C342" s="4" t="s">
        <v>49</v>
      </c>
      <c r="D342" s="16" t="n">
        <v>45566</v>
      </c>
      <c r="E342" s="4" t="n">
        <v>2024</v>
      </c>
      <c r="F342" s="4" t="n">
        <v>10</v>
      </c>
      <c r="G342" s="17" t="n">
        <v>20749237</v>
      </c>
      <c r="H342" s="18" t="n">
        <f aca="false">G342*$B$1/1000000</f>
        <v>45.744237276327</v>
      </c>
    </row>
    <row r="343" customFormat="false" ht="15" hidden="false" customHeight="false" outlineLevel="0" collapsed="false">
      <c r="A343" s="4" t="s">
        <v>205</v>
      </c>
      <c r="B343" s="4" t="s">
        <v>206</v>
      </c>
      <c r="C343" s="4" t="s">
        <v>49</v>
      </c>
      <c r="D343" s="16" t="n">
        <v>45597</v>
      </c>
      <c r="E343" s="4" t="n">
        <v>2024</v>
      </c>
      <c r="F343" s="4" t="n">
        <v>11</v>
      </c>
      <c r="G343" s="17" t="n">
        <v>52084842</v>
      </c>
      <c r="H343" s="18" t="n">
        <f aca="false">G343*$B$1/1000000</f>
        <v>114.827420928683</v>
      </c>
    </row>
    <row r="344" customFormat="false" ht="15" hidden="false" customHeight="false" outlineLevel="0" collapsed="false">
      <c r="A344" s="4" t="s">
        <v>205</v>
      </c>
      <c r="B344" s="4" t="s">
        <v>206</v>
      </c>
      <c r="C344" s="4" t="s">
        <v>49</v>
      </c>
      <c r="D344" s="16" t="n">
        <v>45627</v>
      </c>
      <c r="E344" s="4" t="n">
        <v>2024</v>
      </c>
      <c r="F344" s="4" t="n">
        <v>12</v>
      </c>
      <c r="G344" s="17" t="n">
        <v>25364378</v>
      </c>
      <c r="H344" s="18" t="n">
        <f aca="false">G344*$B$1/1000000</f>
        <v>55.9188815279545</v>
      </c>
    </row>
    <row r="345" customFormat="false" ht="15" hidden="false" customHeight="false" outlineLevel="0" collapsed="false">
      <c r="A345" s="4" t="s">
        <v>205</v>
      </c>
      <c r="B345" s="4" t="s">
        <v>206</v>
      </c>
      <c r="C345" s="4" t="s">
        <v>49</v>
      </c>
      <c r="D345" s="16" t="n">
        <v>45658</v>
      </c>
      <c r="E345" s="4" t="n">
        <v>2025</v>
      </c>
      <c r="F345" s="4" t="n">
        <v>1</v>
      </c>
      <c r="G345" s="17" t="n">
        <v>22948392</v>
      </c>
      <c r="H345" s="18" t="n">
        <f aca="false">G345*$B$1/1000000</f>
        <v>50.5925441382816</v>
      </c>
    </row>
    <row r="346" customFormat="false" ht="15" hidden="false" customHeight="false" outlineLevel="0" collapsed="false">
      <c r="A346" s="4" t="s">
        <v>205</v>
      </c>
      <c r="B346" s="4" t="s">
        <v>206</v>
      </c>
      <c r="C346" s="4" t="s">
        <v>49</v>
      </c>
      <c r="D346" s="16" t="n">
        <v>45689</v>
      </c>
      <c r="E346" s="4" t="n">
        <v>2025</v>
      </c>
      <c r="F346" s="4" t="n">
        <v>2</v>
      </c>
      <c r="G346" s="17" t="n">
        <v>5998941</v>
      </c>
      <c r="H346" s="18" t="n">
        <f aca="false">G346*$B$1/1000000</f>
        <v>13.2254010357435</v>
      </c>
    </row>
    <row r="347" customFormat="false" ht="15" hidden="false" customHeight="false" outlineLevel="0" collapsed="false">
      <c r="A347" s="4" t="s">
        <v>205</v>
      </c>
      <c r="B347" s="4" t="s">
        <v>206</v>
      </c>
      <c r="C347" s="4" t="s">
        <v>49</v>
      </c>
      <c r="D347" s="16" t="n">
        <v>45717</v>
      </c>
      <c r="E347" s="4" t="n">
        <v>2025</v>
      </c>
      <c r="F347" s="4" t="n">
        <v>3</v>
      </c>
      <c r="G347" s="17" t="n">
        <v>16299516</v>
      </c>
      <c r="H347" s="18" t="n">
        <f aca="false">G347*$B$1/1000000</f>
        <v>35.934281698806</v>
      </c>
    </row>
    <row r="348" customFormat="false" ht="15" hidden="false" customHeight="false" outlineLevel="0" collapsed="false">
      <c r="A348" s="4" t="s">
        <v>205</v>
      </c>
      <c r="B348" s="4" t="s">
        <v>206</v>
      </c>
      <c r="C348" s="4" t="s">
        <v>49</v>
      </c>
      <c r="D348" s="16" t="n">
        <v>45748</v>
      </c>
      <c r="E348" s="4" t="n">
        <v>2025</v>
      </c>
      <c r="F348" s="4" t="n">
        <v>4</v>
      </c>
      <c r="G348" s="17" t="n">
        <v>63262165</v>
      </c>
      <c r="H348" s="18" t="n">
        <f aca="false">G348*$B$1/1000000</f>
        <v>139.469200066207</v>
      </c>
    </row>
    <row r="349" customFormat="false" ht="15" hidden="false" customHeight="false" outlineLevel="0" collapsed="false">
      <c r="A349" s="4" t="s">
        <v>205</v>
      </c>
      <c r="B349" s="4" t="s">
        <v>206</v>
      </c>
      <c r="C349" s="4" t="s">
        <v>49</v>
      </c>
      <c r="D349" s="16" t="n">
        <v>45778</v>
      </c>
      <c r="E349" s="4" t="n">
        <v>2025</v>
      </c>
      <c r="F349" s="4" t="n">
        <v>5</v>
      </c>
      <c r="G349" s="17" t="n">
        <v>42601363</v>
      </c>
      <c r="H349" s="18" t="n">
        <f aca="false">G349*$B$1/1000000</f>
        <v>93.9199285914436</v>
      </c>
    </row>
    <row r="350" customFormat="false" ht="15" hidden="false" customHeight="false" outlineLevel="0" collapsed="false">
      <c r="A350" s="4" t="s">
        <v>205</v>
      </c>
      <c r="B350" s="4" t="s">
        <v>206</v>
      </c>
      <c r="C350" s="4" t="s">
        <v>49</v>
      </c>
      <c r="D350" s="16" t="n">
        <v>45809</v>
      </c>
      <c r="E350" s="4" t="n">
        <v>2025</v>
      </c>
      <c r="F350" s="4" t="n">
        <v>6</v>
      </c>
      <c r="G350" s="17" t="n">
        <v>26623271</v>
      </c>
      <c r="H350" s="18" t="n">
        <f aca="false">G350*$B$1/1000000</f>
        <v>58.6942655142431</v>
      </c>
    </row>
    <row r="351" customFormat="false" ht="15" hidden="false" customHeight="false" outlineLevel="0" collapsed="false">
      <c r="A351" s="4" t="s">
        <v>205</v>
      </c>
      <c r="B351" s="4" t="s">
        <v>206</v>
      </c>
      <c r="C351" s="4" t="s">
        <v>49</v>
      </c>
      <c r="D351" s="16" t="n">
        <v>45839</v>
      </c>
      <c r="E351" s="4" t="n">
        <v>2025</v>
      </c>
      <c r="F351" s="4" t="n">
        <v>7</v>
      </c>
      <c r="G351" s="17" t="n">
        <v>92582896</v>
      </c>
      <c r="H351" s="18" t="n">
        <f aca="false">G351*$B$1/1000000</f>
        <v>204.110346917986</v>
      </c>
    </row>
    <row r="352" customFormat="false" ht="15" hidden="false" customHeight="false" outlineLevel="0" collapsed="false">
      <c r="A352" s="4" t="s">
        <v>205</v>
      </c>
      <c r="B352" s="4" t="s">
        <v>206</v>
      </c>
      <c r="C352" s="4" t="s">
        <v>49</v>
      </c>
      <c r="D352" s="16" t="n">
        <v>45870</v>
      </c>
      <c r="E352" s="4" t="n">
        <v>2025</v>
      </c>
      <c r="F352" s="4" t="n">
        <v>8</v>
      </c>
      <c r="G352" s="17" t="n">
        <v>1831639</v>
      </c>
      <c r="H352" s="18" t="n">
        <f aca="false">G352*$B$1/1000000</f>
        <v>4.03807277446271</v>
      </c>
    </row>
    <row r="353" customFormat="false" ht="15" hidden="false" customHeight="false" outlineLevel="0" collapsed="false">
      <c r="A353" s="4" t="s">
        <v>205</v>
      </c>
      <c r="B353" s="4" t="s">
        <v>206</v>
      </c>
      <c r="C353" s="4" t="s">
        <v>49</v>
      </c>
      <c r="D353" s="16" t="n">
        <v>45901</v>
      </c>
      <c r="E353" s="4" t="n">
        <v>2025</v>
      </c>
      <c r="F353" s="4" t="n">
        <v>9</v>
      </c>
      <c r="G353" s="17" t="n">
        <v>50312686</v>
      </c>
      <c r="H353" s="18" t="n">
        <f aca="false">G353*$B$1/1000000</f>
        <v>110.920485721636</v>
      </c>
    </row>
    <row r="354" customFormat="false" ht="15" hidden="false" customHeight="false" outlineLevel="0" collapsed="false">
      <c r="A354" s="4" t="s">
        <v>205</v>
      </c>
      <c r="B354" s="4" t="s">
        <v>206</v>
      </c>
      <c r="C354" s="4" t="s">
        <v>49</v>
      </c>
      <c r="D354" s="16" t="n">
        <v>45931</v>
      </c>
      <c r="E354" s="4" t="n">
        <v>2025</v>
      </c>
      <c r="F354" s="4" t="n">
        <v>10</v>
      </c>
      <c r="G354" s="17" t="n">
        <v>38707688</v>
      </c>
      <c r="H354" s="18" t="n">
        <f aca="false">G354*$B$1/1000000</f>
        <v>85.3358446043118</v>
      </c>
    </row>
    <row r="355" customFormat="false" ht="15" hidden="false" customHeight="false" outlineLevel="0" collapsed="false">
      <c r="A355" s="4" t="s">
        <v>205</v>
      </c>
      <c r="B355" s="4" t="s">
        <v>206</v>
      </c>
      <c r="C355" s="4" t="s">
        <v>49</v>
      </c>
      <c r="D355" s="16" t="n">
        <v>45962</v>
      </c>
      <c r="E355" s="4" t="n">
        <v>2025</v>
      </c>
      <c r="F355" s="4" t="n">
        <v>11</v>
      </c>
      <c r="G355" s="17" t="n">
        <v>9044110</v>
      </c>
      <c r="H355" s="18" t="n">
        <f aca="false">G355*$B$1/1000000</f>
        <v>19.9388495004998</v>
      </c>
    </row>
    <row r="356" customFormat="false" ht="15" hidden="false" customHeight="false" outlineLevel="0" collapsed="false">
      <c r="A356" s="4" t="s">
        <v>205</v>
      </c>
      <c r="B356" s="4" t="s">
        <v>206</v>
      </c>
      <c r="C356" s="4" t="s">
        <v>49</v>
      </c>
      <c r="D356" s="16" t="n">
        <v>46082</v>
      </c>
      <c r="E356" s="4" t="n">
        <v>2026</v>
      </c>
      <c r="F356" s="4" t="n">
        <v>3</v>
      </c>
      <c r="G356" s="17" t="n">
        <v>6003409</v>
      </c>
      <c r="H356" s="18" t="n">
        <f aca="false">G356*$B$1/1000000</f>
        <v>13.2352512896179</v>
      </c>
    </row>
    <row r="357" customFormat="false" ht="15" hidden="false" customHeight="false" outlineLevel="0" collapsed="false">
      <c r="A357" s="4" t="s">
        <v>205</v>
      </c>
      <c r="B357" s="4" t="s">
        <v>206</v>
      </c>
      <c r="C357" s="4" t="s">
        <v>49</v>
      </c>
      <c r="D357" s="16" t="n">
        <v>46113</v>
      </c>
      <c r="E357" s="4" t="n">
        <v>2026</v>
      </c>
      <c r="F357" s="4" t="n">
        <v>4</v>
      </c>
      <c r="G357" s="17" t="n">
        <v>22631723</v>
      </c>
      <c r="H357" s="18" t="n">
        <f aca="false">G357*$B$1/1000000</f>
        <v>49.894408497243</v>
      </c>
    </row>
    <row r="358" customFormat="false" ht="15" hidden="false" customHeight="false" outlineLevel="0" collapsed="false">
      <c r="A358" s="4" t="s">
        <v>205</v>
      </c>
      <c r="B358" s="4" t="s">
        <v>206</v>
      </c>
      <c r="C358" s="4" t="s">
        <v>49</v>
      </c>
      <c r="D358" s="16" t="n">
        <v>46143</v>
      </c>
      <c r="E358" s="4" t="n">
        <v>2026</v>
      </c>
      <c r="F358" s="4" t="n">
        <v>5</v>
      </c>
      <c r="G358" s="17" t="n">
        <v>20974153</v>
      </c>
      <c r="H358" s="18" t="n">
        <f aca="false">G358*$B$1/1000000</f>
        <v>46.240092177943</v>
      </c>
    </row>
    <row r="359" customFormat="false" ht="15" hidden="false" customHeight="false" outlineLevel="0" collapsed="false">
      <c r="A359" s="4" t="s">
        <v>205</v>
      </c>
      <c r="B359" s="4" t="s">
        <v>206</v>
      </c>
      <c r="C359" s="4" t="s">
        <v>49</v>
      </c>
      <c r="D359" s="16" t="n">
        <v>46174</v>
      </c>
      <c r="E359" s="4" t="n">
        <v>2026</v>
      </c>
      <c r="F359" s="4" t="n">
        <v>6</v>
      </c>
      <c r="G359" s="17" t="n">
        <v>16582651</v>
      </c>
      <c r="H359" s="18" t="n">
        <f aca="false">G359*$B$1/1000000</f>
        <v>36.5584875248435</v>
      </c>
    </row>
    <row r="360" customFormat="false" ht="15" hidden="false" customHeight="false" outlineLevel="0" collapsed="false">
      <c r="A360" s="4" t="s">
        <v>205</v>
      </c>
      <c r="B360" s="4" t="s">
        <v>206</v>
      </c>
      <c r="C360" s="4" t="s">
        <v>49</v>
      </c>
      <c r="D360" s="16" t="n">
        <v>46204</v>
      </c>
      <c r="E360" s="4" t="n">
        <v>2026</v>
      </c>
      <c r="F360" s="4" t="n">
        <v>7</v>
      </c>
      <c r="G360" s="17" t="n">
        <v>48816186</v>
      </c>
      <c r="H360" s="18" t="n">
        <f aca="false">G360*$B$1/1000000</f>
        <v>107.621267968037</v>
      </c>
    </row>
    <row r="361" customFormat="false" ht="15" hidden="false" customHeight="false" outlineLevel="0" collapsed="false">
      <c r="A361" s="4" t="s">
        <v>205</v>
      </c>
      <c r="B361" s="4" t="s">
        <v>206</v>
      </c>
      <c r="C361" s="4" t="s">
        <v>49</v>
      </c>
      <c r="D361" s="16" t="n">
        <v>46235</v>
      </c>
      <c r="E361" s="4" t="n">
        <v>2026</v>
      </c>
      <c r="F361" s="4" t="n">
        <v>8</v>
      </c>
      <c r="G361" s="17" t="n">
        <v>61321343</v>
      </c>
      <c r="H361" s="18" t="n">
        <f aca="false">G361*$B$1/1000000</f>
        <v>135.190419980023</v>
      </c>
    </row>
    <row r="362" customFormat="false" ht="15" hidden="false" customHeight="false" outlineLevel="0" collapsed="false">
      <c r="A362" s="4" t="s">
        <v>205</v>
      </c>
      <c r="B362" s="4" t="s">
        <v>206</v>
      </c>
      <c r="C362" s="4" t="s">
        <v>43</v>
      </c>
      <c r="D362" s="16" t="n">
        <v>43831</v>
      </c>
      <c r="E362" s="4" t="n">
        <v>2020</v>
      </c>
      <c r="F362" s="4" t="n">
        <v>1</v>
      </c>
      <c r="G362" s="17" t="n">
        <v>12782997</v>
      </c>
      <c r="H362" s="18" t="n">
        <f aca="false">G362*$B$1/1000000</f>
        <v>28.1816843612407</v>
      </c>
    </row>
    <row r="363" customFormat="false" ht="15" hidden="false" customHeight="false" outlineLevel="0" collapsed="false">
      <c r="A363" s="4" t="s">
        <v>205</v>
      </c>
      <c r="B363" s="4" t="s">
        <v>206</v>
      </c>
      <c r="C363" s="4" t="s">
        <v>43</v>
      </c>
      <c r="D363" s="16" t="n">
        <v>43862</v>
      </c>
      <c r="E363" s="4" t="n">
        <v>2020</v>
      </c>
      <c r="F363" s="4" t="n">
        <v>2</v>
      </c>
      <c r="G363" s="17" t="n">
        <v>12043071</v>
      </c>
      <c r="H363" s="18" t="n">
        <f aca="false">G363*$B$1/1000000</f>
        <v>26.5504267631457</v>
      </c>
    </row>
    <row r="364" customFormat="false" ht="15" hidden="false" customHeight="false" outlineLevel="0" collapsed="false">
      <c r="A364" s="4" t="s">
        <v>205</v>
      </c>
      <c r="B364" s="4" t="s">
        <v>206</v>
      </c>
      <c r="C364" s="4" t="s">
        <v>43</v>
      </c>
      <c r="D364" s="16" t="n">
        <v>43891</v>
      </c>
      <c r="E364" s="4" t="n">
        <v>2020</v>
      </c>
      <c r="F364" s="4" t="n">
        <v>3</v>
      </c>
      <c r="G364" s="17" t="n">
        <v>14127720</v>
      </c>
      <c r="H364" s="18" t="n">
        <f aca="false">G364*$B$1/1000000</f>
        <v>31.1462911071627</v>
      </c>
    </row>
    <row r="365" customFormat="false" ht="15" hidden="false" customHeight="false" outlineLevel="0" collapsed="false">
      <c r="A365" s="4" t="s">
        <v>205</v>
      </c>
      <c r="B365" s="4" t="s">
        <v>206</v>
      </c>
      <c r="C365" s="4" t="s">
        <v>43</v>
      </c>
      <c r="D365" s="16" t="n">
        <v>43922</v>
      </c>
      <c r="E365" s="4" t="n">
        <v>2020</v>
      </c>
      <c r="F365" s="4" t="n">
        <v>4</v>
      </c>
      <c r="G365" s="17" t="n">
        <v>16903944</v>
      </c>
      <c r="H365" s="18" t="n">
        <f aca="false">G365*$B$1/1000000</f>
        <v>37.2668173408856</v>
      </c>
    </row>
    <row r="366" customFormat="false" ht="15" hidden="false" customHeight="false" outlineLevel="0" collapsed="false">
      <c r="A366" s="4" t="s">
        <v>205</v>
      </c>
      <c r="B366" s="4" t="s">
        <v>206</v>
      </c>
      <c r="C366" s="4" t="s">
        <v>43</v>
      </c>
      <c r="D366" s="16" t="n">
        <v>43952</v>
      </c>
      <c r="E366" s="4" t="n">
        <v>2020</v>
      </c>
      <c r="F366" s="4" t="n">
        <v>5</v>
      </c>
      <c r="G366" s="17" t="n">
        <v>16639285</v>
      </c>
      <c r="H366" s="18" t="n">
        <f aca="false">G366*$B$1/1000000</f>
        <v>36.6833441224094</v>
      </c>
    </row>
    <row r="367" customFormat="false" ht="15" hidden="false" customHeight="false" outlineLevel="0" collapsed="false">
      <c r="A367" s="4" t="s">
        <v>205</v>
      </c>
      <c r="B367" s="4" t="s">
        <v>206</v>
      </c>
      <c r="C367" s="4" t="s">
        <v>43</v>
      </c>
      <c r="D367" s="16" t="n">
        <v>43983</v>
      </c>
      <c r="E367" s="4" t="n">
        <v>2020</v>
      </c>
      <c r="F367" s="4" t="n">
        <v>6</v>
      </c>
      <c r="G367" s="17" t="n">
        <v>15604138</v>
      </c>
      <c r="H367" s="18" t="n">
        <f aca="false">G367*$B$1/1000000</f>
        <v>34.4012356292692</v>
      </c>
    </row>
    <row r="368" customFormat="false" ht="15" hidden="false" customHeight="false" outlineLevel="0" collapsed="false">
      <c r="A368" s="4" t="s">
        <v>205</v>
      </c>
      <c r="B368" s="4" t="s">
        <v>206</v>
      </c>
      <c r="C368" s="4" t="s">
        <v>43</v>
      </c>
      <c r="D368" s="16" t="n">
        <v>44013</v>
      </c>
      <c r="E368" s="4" t="n">
        <v>2020</v>
      </c>
      <c r="F368" s="4" t="n">
        <v>7</v>
      </c>
      <c r="G368" s="17" t="n">
        <v>17723069</v>
      </c>
      <c r="H368" s="18" t="n">
        <f aca="false">G368*$B$1/1000000</f>
        <v>39.0726788460085</v>
      </c>
    </row>
    <row r="369" customFormat="false" ht="15" hidden="false" customHeight="false" outlineLevel="0" collapsed="false">
      <c r="A369" s="4" t="s">
        <v>205</v>
      </c>
      <c r="B369" s="4" t="s">
        <v>206</v>
      </c>
      <c r="C369" s="4" t="s">
        <v>43</v>
      </c>
      <c r="D369" s="16" t="n">
        <v>44044</v>
      </c>
      <c r="E369" s="4" t="n">
        <v>2020</v>
      </c>
      <c r="F369" s="4" t="n">
        <v>8</v>
      </c>
      <c r="G369" s="17" t="n">
        <v>17469403</v>
      </c>
      <c r="H369" s="18" t="n">
        <f aca="false">G369*$B$1/1000000</f>
        <v>38.5134410440143</v>
      </c>
    </row>
    <row r="370" customFormat="false" ht="15" hidden="false" customHeight="false" outlineLevel="0" collapsed="false">
      <c r="A370" s="4" t="s">
        <v>205</v>
      </c>
      <c r="B370" s="4" t="s">
        <v>206</v>
      </c>
      <c r="C370" s="4" t="s">
        <v>43</v>
      </c>
      <c r="D370" s="16" t="n">
        <v>44075</v>
      </c>
      <c r="E370" s="4" t="n">
        <v>2020</v>
      </c>
      <c r="F370" s="4" t="n">
        <v>9</v>
      </c>
      <c r="G370" s="17" t="n">
        <v>19341124</v>
      </c>
      <c r="H370" s="18" t="n">
        <f aca="false">G370*$B$1/1000000</f>
        <v>42.639879502406</v>
      </c>
    </row>
    <row r="371" customFormat="false" ht="15" hidden="false" customHeight="false" outlineLevel="0" collapsed="false">
      <c r="A371" s="4" t="s">
        <v>205</v>
      </c>
      <c r="B371" s="4" t="s">
        <v>206</v>
      </c>
      <c r="C371" s="4" t="s">
        <v>43</v>
      </c>
      <c r="D371" s="16" t="n">
        <v>44105</v>
      </c>
      <c r="E371" s="4" t="n">
        <v>2020</v>
      </c>
      <c r="F371" s="4" t="n">
        <v>10</v>
      </c>
      <c r="G371" s="17" t="n">
        <v>17716878</v>
      </c>
      <c r="H371" s="18" t="n">
        <f aca="false">G371*$B$1/1000000</f>
        <v>39.0590300273566</v>
      </c>
    </row>
    <row r="372" customFormat="false" ht="15" hidden="false" customHeight="false" outlineLevel="0" collapsed="false">
      <c r="A372" s="4" t="s">
        <v>205</v>
      </c>
      <c r="B372" s="4" t="s">
        <v>206</v>
      </c>
      <c r="C372" s="4" t="s">
        <v>43</v>
      </c>
      <c r="D372" s="16" t="n">
        <v>44136</v>
      </c>
      <c r="E372" s="4" t="n">
        <v>2020</v>
      </c>
      <c r="F372" s="4" t="n">
        <v>11</v>
      </c>
      <c r="G372" s="17" t="n">
        <v>19609711</v>
      </c>
      <c r="H372" s="18" t="n">
        <f aca="false">G372*$B$1/1000000</f>
        <v>43.2320124785408</v>
      </c>
    </row>
    <row r="373" customFormat="false" ht="15" hidden="false" customHeight="false" outlineLevel="0" collapsed="false">
      <c r="A373" s="4" t="s">
        <v>205</v>
      </c>
      <c r="B373" s="4" t="s">
        <v>206</v>
      </c>
      <c r="C373" s="4" t="s">
        <v>43</v>
      </c>
      <c r="D373" s="16" t="n">
        <v>44166</v>
      </c>
      <c r="E373" s="4" t="n">
        <v>2020</v>
      </c>
      <c r="F373" s="4" t="n">
        <v>12</v>
      </c>
      <c r="G373" s="17" t="n">
        <v>17876504</v>
      </c>
      <c r="H373" s="18" t="n">
        <f aca="false">G373*$B$1/1000000</f>
        <v>39.410945117992</v>
      </c>
    </row>
    <row r="374" customFormat="false" ht="15" hidden="false" customHeight="false" outlineLevel="0" collapsed="false">
      <c r="A374" s="4" t="s">
        <v>205</v>
      </c>
      <c r="B374" s="4" t="s">
        <v>206</v>
      </c>
      <c r="C374" s="4" t="s">
        <v>43</v>
      </c>
      <c r="D374" s="16" t="n">
        <v>44197</v>
      </c>
      <c r="E374" s="4" t="n">
        <v>2021</v>
      </c>
      <c r="F374" s="4" t="n">
        <v>1</v>
      </c>
      <c r="G374" s="17" t="n">
        <v>15825907</v>
      </c>
      <c r="H374" s="18" t="n">
        <f aca="false">G374*$B$1/1000000</f>
        <v>34.8901525834943</v>
      </c>
    </row>
    <row r="375" customFormat="false" ht="15" hidden="false" customHeight="false" outlineLevel="0" collapsed="false">
      <c r="A375" s="4" t="s">
        <v>205</v>
      </c>
      <c r="B375" s="4" t="s">
        <v>206</v>
      </c>
      <c r="C375" s="4" t="s">
        <v>43</v>
      </c>
      <c r="D375" s="16" t="n">
        <v>44228</v>
      </c>
      <c r="E375" s="4" t="n">
        <v>2021</v>
      </c>
      <c r="F375" s="4" t="n">
        <v>2</v>
      </c>
      <c r="G375" s="17" t="n">
        <v>13895095</v>
      </c>
      <c r="H375" s="18" t="n">
        <f aca="false">G375*$B$1/1000000</f>
        <v>30.6334407697548</v>
      </c>
    </row>
    <row r="376" customFormat="false" ht="15" hidden="false" customHeight="false" outlineLevel="0" collapsed="false">
      <c r="A376" s="4" t="s">
        <v>205</v>
      </c>
      <c r="B376" s="4" t="s">
        <v>206</v>
      </c>
      <c r="C376" s="4" t="s">
        <v>43</v>
      </c>
      <c r="D376" s="16" t="n">
        <v>44256</v>
      </c>
      <c r="E376" s="4" t="n">
        <v>2021</v>
      </c>
      <c r="F376" s="4" t="n">
        <v>3</v>
      </c>
      <c r="G376" s="17" t="n">
        <v>15858233</v>
      </c>
      <c r="H376" s="18" t="n">
        <f aca="false">G376*$B$1/1000000</f>
        <v>34.9614192143682</v>
      </c>
    </row>
    <row r="377" customFormat="false" ht="15" hidden="false" customHeight="false" outlineLevel="0" collapsed="false">
      <c r="A377" s="4" t="s">
        <v>205</v>
      </c>
      <c r="B377" s="4" t="s">
        <v>206</v>
      </c>
      <c r="C377" s="4" t="s">
        <v>43</v>
      </c>
      <c r="D377" s="16" t="n">
        <v>44287</v>
      </c>
      <c r="E377" s="4" t="n">
        <v>2021</v>
      </c>
      <c r="F377" s="4" t="n">
        <v>4</v>
      </c>
      <c r="G377" s="17" t="n">
        <v>14121782</v>
      </c>
      <c r="H377" s="18" t="n">
        <f aca="false">G377*$B$1/1000000</f>
        <v>31.1332000580341</v>
      </c>
    </row>
    <row r="378" customFormat="false" ht="15" hidden="false" customHeight="false" outlineLevel="0" collapsed="false">
      <c r="A378" s="4" t="s">
        <v>205</v>
      </c>
      <c r="B378" s="4" t="s">
        <v>206</v>
      </c>
      <c r="C378" s="4" t="s">
        <v>43</v>
      </c>
      <c r="D378" s="16" t="n">
        <v>44317</v>
      </c>
      <c r="E378" s="4" t="n">
        <v>2021</v>
      </c>
      <c r="F378" s="4" t="n">
        <v>5</v>
      </c>
      <c r="G378" s="17" t="n">
        <v>14552500</v>
      </c>
      <c r="H378" s="18" t="n">
        <f aca="false">G378*$B$1/1000000</f>
        <v>32.0827707044721</v>
      </c>
    </row>
    <row r="379" customFormat="false" ht="15" hidden="false" customHeight="false" outlineLevel="0" collapsed="false">
      <c r="A379" s="4" t="s">
        <v>205</v>
      </c>
      <c r="B379" s="4" t="s">
        <v>206</v>
      </c>
      <c r="C379" s="4" t="s">
        <v>43</v>
      </c>
      <c r="D379" s="16" t="n">
        <v>44348</v>
      </c>
      <c r="E379" s="4" t="n">
        <v>2021</v>
      </c>
      <c r="F379" s="4" t="n">
        <v>6</v>
      </c>
      <c r="G379" s="17" t="n">
        <v>18354448</v>
      </c>
      <c r="H379" s="18" t="n">
        <f aca="false">G379*$B$1/1000000</f>
        <v>40.4646312723695</v>
      </c>
    </row>
    <row r="380" customFormat="false" ht="15" hidden="false" customHeight="false" outlineLevel="0" collapsed="false">
      <c r="A380" s="4" t="s">
        <v>205</v>
      </c>
      <c r="B380" s="4" t="s">
        <v>206</v>
      </c>
      <c r="C380" s="4" t="s">
        <v>43</v>
      </c>
      <c r="D380" s="16" t="n">
        <v>44378</v>
      </c>
      <c r="E380" s="4" t="n">
        <v>2021</v>
      </c>
      <c r="F380" s="4" t="n">
        <v>7</v>
      </c>
      <c r="G380" s="17" t="n">
        <v>16880789</v>
      </c>
      <c r="H380" s="18" t="n">
        <f aca="false">G380*$B$1/1000000</f>
        <v>37.2157693040766</v>
      </c>
    </row>
    <row r="381" customFormat="false" ht="15" hidden="false" customHeight="false" outlineLevel="0" collapsed="false">
      <c r="A381" s="4" t="s">
        <v>205</v>
      </c>
      <c r="B381" s="4" t="s">
        <v>206</v>
      </c>
      <c r="C381" s="4" t="s">
        <v>43</v>
      </c>
      <c r="D381" s="16" t="n">
        <v>44409</v>
      </c>
      <c r="E381" s="4" t="n">
        <v>2021</v>
      </c>
      <c r="F381" s="4" t="n">
        <v>8</v>
      </c>
      <c r="G381" s="17" t="n">
        <v>16584479</v>
      </c>
      <c r="H381" s="18" t="n">
        <f aca="false">G381*$B$1/1000000</f>
        <v>36.5625175749963</v>
      </c>
    </row>
    <row r="382" customFormat="false" ht="15" hidden="false" customHeight="false" outlineLevel="0" collapsed="false">
      <c r="A382" s="4" t="s">
        <v>205</v>
      </c>
      <c r="B382" s="4" t="s">
        <v>206</v>
      </c>
      <c r="C382" s="4" t="s">
        <v>43</v>
      </c>
      <c r="D382" s="16" t="n">
        <v>44440</v>
      </c>
      <c r="E382" s="4" t="n">
        <v>2021</v>
      </c>
      <c r="F382" s="4" t="n">
        <v>9</v>
      </c>
      <c r="G382" s="17" t="n">
        <v>19234184</v>
      </c>
      <c r="H382" s="18" t="n">
        <f aca="false">G382*$B$1/1000000</f>
        <v>42.4041171592253</v>
      </c>
    </row>
    <row r="383" customFormat="false" ht="15" hidden="false" customHeight="false" outlineLevel="0" collapsed="false">
      <c r="A383" s="4" t="s">
        <v>205</v>
      </c>
      <c r="B383" s="4" t="s">
        <v>206</v>
      </c>
      <c r="C383" s="4" t="s">
        <v>43</v>
      </c>
      <c r="D383" s="16" t="n">
        <v>44470</v>
      </c>
      <c r="E383" s="4" t="n">
        <v>2021</v>
      </c>
      <c r="F383" s="4" t="n">
        <v>10</v>
      </c>
      <c r="G383" s="17" t="n">
        <v>9863568</v>
      </c>
      <c r="H383" s="18" t="n">
        <f aca="false">G383*$B$1/1000000</f>
        <v>21.7454451449558</v>
      </c>
    </row>
    <row r="384" customFormat="false" ht="15" hidden="false" customHeight="false" outlineLevel="0" collapsed="false">
      <c r="A384" s="4" t="s">
        <v>205</v>
      </c>
      <c r="B384" s="4" t="s">
        <v>206</v>
      </c>
      <c r="C384" s="4" t="s">
        <v>43</v>
      </c>
      <c r="D384" s="16" t="n">
        <v>44501</v>
      </c>
      <c r="E384" s="4" t="n">
        <v>2021</v>
      </c>
      <c r="F384" s="4" t="n">
        <v>11</v>
      </c>
      <c r="G384" s="17" t="n">
        <v>12398118</v>
      </c>
      <c r="H384" s="18" t="n">
        <f aca="false">G384*$B$1/1000000</f>
        <v>27.3331714111657</v>
      </c>
    </row>
    <row r="385" customFormat="false" ht="15" hidden="false" customHeight="false" outlineLevel="0" collapsed="false">
      <c r="A385" s="4" t="s">
        <v>205</v>
      </c>
      <c r="B385" s="4" t="s">
        <v>206</v>
      </c>
      <c r="C385" s="4" t="s">
        <v>43</v>
      </c>
      <c r="D385" s="16" t="n">
        <v>44531</v>
      </c>
      <c r="E385" s="4" t="n">
        <v>2021</v>
      </c>
      <c r="F385" s="4" t="n">
        <v>12</v>
      </c>
      <c r="G385" s="17" t="n">
        <v>16235972</v>
      </c>
      <c r="H385" s="18" t="n">
        <f aca="false">G385*$B$1/1000000</f>
        <v>35.7941911589232</v>
      </c>
    </row>
    <row r="386" customFormat="false" ht="15" hidden="false" customHeight="false" outlineLevel="0" collapsed="false">
      <c r="A386" s="4" t="s">
        <v>205</v>
      </c>
      <c r="B386" s="4" t="s">
        <v>206</v>
      </c>
      <c r="C386" s="4" t="s">
        <v>43</v>
      </c>
      <c r="D386" s="16" t="n">
        <v>44562</v>
      </c>
      <c r="E386" s="4" t="n">
        <v>2022</v>
      </c>
      <c r="F386" s="4" t="n">
        <v>1</v>
      </c>
      <c r="G386" s="17" t="n">
        <v>15835921</v>
      </c>
      <c r="H386" s="18" t="n">
        <f aca="false">G386*$B$1/1000000</f>
        <v>34.9122296744295</v>
      </c>
    </row>
    <row r="387" customFormat="false" ht="15" hidden="false" customHeight="false" outlineLevel="0" collapsed="false">
      <c r="A387" s="4" t="s">
        <v>205</v>
      </c>
      <c r="B387" s="4" t="s">
        <v>206</v>
      </c>
      <c r="C387" s="4" t="s">
        <v>43</v>
      </c>
      <c r="D387" s="16" t="n">
        <v>44593</v>
      </c>
      <c r="E387" s="4" t="n">
        <v>2022</v>
      </c>
      <c r="F387" s="4" t="n">
        <v>2</v>
      </c>
      <c r="G387" s="17" t="n">
        <v>13938716</v>
      </c>
      <c r="H387" s="18" t="n">
        <f aca="false">G387*$B$1/1000000</f>
        <v>30.7296086131425</v>
      </c>
    </row>
    <row r="388" customFormat="false" ht="15" hidden="false" customHeight="false" outlineLevel="0" collapsed="false">
      <c r="A388" s="4" t="s">
        <v>205</v>
      </c>
      <c r="B388" s="4" t="s">
        <v>206</v>
      </c>
      <c r="C388" s="4" t="s">
        <v>43</v>
      </c>
      <c r="D388" s="16" t="n">
        <v>44621</v>
      </c>
      <c r="E388" s="4" t="n">
        <v>2022</v>
      </c>
      <c r="F388" s="4" t="n">
        <v>3</v>
      </c>
      <c r="G388" s="17" t="n">
        <v>19603088</v>
      </c>
      <c r="H388" s="18" t="n">
        <f aca="false">G388*$B$1/1000000</f>
        <v>43.2174112629163</v>
      </c>
    </row>
    <row r="389" customFormat="false" ht="15" hidden="false" customHeight="false" outlineLevel="0" collapsed="false">
      <c r="A389" s="4" t="s">
        <v>205</v>
      </c>
      <c r="B389" s="4" t="s">
        <v>206</v>
      </c>
      <c r="C389" s="4" t="s">
        <v>43</v>
      </c>
      <c r="D389" s="16" t="n">
        <v>44652</v>
      </c>
      <c r="E389" s="4" t="n">
        <v>2022</v>
      </c>
      <c r="F389" s="4" t="n">
        <v>4</v>
      </c>
      <c r="G389" s="17" t="n">
        <v>15675615</v>
      </c>
      <c r="H389" s="18" t="n">
        <f aca="false">G389*$B$1/1000000</f>
        <v>34.5588154404112</v>
      </c>
    </row>
    <row r="390" customFormat="false" ht="15" hidden="false" customHeight="false" outlineLevel="0" collapsed="false">
      <c r="A390" s="4" t="s">
        <v>205</v>
      </c>
      <c r="B390" s="4" t="s">
        <v>206</v>
      </c>
      <c r="C390" s="4" t="s">
        <v>43</v>
      </c>
      <c r="D390" s="16" t="n">
        <v>44682</v>
      </c>
      <c r="E390" s="4" t="n">
        <v>2022</v>
      </c>
      <c r="F390" s="4" t="n">
        <v>5</v>
      </c>
      <c r="G390" s="17" t="n">
        <v>17553740</v>
      </c>
      <c r="H390" s="18" t="n">
        <f aca="false">G390*$B$1/1000000</f>
        <v>38.6993723020732</v>
      </c>
    </row>
    <row r="391" customFormat="false" ht="15" hidden="false" customHeight="false" outlineLevel="0" collapsed="false">
      <c r="A391" s="4" t="s">
        <v>205</v>
      </c>
      <c r="B391" s="4" t="s">
        <v>206</v>
      </c>
      <c r="C391" s="4" t="s">
        <v>43</v>
      </c>
      <c r="D391" s="16" t="n">
        <v>44713</v>
      </c>
      <c r="E391" s="4" t="n">
        <v>2022</v>
      </c>
      <c r="F391" s="4" t="n">
        <v>6</v>
      </c>
      <c r="G391" s="17" t="n">
        <v>17822953</v>
      </c>
      <c r="H391" s="18" t="n">
        <f aca="false">G391*$B$1/1000000</f>
        <v>39.2928853719693</v>
      </c>
    </row>
    <row r="392" customFormat="false" ht="15" hidden="false" customHeight="false" outlineLevel="0" collapsed="false">
      <c r="A392" s="4" t="s">
        <v>205</v>
      </c>
      <c r="B392" s="4" t="s">
        <v>206</v>
      </c>
      <c r="C392" s="4" t="s">
        <v>43</v>
      </c>
      <c r="D392" s="16" t="n">
        <v>44743</v>
      </c>
      <c r="E392" s="4" t="n">
        <v>2022</v>
      </c>
      <c r="F392" s="4" t="n">
        <v>7</v>
      </c>
      <c r="G392" s="17" t="n">
        <v>15871219</v>
      </c>
      <c r="H392" s="18" t="n">
        <f aca="false">G392*$B$1/1000000</f>
        <v>34.9900484437355</v>
      </c>
    </row>
    <row r="393" customFormat="false" ht="15" hidden="false" customHeight="false" outlineLevel="0" collapsed="false">
      <c r="A393" s="4" t="s">
        <v>205</v>
      </c>
      <c r="B393" s="4" t="s">
        <v>206</v>
      </c>
      <c r="C393" s="4" t="s">
        <v>43</v>
      </c>
      <c r="D393" s="16" t="n">
        <v>44774</v>
      </c>
      <c r="E393" s="4" t="n">
        <v>2022</v>
      </c>
      <c r="F393" s="4" t="n">
        <v>8</v>
      </c>
      <c r="G393" s="17" t="n">
        <v>15085808</v>
      </c>
      <c r="H393" s="18" t="n">
        <f aca="false">G393*$B$1/1000000</f>
        <v>33.2585135856857</v>
      </c>
    </row>
    <row r="394" customFormat="false" ht="15" hidden="false" customHeight="false" outlineLevel="0" collapsed="false">
      <c r="A394" s="4" t="s">
        <v>205</v>
      </c>
      <c r="B394" s="4" t="s">
        <v>206</v>
      </c>
      <c r="C394" s="4" t="s">
        <v>43</v>
      </c>
      <c r="D394" s="16" t="n">
        <v>44805</v>
      </c>
      <c r="E394" s="4" t="n">
        <v>2022</v>
      </c>
      <c r="F394" s="4" t="n">
        <v>9</v>
      </c>
      <c r="G394" s="17" t="n">
        <v>20383141</v>
      </c>
      <c r="H394" s="18" t="n">
        <f aca="false">G394*$B$1/1000000</f>
        <v>44.9371337529582</v>
      </c>
    </row>
    <row r="395" customFormat="false" ht="15" hidden="false" customHeight="false" outlineLevel="0" collapsed="false">
      <c r="A395" s="4" t="s">
        <v>205</v>
      </c>
      <c r="B395" s="4" t="s">
        <v>206</v>
      </c>
      <c r="C395" s="4" t="s">
        <v>43</v>
      </c>
      <c r="D395" s="16" t="n">
        <v>44835</v>
      </c>
      <c r="E395" s="4" t="n">
        <v>2022</v>
      </c>
      <c r="F395" s="4" t="n">
        <v>10</v>
      </c>
      <c r="G395" s="17" t="n">
        <v>22299860</v>
      </c>
      <c r="H395" s="18" t="n">
        <f aca="false">G395*$B$1/1000000</f>
        <v>49.1627758200879</v>
      </c>
    </row>
    <row r="396" customFormat="false" ht="15" hidden="false" customHeight="false" outlineLevel="0" collapsed="false">
      <c r="A396" s="4" t="s">
        <v>205</v>
      </c>
      <c r="B396" s="4" t="s">
        <v>206</v>
      </c>
      <c r="C396" s="4" t="s">
        <v>43</v>
      </c>
      <c r="D396" s="16" t="n">
        <v>44866</v>
      </c>
      <c r="E396" s="4" t="n">
        <v>2022</v>
      </c>
      <c r="F396" s="4" t="n">
        <v>11</v>
      </c>
      <c r="G396" s="17" t="n">
        <v>19212854</v>
      </c>
      <c r="H396" s="18" t="n">
        <f aca="false">G396*$B$1/1000000</f>
        <v>42.3570925587013</v>
      </c>
    </row>
    <row r="397" customFormat="false" ht="15" hidden="false" customHeight="false" outlineLevel="0" collapsed="false">
      <c r="A397" s="4" t="s">
        <v>205</v>
      </c>
      <c r="B397" s="4" t="s">
        <v>206</v>
      </c>
      <c r="C397" s="4" t="s">
        <v>43</v>
      </c>
      <c r="D397" s="16" t="n">
        <v>44896</v>
      </c>
      <c r="E397" s="4" t="n">
        <v>2022</v>
      </c>
      <c r="F397" s="4" t="n">
        <v>12</v>
      </c>
      <c r="G397" s="17" t="n">
        <v>16145274</v>
      </c>
      <c r="H397" s="18" t="n">
        <f aca="false">G397*$B$1/1000000</f>
        <v>35.5942362963666</v>
      </c>
    </row>
    <row r="398" customFormat="false" ht="15" hidden="false" customHeight="false" outlineLevel="0" collapsed="false">
      <c r="A398" s="4" t="s">
        <v>205</v>
      </c>
      <c r="B398" s="4" t="s">
        <v>206</v>
      </c>
      <c r="C398" s="4" t="s">
        <v>43</v>
      </c>
      <c r="D398" s="16" t="n">
        <v>44927</v>
      </c>
      <c r="E398" s="4" t="n">
        <v>2023</v>
      </c>
      <c r="F398" s="4" t="n">
        <v>1</v>
      </c>
      <c r="G398" s="17" t="n">
        <v>20455677</v>
      </c>
      <c r="H398" s="18" t="n">
        <f aca="false">G398*$B$1/1000000</f>
        <v>45.0970482594568</v>
      </c>
    </row>
    <row r="399" customFormat="false" ht="15" hidden="false" customHeight="false" outlineLevel="0" collapsed="false">
      <c r="A399" s="4" t="s">
        <v>205</v>
      </c>
      <c r="B399" s="4" t="s">
        <v>206</v>
      </c>
      <c r="C399" s="4" t="s">
        <v>43</v>
      </c>
      <c r="D399" s="16" t="n">
        <v>44958</v>
      </c>
      <c r="E399" s="4" t="n">
        <v>2023</v>
      </c>
      <c r="F399" s="4" t="n">
        <v>2</v>
      </c>
      <c r="G399" s="17" t="n">
        <v>21646689</v>
      </c>
      <c r="H399" s="18" t="n">
        <f aca="false">G399*$B$1/1000000</f>
        <v>47.7227802575516</v>
      </c>
    </row>
    <row r="400" customFormat="false" ht="15" hidden="false" customHeight="false" outlineLevel="0" collapsed="false">
      <c r="A400" s="4" t="s">
        <v>205</v>
      </c>
      <c r="B400" s="4" t="s">
        <v>206</v>
      </c>
      <c r="C400" s="4" t="s">
        <v>43</v>
      </c>
      <c r="D400" s="16" t="n">
        <v>44986</v>
      </c>
      <c r="E400" s="4" t="n">
        <v>2023</v>
      </c>
      <c r="F400" s="4" t="n">
        <v>3</v>
      </c>
      <c r="G400" s="17" t="n">
        <v>23398341</v>
      </c>
      <c r="H400" s="18" t="n">
        <f aca="false">G400*$B$1/1000000</f>
        <v>51.5845118823604</v>
      </c>
    </row>
    <row r="401" customFormat="false" ht="15" hidden="false" customHeight="false" outlineLevel="0" collapsed="false">
      <c r="A401" s="4" t="s">
        <v>205</v>
      </c>
      <c r="B401" s="4" t="s">
        <v>206</v>
      </c>
      <c r="C401" s="4" t="s">
        <v>43</v>
      </c>
      <c r="D401" s="16" t="n">
        <v>45017</v>
      </c>
      <c r="E401" s="4" t="n">
        <v>2023</v>
      </c>
      <c r="F401" s="4" t="n">
        <v>4</v>
      </c>
      <c r="G401" s="17" t="n">
        <v>11859634</v>
      </c>
      <c r="H401" s="18" t="n">
        <f aca="false">G401*$B$1/1000000</f>
        <v>26.1460174032614</v>
      </c>
    </row>
    <row r="402" customFormat="false" ht="15" hidden="false" customHeight="false" outlineLevel="0" collapsed="false">
      <c r="A402" s="4" t="s">
        <v>205</v>
      </c>
      <c r="B402" s="4" t="s">
        <v>206</v>
      </c>
      <c r="C402" s="4" t="s">
        <v>43</v>
      </c>
      <c r="D402" s="16" t="n">
        <v>45047</v>
      </c>
      <c r="E402" s="4" t="n">
        <v>2023</v>
      </c>
      <c r="F402" s="4" t="n">
        <v>5</v>
      </c>
      <c r="G402" s="17" t="n">
        <v>12113543</v>
      </c>
      <c r="H402" s="18" t="n">
        <f aca="false">G402*$B$1/1000000</f>
        <v>26.7057909285527</v>
      </c>
    </row>
    <row r="403" customFormat="false" ht="15" hidden="false" customHeight="false" outlineLevel="0" collapsed="false">
      <c r="A403" s="4" t="s">
        <v>205</v>
      </c>
      <c r="B403" s="4" t="s">
        <v>206</v>
      </c>
      <c r="C403" s="4" t="s">
        <v>43</v>
      </c>
      <c r="D403" s="16" t="n">
        <v>45078</v>
      </c>
      <c r="E403" s="4" t="n">
        <v>2023</v>
      </c>
      <c r="F403" s="4" t="n">
        <v>6</v>
      </c>
      <c r="G403" s="17" t="n">
        <v>17684757</v>
      </c>
      <c r="H403" s="18" t="n">
        <f aca="false">G403*$B$1/1000000</f>
        <v>38.9882153441201</v>
      </c>
    </row>
    <row r="404" customFormat="false" ht="15" hidden="false" customHeight="false" outlineLevel="0" collapsed="false">
      <c r="A404" s="4" t="s">
        <v>205</v>
      </c>
      <c r="B404" s="4" t="s">
        <v>206</v>
      </c>
      <c r="C404" s="4" t="s">
        <v>43</v>
      </c>
      <c r="D404" s="16" t="n">
        <v>45108</v>
      </c>
      <c r="E404" s="4" t="n">
        <v>2023</v>
      </c>
      <c r="F404" s="4" t="n">
        <v>7</v>
      </c>
      <c r="G404" s="17" t="n">
        <v>8463129</v>
      </c>
      <c r="H404" s="18" t="n">
        <f aca="false">G404*$B$1/1000000</f>
        <v>18.6580056450348</v>
      </c>
    </row>
    <row r="405" customFormat="false" ht="15" hidden="false" customHeight="false" outlineLevel="0" collapsed="false">
      <c r="A405" s="4" t="s">
        <v>205</v>
      </c>
      <c r="B405" s="4" t="s">
        <v>206</v>
      </c>
      <c r="C405" s="4" t="s">
        <v>43</v>
      </c>
      <c r="D405" s="16" t="n">
        <v>45139</v>
      </c>
      <c r="E405" s="4" t="n">
        <v>2023</v>
      </c>
      <c r="F405" s="4" t="n">
        <v>8</v>
      </c>
      <c r="G405" s="17" t="n">
        <v>18343556</v>
      </c>
      <c r="H405" s="18" t="n">
        <f aca="false">G405*$B$1/1000000</f>
        <v>40.4406185227723</v>
      </c>
    </row>
    <row r="406" customFormat="false" ht="15" hidden="false" customHeight="false" outlineLevel="0" collapsed="false">
      <c r="A406" s="4" t="s">
        <v>205</v>
      </c>
      <c r="B406" s="4" t="s">
        <v>206</v>
      </c>
      <c r="C406" s="4" t="s">
        <v>43</v>
      </c>
      <c r="D406" s="16" t="n">
        <v>45170</v>
      </c>
      <c r="E406" s="4" t="n">
        <v>2023</v>
      </c>
      <c r="F406" s="4" t="n">
        <v>9</v>
      </c>
      <c r="G406" s="17" t="n">
        <v>14182079</v>
      </c>
      <c r="H406" s="18" t="n">
        <f aca="false">G406*$B$1/1000000</f>
        <v>31.2661321882638</v>
      </c>
    </row>
    <row r="407" customFormat="false" ht="15" hidden="false" customHeight="false" outlineLevel="0" collapsed="false">
      <c r="A407" s="4" t="s">
        <v>205</v>
      </c>
      <c r="B407" s="4" t="s">
        <v>206</v>
      </c>
      <c r="C407" s="4" t="s">
        <v>43</v>
      </c>
      <c r="D407" s="16" t="n">
        <v>45200</v>
      </c>
      <c r="E407" s="4" t="n">
        <v>2023</v>
      </c>
      <c r="F407" s="4" t="n">
        <v>10</v>
      </c>
      <c r="G407" s="17" t="n">
        <v>14441350</v>
      </c>
      <c r="H407" s="18" t="n">
        <f aca="false">G407*$B$1/1000000</f>
        <v>31.8377269000535</v>
      </c>
    </row>
    <row r="408" customFormat="false" ht="15" hidden="false" customHeight="false" outlineLevel="0" collapsed="false">
      <c r="A408" s="4" t="s">
        <v>205</v>
      </c>
      <c r="B408" s="4" t="s">
        <v>206</v>
      </c>
      <c r="C408" s="4" t="s">
        <v>43</v>
      </c>
      <c r="D408" s="16" t="n">
        <v>45231</v>
      </c>
      <c r="E408" s="4" t="n">
        <v>2023</v>
      </c>
      <c r="F408" s="4" t="n">
        <v>11</v>
      </c>
      <c r="G408" s="17" t="n">
        <v>12895415</v>
      </c>
      <c r="H408" s="18" t="n">
        <f aca="false">G408*$B$1/1000000</f>
        <v>28.4295236271438</v>
      </c>
    </row>
    <row r="409" customFormat="false" ht="15" hidden="false" customHeight="false" outlineLevel="0" collapsed="false">
      <c r="A409" s="4" t="s">
        <v>205</v>
      </c>
      <c r="B409" s="4" t="s">
        <v>206</v>
      </c>
      <c r="C409" s="4" t="s">
        <v>43</v>
      </c>
      <c r="D409" s="16" t="n">
        <v>45261</v>
      </c>
      <c r="E409" s="4" t="n">
        <v>2023</v>
      </c>
      <c r="F409" s="4" t="n">
        <v>12</v>
      </c>
      <c r="G409" s="17" t="n">
        <v>16287922</v>
      </c>
      <c r="H409" s="18" t="n">
        <f aca="false">G409*$B$1/1000000</f>
        <v>35.9087213041283</v>
      </c>
    </row>
    <row r="410" customFormat="false" ht="15" hidden="false" customHeight="false" outlineLevel="0" collapsed="false">
      <c r="A410" s="4" t="s">
        <v>205</v>
      </c>
      <c r="B410" s="4" t="s">
        <v>206</v>
      </c>
      <c r="C410" s="4" t="s">
        <v>43</v>
      </c>
      <c r="D410" s="16" t="n">
        <v>45292</v>
      </c>
      <c r="E410" s="4" t="n">
        <v>2024</v>
      </c>
      <c r="F410" s="4" t="n">
        <v>1</v>
      </c>
      <c r="G410" s="17" t="n">
        <v>12347633</v>
      </c>
      <c r="H410" s="18" t="n">
        <f aca="false">G410*$B$1/1000000</f>
        <v>27.2218710381016</v>
      </c>
    </row>
    <row r="411" customFormat="false" ht="15" hidden="false" customHeight="false" outlineLevel="0" collapsed="false">
      <c r="A411" s="4" t="s">
        <v>205</v>
      </c>
      <c r="B411" s="4" t="s">
        <v>206</v>
      </c>
      <c r="C411" s="4" t="s">
        <v>43</v>
      </c>
      <c r="D411" s="16" t="n">
        <v>45323</v>
      </c>
      <c r="E411" s="4" t="n">
        <v>2024</v>
      </c>
      <c r="F411" s="4" t="n">
        <v>2</v>
      </c>
      <c r="G411" s="17" t="n">
        <v>18299257</v>
      </c>
      <c r="H411" s="18" t="n">
        <f aca="false">G411*$B$1/1000000</f>
        <v>40.342955945247</v>
      </c>
    </row>
    <row r="412" customFormat="false" ht="15" hidden="false" customHeight="false" outlineLevel="0" collapsed="false">
      <c r="A412" s="4" t="s">
        <v>205</v>
      </c>
      <c r="B412" s="4" t="s">
        <v>206</v>
      </c>
      <c r="C412" s="4" t="s">
        <v>43</v>
      </c>
      <c r="D412" s="16" t="n">
        <v>45352</v>
      </c>
      <c r="E412" s="4" t="n">
        <v>2024</v>
      </c>
      <c r="F412" s="4" t="n">
        <v>3</v>
      </c>
      <c r="G412" s="17" t="n">
        <v>20231385</v>
      </c>
      <c r="H412" s="18" t="n">
        <f aca="false">G412*$B$1/1000000</f>
        <v>44.6025690423568</v>
      </c>
    </row>
    <row r="413" customFormat="false" ht="15" hidden="false" customHeight="false" outlineLevel="0" collapsed="false">
      <c r="A413" s="4" t="s">
        <v>205</v>
      </c>
      <c r="B413" s="4" t="s">
        <v>206</v>
      </c>
      <c r="C413" s="4" t="s">
        <v>43</v>
      </c>
      <c r="D413" s="16" t="n">
        <v>45383</v>
      </c>
      <c r="E413" s="4" t="n">
        <v>2024</v>
      </c>
      <c r="F413" s="4" t="n">
        <v>4</v>
      </c>
      <c r="G413" s="17" t="n">
        <v>7617669</v>
      </c>
      <c r="H413" s="18" t="n">
        <f aca="false">G413*$B$1/1000000</f>
        <v>16.7940854031655</v>
      </c>
    </row>
    <row r="414" customFormat="false" ht="15" hidden="false" customHeight="false" outlineLevel="0" collapsed="false">
      <c r="A414" s="4" t="s">
        <v>205</v>
      </c>
      <c r="B414" s="4" t="s">
        <v>206</v>
      </c>
      <c r="C414" s="4" t="s">
        <v>43</v>
      </c>
      <c r="D414" s="16" t="n">
        <v>45413</v>
      </c>
      <c r="E414" s="4" t="n">
        <v>2024</v>
      </c>
      <c r="F414" s="4" t="n">
        <v>5</v>
      </c>
      <c r="G414" s="17" t="n">
        <v>12099482</v>
      </c>
      <c r="H414" s="18" t="n">
        <f aca="false">G414*$B$1/1000000</f>
        <v>26.6747917298669</v>
      </c>
    </row>
    <row r="415" customFormat="false" ht="15" hidden="false" customHeight="false" outlineLevel="0" collapsed="false">
      <c r="A415" s="4" t="s">
        <v>205</v>
      </c>
      <c r="B415" s="4" t="s">
        <v>206</v>
      </c>
      <c r="C415" s="4" t="s">
        <v>43</v>
      </c>
      <c r="D415" s="16" t="n">
        <v>45444</v>
      </c>
      <c r="E415" s="4" t="n">
        <v>2024</v>
      </c>
      <c r="F415" s="4" t="n">
        <v>6</v>
      </c>
      <c r="G415" s="17" t="n">
        <v>14207430</v>
      </c>
      <c r="H415" s="18" t="n">
        <f aca="false">G415*$B$1/1000000</f>
        <v>31.3220215763503</v>
      </c>
    </row>
    <row r="416" customFormat="false" ht="15" hidden="false" customHeight="false" outlineLevel="0" collapsed="false">
      <c r="A416" s="4" t="s">
        <v>205</v>
      </c>
      <c r="B416" s="4" t="s">
        <v>206</v>
      </c>
      <c r="C416" s="4" t="s">
        <v>43</v>
      </c>
      <c r="D416" s="16" t="n">
        <v>45474</v>
      </c>
      <c r="E416" s="4" t="n">
        <v>2024</v>
      </c>
      <c r="F416" s="4" t="n">
        <v>7</v>
      </c>
      <c r="G416" s="17" t="n">
        <v>17512706</v>
      </c>
      <c r="H416" s="18" t="n">
        <f aca="false">G416*$B$1/1000000</f>
        <v>38.6089078174082</v>
      </c>
    </row>
    <row r="417" customFormat="false" ht="15" hidden="false" customHeight="false" outlineLevel="0" collapsed="false">
      <c r="A417" s="4" t="s">
        <v>205</v>
      </c>
      <c r="B417" s="4" t="s">
        <v>206</v>
      </c>
      <c r="C417" s="4" t="s">
        <v>43</v>
      </c>
      <c r="D417" s="16" t="n">
        <v>45505</v>
      </c>
      <c r="E417" s="4" t="n">
        <v>2024</v>
      </c>
      <c r="F417" s="4" t="n">
        <v>8</v>
      </c>
      <c r="G417" s="17" t="n">
        <v>13529578</v>
      </c>
      <c r="H417" s="18" t="n">
        <f aca="false">G417*$B$1/1000000</f>
        <v>29.8276137228841</v>
      </c>
    </row>
    <row r="418" customFormat="false" ht="15" hidden="false" customHeight="false" outlineLevel="0" collapsed="false">
      <c r="A418" s="4" t="s">
        <v>205</v>
      </c>
      <c r="B418" s="4" t="s">
        <v>206</v>
      </c>
      <c r="C418" s="4" t="s">
        <v>43</v>
      </c>
      <c r="D418" s="16" t="n">
        <v>45536</v>
      </c>
      <c r="E418" s="4" t="n">
        <v>2024</v>
      </c>
      <c r="F418" s="4" t="n">
        <v>9</v>
      </c>
      <c r="G418" s="17" t="n">
        <v>12612476</v>
      </c>
      <c r="H418" s="18" t="n">
        <f aca="false">G418*$B$1/1000000</f>
        <v>27.8057499071402</v>
      </c>
    </row>
    <row r="419" customFormat="false" ht="15" hidden="false" customHeight="false" outlineLevel="0" collapsed="false">
      <c r="A419" s="4" t="s">
        <v>205</v>
      </c>
      <c r="B419" s="4" t="s">
        <v>206</v>
      </c>
      <c r="C419" s="4" t="s">
        <v>43</v>
      </c>
      <c r="D419" s="16" t="n">
        <v>45566</v>
      </c>
      <c r="E419" s="4" t="n">
        <v>2024</v>
      </c>
      <c r="F419" s="4" t="n">
        <v>10</v>
      </c>
      <c r="G419" s="17" t="n">
        <v>10829287</v>
      </c>
      <c r="H419" s="18" t="n">
        <f aca="false">G419*$B$1/1000000</f>
        <v>23.8744910987061</v>
      </c>
    </row>
    <row r="420" customFormat="false" ht="15" hidden="false" customHeight="false" outlineLevel="0" collapsed="false">
      <c r="A420" s="4" t="s">
        <v>205</v>
      </c>
      <c r="B420" s="4" t="s">
        <v>206</v>
      </c>
      <c r="C420" s="4" t="s">
        <v>43</v>
      </c>
      <c r="D420" s="16" t="n">
        <v>45597</v>
      </c>
      <c r="E420" s="4" t="n">
        <v>2024</v>
      </c>
      <c r="F420" s="4" t="n">
        <v>11</v>
      </c>
      <c r="G420" s="17" t="n">
        <v>16841775</v>
      </c>
      <c r="H420" s="18" t="n">
        <f aca="false">G420*$B$1/1000000</f>
        <v>37.1297581571078</v>
      </c>
    </row>
    <row r="421" customFormat="false" ht="15" hidden="false" customHeight="false" outlineLevel="0" collapsed="false">
      <c r="A421" s="4" t="s">
        <v>205</v>
      </c>
      <c r="B421" s="4" t="s">
        <v>206</v>
      </c>
      <c r="C421" s="4" t="s">
        <v>43</v>
      </c>
      <c r="D421" s="16" t="n">
        <v>45627</v>
      </c>
      <c r="E421" s="4" t="n">
        <v>2024</v>
      </c>
      <c r="F421" s="4" t="n">
        <v>12</v>
      </c>
      <c r="G421" s="17" t="n">
        <v>16330691</v>
      </c>
      <c r="H421" s="18" t="n">
        <f aca="false">G421*$B$1/1000000</f>
        <v>36.0030108090422</v>
      </c>
    </row>
    <row r="422" customFormat="false" ht="15" hidden="false" customHeight="false" outlineLevel="0" collapsed="false">
      <c r="A422" s="4" t="s">
        <v>205</v>
      </c>
      <c r="B422" s="4" t="s">
        <v>206</v>
      </c>
      <c r="C422" s="4" t="s">
        <v>43</v>
      </c>
      <c r="D422" s="16" t="n">
        <v>45658</v>
      </c>
      <c r="E422" s="4" t="n">
        <v>2025</v>
      </c>
      <c r="F422" s="4" t="n">
        <v>1</v>
      </c>
      <c r="G422" s="17" t="n">
        <v>11235877</v>
      </c>
      <c r="H422" s="18" t="n">
        <f aca="false">G422*$B$1/1000000</f>
        <v>24.7708686105241</v>
      </c>
    </row>
    <row r="423" customFormat="false" ht="15" hidden="false" customHeight="false" outlineLevel="0" collapsed="false">
      <c r="A423" s="4" t="s">
        <v>205</v>
      </c>
      <c r="B423" s="4" t="s">
        <v>206</v>
      </c>
      <c r="C423" s="4" t="s">
        <v>43</v>
      </c>
      <c r="D423" s="16" t="n">
        <v>45689</v>
      </c>
      <c r="E423" s="4" t="n">
        <v>2025</v>
      </c>
      <c r="F423" s="4" t="n">
        <v>2</v>
      </c>
      <c r="G423" s="17" t="n">
        <v>22418036</v>
      </c>
      <c r="H423" s="18" t="n">
        <f aca="false">G423*$B$1/1000000</f>
        <v>49.4233093030477</v>
      </c>
    </row>
    <row r="424" customFormat="false" ht="15" hidden="false" customHeight="false" outlineLevel="0" collapsed="false">
      <c r="A424" s="4" t="s">
        <v>205</v>
      </c>
      <c r="B424" s="4" t="s">
        <v>206</v>
      </c>
      <c r="C424" s="4" t="s">
        <v>43</v>
      </c>
      <c r="D424" s="16" t="n">
        <v>45717</v>
      </c>
      <c r="E424" s="4" t="n">
        <v>2025</v>
      </c>
      <c r="F424" s="4" t="n">
        <v>3</v>
      </c>
      <c r="G424" s="17" t="n">
        <v>10702961</v>
      </c>
      <c r="H424" s="18" t="n">
        <f aca="false">G424*$B$1/1000000</f>
        <v>23.5959899413783</v>
      </c>
    </row>
    <row r="425" customFormat="false" ht="15" hidden="false" customHeight="false" outlineLevel="0" collapsed="false">
      <c r="A425" s="4" t="s">
        <v>205</v>
      </c>
      <c r="B425" s="4" t="s">
        <v>206</v>
      </c>
      <c r="C425" s="4" t="s">
        <v>43</v>
      </c>
      <c r="D425" s="16" t="n">
        <v>45748</v>
      </c>
      <c r="E425" s="4" t="n">
        <v>2025</v>
      </c>
      <c r="F425" s="4" t="n">
        <v>4</v>
      </c>
      <c r="G425" s="17" t="n">
        <v>4163673</v>
      </c>
      <c r="H425" s="18" t="n">
        <f aca="false">G425*$B$1/1000000</f>
        <v>9.17932768578606</v>
      </c>
    </row>
    <row r="426" customFormat="false" ht="15" hidden="false" customHeight="false" outlineLevel="0" collapsed="false">
      <c r="A426" s="4" t="s">
        <v>205</v>
      </c>
      <c r="B426" s="4" t="s">
        <v>206</v>
      </c>
      <c r="C426" s="4" t="s">
        <v>43</v>
      </c>
      <c r="D426" s="16" t="n">
        <v>45778</v>
      </c>
      <c r="E426" s="4" t="n">
        <v>2025</v>
      </c>
      <c r="F426" s="4" t="n">
        <v>5</v>
      </c>
      <c r="G426" s="17" t="n">
        <v>22468798</v>
      </c>
      <c r="H426" s="18" t="n">
        <f aca="false">G426*$B$1/1000000</f>
        <v>49.535220356578</v>
      </c>
    </row>
    <row r="427" customFormat="false" ht="15" hidden="false" customHeight="false" outlineLevel="0" collapsed="false">
      <c r="A427" s="4" t="s">
        <v>205</v>
      </c>
      <c r="B427" s="4" t="s">
        <v>206</v>
      </c>
      <c r="C427" s="4" t="s">
        <v>43</v>
      </c>
      <c r="D427" s="16" t="n">
        <v>45809</v>
      </c>
      <c r="E427" s="4" t="n">
        <v>2025</v>
      </c>
      <c r="F427" s="4" t="n">
        <v>6</v>
      </c>
      <c r="G427" s="17" t="n">
        <v>3497892</v>
      </c>
      <c r="H427" s="18" t="n">
        <f aca="false">G427*$B$1/1000000</f>
        <v>7.71153183198814</v>
      </c>
    </row>
    <row r="428" customFormat="false" ht="15" hidden="false" customHeight="false" outlineLevel="0" collapsed="false">
      <c r="A428" s="4" t="s">
        <v>205</v>
      </c>
      <c r="B428" s="4" t="s">
        <v>206</v>
      </c>
      <c r="C428" s="4" t="s">
        <v>43</v>
      </c>
      <c r="D428" s="16" t="n">
        <v>45839</v>
      </c>
      <c r="E428" s="4" t="n">
        <v>2025</v>
      </c>
      <c r="F428" s="4" t="n">
        <v>7</v>
      </c>
      <c r="G428" s="17" t="n">
        <v>13427774</v>
      </c>
      <c r="H428" s="18" t="n">
        <f aca="false">G428*$B$1/1000000</f>
        <v>29.6031743214893</v>
      </c>
    </row>
    <row r="429" customFormat="false" ht="15" hidden="false" customHeight="false" outlineLevel="0" collapsed="false">
      <c r="A429" s="4" t="s">
        <v>205</v>
      </c>
      <c r="B429" s="4" t="s">
        <v>206</v>
      </c>
      <c r="C429" s="4" t="s">
        <v>43</v>
      </c>
      <c r="D429" s="16" t="n">
        <v>45870</v>
      </c>
      <c r="E429" s="4" t="n">
        <v>2025</v>
      </c>
      <c r="F429" s="4" t="n">
        <v>8</v>
      </c>
      <c r="G429" s="17" t="n">
        <v>3628404</v>
      </c>
      <c r="H429" s="18" t="n">
        <f aca="false">G429*$B$1/1000000</f>
        <v>7.99926153961103</v>
      </c>
    </row>
    <row r="430" customFormat="false" ht="15" hidden="false" customHeight="false" outlineLevel="0" collapsed="false">
      <c r="A430" s="4" t="s">
        <v>205</v>
      </c>
      <c r="B430" s="4" t="s">
        <v>206</v>
      </c>
      <c r="C430" s="4" t="s">
        <v>43</v>
      </c>
      <c r="D430" s="16" t="n">
        <v>45901</v>
      </c>
      <c r="E430" s="4" t="n">
        <v>2025</v>
      </c>
      <c r="F430" s="4" t="n">
        <v>9</v>
      </c>
      <c r="G430" s="17" t="n">
        <v>11516086</v>
      </c>
      <c r="H430" s="18" t="n">
        <f aca="false">G430*$B$1/1000000</f>
        <v>25.3886237107701</v>
      </c>
    </row>
    <row r="431" customFormat="false" ht="15" hidden="false" customHeight="false" outlineLevel="0" collapsed="false">
      <c r="A431" s="4" t="s">
        <v>205</v>
      </c>
      <c r="B431" s="4" t="s">
        <v>206</v>
      </c>
      <c r="C431" s="4" t="s">
        <v>43</v>
      </c>
      <c r="D431" s="16" t="n">
        <v>45931</v>
      </c>
      <c r="E431" s="4" t="n">
        <v>2025</v>
      </c>
      <c r="F431" s="4" t="n">
        <v>10</v>
      </c>
      <c r="G431" s="17" t="n">
        <v>12052595</v>
      </c>
      <c r="H431" s="18" t="n">
        <f aca="false">G431*$B$1/1000000</f>
        <v>26.5714235889962</v>
      </c>
    </row>
    <row r="432" customFormat="false" ht="15" hidden="false" customHeight="false" outlineLevel="0" collapsed="false">
      <c r="A432" s="4" t="s">
        <v>205</v>
      </c>
      <c r="B432" s="4" t="s">
        <v>206</v>
      </c>
      <c r="C432" s="4" t="s">
        <v>43</v>
      </c>
      <c r="D432" s="16" t="n">
        <v>45962</v>
      </c>
      <c r="E432" s="4" t="n">
        <v>2025</v>
      </c>
      <c r="F432" s="4" t="n">
        <v>11</v>
      </c>
      <c r="G432" s="17" t="n">
        <v>16553261</v>
      </c>
      <c r="H432" s="18" t="n">
        <f aca="false">G432*$B$1/1000000</f>
        <v>36.4936936659874</v>
      </c>
    </row>
    <row r="433" customFormat="false" ht="15" hidden="false" customHeight="false" outlineLevel="0" collapsed="false">
      <c r="A433" s="4" t="s">
        <v>205</v>
      </c>
      <c r="B433" s="4" t="s">
        <v>206</v>
      </c>
      <c r="C433" s="4" t="s">
        <v>43</v>
      </c>
      <c r="D433" s="16" t="n">
        <v>45992</v>
      </c>
      <c r="E433" s="4" t="n">
        <v>2025</v>
      </c>
      <c r="F433" s="4" t="n">
        <v>12</v>
      </c>
      <c r="G433" s="17" t="n">
        <v>31642000</v>
      </c>
      <c r="H433" s="18" t="n">
        <f aca="false">G433*$B$1/1000000</f>
        <v>69.7586690005777</v>
      </c>
    </row>
    <row r="434" customFormat="false" ht="15" hidden="false" customHeight="false" outlineLevel="0" collapsed="false">
      <c r="A434" s="4" t="s">
        <v>205</v>
      </c>
      <c r="B434" s="4" t="s">
        <v>206</v>
      </c>
      <c r="C434" s="4" t="s">
        <v>43</v>
      </c>
      <c r="D434" s="16" t="n">
        <v>46023</v>
      </c>
      <c r="E434" s="4" t="n">
        <v>2026</v>
      </c>
      <c r="F434" s="4" t="n">
        <v>1</v>
      </c>
      <c r="G434" s="17" t="n">
        <v>7541352</v>
      </c>
      <c r="H434" s="18" t="n">
        <f aca="false">G434*$B$1/1000000</f>
        <v>16.6258352185337</v>
      </c>
    </row>
    <row r="435" customFormat="false" ht="15" hidden="false" customHeight="false" outlineLevel="0" collapsed="false">
      <c r="A435" s="4" t="s">
        <v>205</v>
      </c>
      <c r="B435" s="4" t="s">
        <v>206</v>
      </c>
      <c r="C435" s="4" t="s">
        <v>43</v>
      </c>
      <c r="D435" s="16" t="n">
        <v>46054</v>
      </c>
      <c r="E435" s="4" t="n">
        <v>2026</v>
      </c>
      <c r="F435" s="4" t="n">
        <v>2</v>
      </c>
      <c r="G435" s="17" t="n">
        <v>16526865</v>
      </c>
      <c r="H435" s="18" t="n">
        <f aca="false">G435*$B$1/1000000</f>
        <v>36.435500447261</v>
      </c>
    </row>
    <row r="436" customFormat="false" ht="15" hidden="false" customHeight="false" outlineLevel="0" collapsed="false">
      <c r="A436" s="4" t="s">
        <v>205</v>
      </c>
      <c r="B436" s="4" t="s">
        <v>206</v>
      </c>
      <c r="C436" s="4" t="s">
        <v>43</v>
      </c>
      <c r="D436" s="16" t="n">
        <v>46082</v>
      </c>
      <c r="E436" s="4" t="n">
        <v>2026</v>
      </c>
      <c r="F436" s="4" t="n">
        <v>3</v>
      </c>
      <c r="G436" s="17" t="n">
        <v>13936377</v>
      </c>
      <c r="H436" s="18" t="n">
        <f aca="false">G436*$B$1/1000000</f>
        <v>30.72445200083</v>
      </c>
    </row>
    <row r="437" customFormat="false" ht="15" hidden="false" customHeight="false" outlineLevel="0" collapsed="false">
      <c r="A437" s="4" t="s">
        <v>205</v>
      </c>
      <c r="B437" s="4" t="s">
        <v>206</v>
      </c>
      <c r="C437" s="4" t="s">
        <v>43</v>
      </c>
      <c r="D437" s="16" t="n">
        <v>46113</v>
      </c>
      <c r="E437" s="4" t="n">
        <v>2026</v>
      </c>
      <c r="F437" s="4" t="n">
        <v>4</v>
      </c>
      <c r="G437" s="17" t="n">
        <v>13211137</v>
      </c>
      <c r="H437" s="18" t="n">
        <f aca="false">G437*$B$1/1000000</f>
        <v>29.1255714905595</v>
      </c>
    </row>
    <row r="438" customFormat="false" ht="15" hidden="false" customHeight="false" outlineLevel="0" collapsed="false">
      <c r="A438" s="4" t="s">
        <v>205</v>
      </c>
      <c r="B438" s="4" t="s">
        <v>206</v>
      </c>
      <c r="C438" s="4" t="s">
        <v>43</v>
      </c>
      <c r="D438" s="16" t="n">
        <v>46143</v>
      </c>
      <c r="E438" s="4" t="n">
        <v>2026</v>
      </c>
      <c r="F438" s="4" t="n">
        <v>5</v>
      </c>
      <c r="G438" s="17" t="n">
        <v>18304259</v>
      </c>
      <c r="H438" s="18" t="n">
        <f aca="false">G438*$B$1/1000000</f>
        <v>40.3539834676015</v>
      </c>
    </row>
    <row r="439" customFormat="false" ht="15" hidden="false" customHeight="false" outlineLevel="0" collapsed="false">
      <c r="A439" s="4" t="s">
        <v>205</v>
      </c>
      <c r="B439" s="4" t="s">
        <v>206</v>
      </c>
      <c r="C439" s="4" t="s">
        <v>43</v>
      </c>
      <c r="D439" s="16" t="n">
        <v>46174</v>
      </c>
      <c r="E439" s="4" t="n">
        <v>2026</v>
      </c>
      <c r="F439" s="4" t="n">
        <v>6</v>
      </c>
      <c r="G439" s="17" t="n">
        <v>18086571</v>
      </c>
      <c r="H439" s="18" t="n">
        <f aca="false">G439*$B$1/1000000</f>
        <v>39.8740635782962</v>
      </c>
    </row>
    <row r="440" customFormat="false" ht="15" hidden="false" customHeight="false" outlineLevel="0" collapsed="false">
      <c r="A440" s="4" t="s">
        <v>205</v>
      </c>
      <c r="B440" s="4" t="s">
        <v>206</v>
      </c>
      <c r="C440" s="4" t="s">
        <v>43</v>
      </c>
      <c r="D440" s="16" t="n">
        <v>46204</v>
      </c>
      <c r="E440" s="4" t="n">
        <v>2026</v>
      </c>
      <c r="F440" s="4" t="n">
        <v>7</v>
      </c>
      <c r="G440" s="17" t="n">
        <v>18725713</v>
      </c>
      <c r="H440" s="18" t="n">
        <f aca="false">G440*$B$1/1000000</f>
        <v>41.2831304900706</v>
      </c>
    </row>
    <row r="441" customFormat="false" ht="15" hidden="false" customHeight="false" outlineLevel="0" collapsed="false">
      <c r="A441" s="4" t="s">
        <v>205</v>
      </c>
      <c r="B441" s="4" t="s">
        <v>206</v>
      </c>
      <c r="C441" s="4" t="s">
        <v>43</v>
      </c>
      <c r="D441" s="16" t="n">
        <v>46235</v>
      </c>
      <c r="E441" s="4" t="n">
        <v>2026</v>
      </c>
      <c r="F441" s="4" t="n">
        <v>8</v>
      </c>
      <c r="G441" s="17" t="n">
        <v>6782208</v>
      </c>
      <c r="H441" s="18" t="n">
        <f aca="false">G441*$B$1/1000000</f>
        <v>14.952209182892</v>
      </c>
    </row>
    <row r="442" customFormat="false" ht="15" hidden="false" customHeight="false" outlineLevel="0" collapsed="false">
      <c r="A442" s="4" t="s">
        <v>205</v>
      </c>
      <c r="B442" s="4" t="s">
        <v>206</v>
      </c>
      <c r="C442" s="4" t="s">
        <v>45</v>
      </c>
      <c r="D442" s="16" t="n">
        <v>45170</v>
      </c>
      <c r="E442" s="4" t="n">
        <v>2023</v>
      </c>
      <c r="F442" s="4" t="n">
        <v>9</v>
      </c>
      <c r="G442" s="17" t="n">
        <v>444830</v>
      </c>
      <c r="H442" s="18" t="n">
        <f aca="false">G442*$B$1/1000000</f>
        <v>0.980682280877536</v>
      </c>
    </row>
    <row r="443" customFormat="false" ht="15" hidden="false" customHeight="false" outlineLevel="0" collapsed="false">
      <c r="A443" s="4" t="s">
        <v>205</v>
      </c>
      <c r="B443" s="4" t="s">
        <v>206</v>
      </c>
      <c r="C443" s="4" t="s">
        <v>45</v>
      </c>
      <c r="D443" s="16" t="n">
        <v>45200</v>
      </c>
      <c r="E443" s="4" t="n">
        <v>2023</v>
      </c>
      <c r="F443" s="4" t="n">
        <v>10</v>
      </c>
      <c r="G443" s="17" t="n">
        <v>337560</v>
      </c>
      <c r="H443" s="18" t="n">
        <f aca="false">G443*$B$1/1000000</f>
        <v>0.744192412231686</v>
      </c>
    </row>
    <row r="444" customFormat="false" ht="15" hidden="false" customHeight="false" outlineLevel="0" collapsed="false">
      <c r="A444" s="4" t="s">
        <v>205</v>
      </c>
      <c r="B444" s="4" t="s">
        <v>206</v>
      </c>
      <c r="C444" s="4" t="s">
        <v>45</v>
      </c>
      <c r="D444" s="16" t="n">
        <v>45231</v>
      </c>
      <c r="E444" s="4" t="n">
        <v>2023</v>
      </c>
      <c r="F444" s="4" t="n">
        <v>11</v>
      </c>
      <c r="G444" s="17" t="n">
        <v>125290</v>
      </c>
      <c r="H444" s="18" t="n">
        <f aca="false">G444*$B$1/1000000</f>
        <v>0.276217168291587</v>
      </c>
    </row>
    <row r="445" customFormat="false" ht="15" hidden="false" customHeight="false" outlineLevel="0" collapsed="false">
      <c r="A445" s="4" t="s">
        <v>205</v>
      </c>
      <c r="B445" s="4" t="s">
        <v>206</v>
      </c>
      <c r="C445" s="4" t="s">
        <v>45</v>
      </c>
      <c r="D445" s="16" t="n">
        <v>45261</v>
      </c>
      <c r="E445" s="4" t="n">
        <v>2023</v>
      </c>
      <c r="F445" s="4" t="n">
        <v>12</v>
      </c>
      <c r="G445" s="17" t="n">
        <v>126390</v>
      </c>
      <c r="H445" s="18" t="n">
        <f aca="false">G445*$B$1/1000000</f>
        <v>0.278642253175622</v>
      </c>
    </row>
    <row r="446" customFormat="false" ht="15" hidden="false" customHeight="false" outlineLevel="0" collapsed="false">
      <c r="A446" s="4" t="s">
        <v>205</v>
      </c>
      <c r="B446" s="4" t="s">
        <v>206</v>
      </c>
      <c r="C446" s="4" t="s">
        <v>45</v>
      </c>
      <c r="D446" s="16" t="n">
        <v>45292</v>
      </c>
      <c r="E446" s="4" t="n">
        <v>2024</v>
      </c>
      <c r="F446" s="4" t="n">
        <v>1</v>
      </c>
      <c r="G446" s="17" t="n">
        <v>720320</v>
      </c>
      <c r="H446" s="18" t="n">
        <f aca="false">G446*$B$1/1000000</f>
        <v>1.58803376697099</v>
      </c>
    </row>
    <row r="447" customFormat="false" ht="15" hidden="false" customHeight="false" outlineLevel="0" collapsed="false">
      <c r="A447" s="4" t="s">
        <v>205</v>
      </c>
      <c r="B447" s="4" t="s">
        <v>206</v>
      </c>
      <c r="C447" s="4" t="s">
        <v>45</v>
      </c>
      <c r="D447" s="16" t="n">
        <v>45323</v>
      </c>
      <c r="E447" s="4" t="n">
        <v>2024</v>
      </c>
      <c r="F447" s="4" t="n">
        <v>2</v>
      </c>
      <c r="G447" s="17" t="n">
        <v>102100</v>
      </c>
      <c r="H447" s="18" t="n">
        <f aca="false">G447*$B$1/1000000</f>
        <v>0.225091969690885</v>
      </c>
    </row>
    <row r="448" customFormat="false" ht="15" hidden="false" customHeight="false" outlineLevel="0" collapsed="false">
      <c r="A448" s="4" t="s">
        <v>205</v>
      </c>
      <c r="B448" s="4" t="s">
        <v>206</v>
      </c>
      <c r="C448" s="4" t="s">
        <v>45</v>
      </c>
      <c r="D448" s="16" t="n">
        <v>45536</v>
      </c>
      <c r="E448" s="4" t="n">
        <v>2024</v>
      </c>
      <c r="F448" s="4" t="n">
        <v>9</v>
      </c>
      <c r="G448" s="17" t="n">
        <v>385340</v>
      </c>
      <c r="H448" s="18" t="n">
        <f aca="false">G448*$B$1/1000000</f>
        <v>0.849529281103679</v>
      </c>
    </row>
    <row r="449" customFormat="false" ht="15" hidden="false" customHeight="false" outlineLevel="0" collapsed="false">
      <c r="A449" s="4" t="s">
        <v>205</v>
      </c>
      <c r="B449" s="4" t="s">
        <v>206</v>
      </c>
      <c r="C449" s="4" t="s">
        <v>45</v>
      </c>
      <c r="D449" s="16" t="n">
        <v>45566</v>
      </c>
      <c r="E449" s="4" t="n">
        <v>2024</v>
      </c>
      <c r="F449" s="4" t="n">
        <v>10</v>
      </c>
      <c r="G449" s="17" t="n">
        <v>106540</v>
      </c>
      <c r="H449" s="18" t="n">
        <f aca="false">G449*$B$1/1000000</f>
        <v>0.234880494131899</v>
      </c>
    </row>
    <row r="450" customFormat="false" ht="15" hidden="false" customHeight="false" outlineLevel="0" collapsed="false">
      <c r="A450" s="4" t="s">
        <v>205</v>
      </c>
      <c r="B450" s="4" t="s">
        <v>206</v>
      </c>
      <c r="C450" s="4" t="s">
        <v>45</v>
      </c>
      <c r="D450" s="16" t="n">
        <v>45931</v>
      </c>
      <c r="E450" s="4" t="n">
        <v>2025</v>
      </c>
      <c r="F450" s="4" t="n">
        <v>10</v>
      </c>
      <c r="G450" s="17" t="n">
        <v>42700</v>
      </c>
      <c r="H450" s="18" t="n">
        <f aca="false">G450*$B$1/1000000</f>
        <v>0.094137385952995</v>
      </c>
    </row>
    <row r="451" customFormat="false" ht="15" hidden="false" customHeight="false" outlineLevel="0" collapsed="false">
      <c r="A451" s="4" t="s">
        <v>205</v>
      </c>
      <c r="B451" s="4" t="s">
        <v>206</v>
      </c>
      <c r="C451" s="4" t="s">
        <v>92</v>
      </c>
      <c r="D451" s="16" t="n">
        <v>43891</v>
      </c>
      <c r="E451" s="4" t="n">
        <v>2020</v>
      </c>
      <c r="F451" s="4" t="n">
        <v>3</v>
      </c>
      <c r="G451" s="17" t="n">
        <v>441410</v>
      </c>
      <c r="H451" s="18" t="n">
        <f aca="false">G451*$B$1/1000000</f>
        <v>0.973142471510809</v>
      </c>
    </row>
    <row r="452" customFormat="false" ht="15" hidden="false" customHeight="false" outlineLevel="0" collapsed="false">
      <c r="A452" s="4" t="s">
        <v>205</v>
      </c>
      <c r="B452" s="4" t="s">
        <v>206</v>
      </c>
      <c r="C452" s="4" t="s">
        <v>92</v>
      </c>
      <c r="D452" s="16" t="n">
        <v>43922</v>
      </c>
      <c r="E452" s="4" t="n">
        <v>2020</v>
      </c>
      <c r="F452" s="4" t="n">
        <v>4</v>
      </c>
      <c r="G452" s="17" t="n">
        <v>329350</v>
      </c>
      <c r="H452" s="18" t="n">
        <f aca="false">G452*$B$1/1000000</f>
        <v>0.726092460506298</v>
      </c>
    </row>
    <row r="453" customFormat="false" ht="15" hidden="false" customHeight="false" outlineLevel="0" collapsed="false">
      <c r="A453" s="4" t="s">
        <v>205</v>
      </c>
      <c r="B453" s="4" t="s">
        <v>206</v>
      </c>
      <c r="C453" s="4" t="s">
        <v>92</v>
      </c>
      <c r="D453" s="16" t="n">
        <v>43952</v>
      </c>
      <c r="E453" s="4" t="n">
        <v>2020</v>
      </c>
      <c r="F453" s="4" t="n">
        <v>5</v>
      </c>
      <c r="G453" s="17" t="n">
        <v>597620</v>
      </c>
      <c r="H453" s="18" t="n">
        <f aca="false">G453*$B$1/1000000</f>
        <v>1.31752657127</v>
      </c>
    </row>
    <row r="454" customFormat="false" ht="15" hidden="false" customHeight="false" outlineLevel="0" collapsed="false">
      <c r="A454" s="4" t="s">
        <v>205</v>
      </c>
      <c r="B454" s="4" t="s">
        <v>206</v>
      </c>
      <c r="C454" s="4" t="s">
        <v>92</v>
      </c>
      <c r="D454" s="16" t="n">
        <v>44013</v>
      </c>
      <c r="E454" s="4" t="n">
        <v>2020</v>
      </c>
      <c r="F454" s="4" t="n">
        <v>7</v>
      </c>
      <c r="G454" s="17" t="n">
        <v>3047131</v>
      </c>
      <c r="H454" s="18" t="n">
        <f aca="false">G454*$B$1/1000000</f>
        <v>6.71777393434041</v>
      </c>
    </row>
    <row r="455" customFormat="false" ht="15" hidden="false" customHeight="false" outlineLevel="0" collapsed="false">
      <c r="A455" s="4" t="s">
        <v>205</v>
      </c>
      <c r="B455" s="4" t="s">
        <v>206</v>
      </c>
      <c r="C455" s="4" t="s">
        <v>92</v>
      </c>
      <c r="D455" s="16" t="n">
        <v>45170</v>
      </c>
      <c r="E455" s="4" t="n">
        <v>2023</v>
      </c>
      <c r="F455" s="4" t="n">
        <v>9</v>
      </c>
      <c r="G455" s="17" t="n">
        <v>865043</v>
      </c>
      <c r="H455" s="18" t="n">
        <f aca="false">G455*$B$1/1000000</f>
        <v>1.90709336667299</v>
      </c>
    </row>
    <row r="456" customFormat="false" ht="15" hidden="false" customHeight="false" outlineLevel="0" collapsed="false">
      <c r="A456" s="4" t="s">
        <v>205</v>
      </c>
      <c r="B456" s="4" t="s">
        <v>206</v>
      </c>
      <c r="C456" s="4" t="s">
        <v>92</v>
      </c>
      <c r="D456" s="16" t="n">
        <v>45200</v>
      </c>
      <c r="E456" s="4" t="n">
        <v>2023</v>
      </c>
      <c r="F456" s="4" t="n">
        <v>10</v>
      </c>
      <c r="G456" s="17" t="n">
        <v>837525</v>
      </c>
      <c r="H456" s="18" t="n">
        <f aca="false">G456*$B$1/1000000</f>
        <v>1.84642656136492</v>
      </c>
    </row>
    <row r="457" customFormat="false" ht="15" hidden="false" customHeight="false" outlineLevel="0" collapsed="false">
      <c r="A457" s="4" t="s">
        <v>205</v>
      </c>
      <c r="B457" s="4" t="s">
        <v>206</v>
      </c>
      <c r="C457" s="4" t="s">
        <v>92</v>
      </c>
      <c r="D457" s="16" t="n">
        <v>45231</v>
      </c>
      <c r="E457" s="4" t="n">
        <v>2023</v>
      </c>
      <c r="F457" s="4" t="n">
        <v>11</v>
      </c>
      <c r="G457" s="17" t="n">
        <v>379715</v>
      </c>
      <c r="H457" s="18" t="n">
        <f aca="false">G457*$B$1/1000000</f>
        <v>0.837128278855773</v>
      </c>
    </row>
    <row r="458" customFormat="false" ht="15" hidden="false" customHeight="false" outlineLevel="0" collapsed="false">
      <c r="A458" s="4" t="s">
        <v>205</v>
      </c>
      <c r="B458" s="4" t="s">
        <v>206</v>
      </c>
      <c r="C458" s="4" t="s">
        <v>92</v>
      </c>
      <c r="D458" s="16" t="n">
        <v>45261</v>
      </c>
      <c r="E458" s="4" t="n">
        <v>2023</v>
      </c>
      <c r="F458" s="4" t="n">
        <v>12</v>
      </c>
      <c r="G458" s="17" t="n">
        <v>199725</v>
      </c>
      <c r="H458" s="18" t="n">
        <f aca="false">G458*$B$1/1000000</f>
        <v>0.440318253148991</v>
      </c>
    </row>
    <row r="459" customFormat="false" ht="15" hidden="false" customHeight="false" outlineLevel="0" collapsed="false">
      <c r="A459" s="4" t="s">
        <v>205</v>
      </c>
      <c r="B459" s="4" t="s">
        <v>206</v>
      </c>
      <c r="C459" s="4" t="s">
        <v>92</v>
      </c>
      <c r="D459" s="16" t="n">
        <v>45292</v>
      </c>
      <c r="E459" s="4" t="n">
        <v>2024</v>
      </c>
      <c r="F459" s="4" t="n">
        <v>1</v>
      </c>
      <c r="G459" s="17" t="n">
        <v>771440</v>
      </c>
      <c r="H459" s="18" t="n">
        <f aca="false">G459*$B$1/1000000</f>
        <v>1.70073407539996</v>
      </c>
    </row>
    <row r="460" customFormat="false" ht="15" hidden="false" customHeight="false" outlineLevel="0" collapsed="false">
      <c r="A460" s="4" t="s">
        <v>205</v>
      </c>
      <c r="B460" s="4" t="s">
        <v>206</v>
      </c>
      <c r="C460" s="4" t="s">
        <v>92</v>
      </c>
      <c r="D460" s="16" t="n">
        <v>45323</v>
      </c>
      <c r="E460" s="4" t="n">
        <v>2024</v>
      </c>
      <c r="F460" s="4" t="n">
        <v>2</v>
      </c>
      <c r="G460" s="17" t="n">
        <v>406260</v>
      </c>
      <c r="H460" s="18" t="n">
        <f aca="false">G460*$B$1/1000000</f>
        <v>0.895649986352781</v>
      </c>
    </row>
    <row r="461" customFormat="false" ht="15" hidden="false" customHeight="false" outlineLevel="0" collapsed="false">
      <c r="A461" s="4" t="s">
        <v>205</v>
      </c>
      <c r="B461" s="4" t="s">
        <v>206</v>
      </c>
      <c r="C461" s="4" t="s">
        <v>92</v>
      </c>
      <c r="D461" s="16" t="n">
        <v>45413</v>
      </c>
      <c r="E461" s="4" t="n">
        <v>2024</v>
      </c>
      <c r="F461" s="4" t="n">
        <v>5</v>
      </c>
      <c r="G461" s="17" t="n">
        <v>166830</v>
      </c>
      <c r="H461" s="18" t="n">
        <f aca="false">G461*$B$1/1000000</f>
        <v>0.367797192003236</v>
      </c>
    </row>
    <row r="462" customFormat="false" ht="15" hidden="false" customHeight="false" outlineLevel="0" collapsed="false">
      <c r="A462" s="4" t="s">
        <v>205</v>
      </c>
      <c r="B462" s="4" t="s">
        <v>206</v>
      </c>
      <c r="C462" s="4" t="s">
        <v>92</v>
      </c>
      <c r="D462" s="16" t="n">
        <v>45536</v>
      </c>
      <c r="E462" s="4" t="n">
        <v>2024</v>
      </c>
      <c r="F462" s="4" t="n">
        <v>9</v>
      </c>
      <c r="G462" s="17" t="n">
        <v>1709370</v>
      </c>
      <c r="H462" s="18" t="n">
        <f aca="false">G462*$B$1/1000000</f>
        <v>3.76851577111173</v>
      </c>
    </row>
    <row r="463" customFormat="false" ht="15" hidden="false" customHeight="false" outlineLevel="0" collapsed="false">
      <c r="A463" s="4" t="s">
        <v>205</v>
      </c>
      <c r="B463" s="4" t="s">
        <v>206</v>
      </c>
      <c r="C463" s="4" t="s">
        <v>92</v>
      </c>
      <c r="D463" s="16" t="n">
        <v>45748</v>
      </c>
      <c r="E463" s="4" t="n">
        <v>2025</v>
      </c>
      <c r="F463" s="4" t="n">
        <v>4</v>
      </c>
      <c r="G463" s="17" t="n">
        <v>2000890</v>
      </c>
      <c r="H463" s="18" t="n">
        <f aca="false">G463*$B$1/1000000</f>
        <v>4.41120735783345</v>
      </c>
    </row>
    <row r="464" customFormat="false" ht="15" hidden="false" customHeight="false" outlineLevel="0" collapsed="false">
      <c r="A464" s="4" t="s">
        <v>205</v>
      </c>
      <c r="B464" s="4" t="s">
        <v>206</v>
      </c>
      <c r="C464" s="4" t="s">
        <v>112</v>
      </c>
      <c r="D464" s="16" t="n">
        <v>45566</v>
      </c>
      <c r="E464" s="4" t="n">
        <v>2024</v>
      </c>
      <c r="F464" s="4" t="n">
        <v>10</v>
      </c>
      <c r="G464" s="17" t="n">
        <v>39637</v>
      </c>
      <c r="H464" s="18" t="n">
        <f aca="false">G464*$B$1/1000000</f>
        <v>0.0873846268622684</v>
      </c>
    </row>
    <row r="465" customFormat="false" ht="15" hidden="false" customHeight="false" outlineLevel="0" collapsed="false">
      <c r="A465" s="4" t="s">
        <v>205</v>
      </c>
      <c r="B465" s="4" t="s">
        <v>206</v>
      </c>
      <c r="C465" s="4" t="s">
        <v>112</v>
      </c>
      <c r="D465" s="16" t="n">
        <v>45717</v>
      </c>
      <c r="E465" s="4" t="n">
        <v>2025</v>
      </c>
      <c r="F465" s="4" t="n">
        <v>3</v>
      </c>
      <c r="G465" s="17" t="n">
        <v>23000</v>
      </c>
      <c r="H465" s="18" t="n">
        <f aca="false">G465*$B$1/1000000</f>
        <v>0.05070632030255</v>
      </c>
    </row>
    <row r="466" customFormat="false" ht="15" hidden="false" customHeight="false" outlineLevel="0" collapsed="false">
      <c r="A466" s="4" t="s">
        <v>205</v>
      </c>
      <c r="B466" s="4" t="s">
        <v>206</v>
      </c>
      <c r="C466" s="4" t="s">
        <v>112</v>
      </c>
      <c r="D466" s="16" t="n">
        <v>45778</v>
      </c>
      <c r="E466" s="4" t="n">
        <v>2025</v>
      </c>
      <c r="F466" s="4" t="n">
        <v>5</v>
      </c>
      <c r="G466" s="17" t="n">
        <v>23000</v>
      </c>
      <c r="H466" s="18" t="n">
        <f aca="false">G466*$B$1/1000000</f>
        <v>0.05070632030255</v>
      </c>
    </row>
    <row r="467" customFormat="false" ht="15" hidden="false" customHeight="false" outlineLevel="0" collapsed="false">
      <c r="A467" s="4" t="s">
        <v>205</v>
      </c>
      <c r="B467" s="4" t="s">
        <v>206</v>
      </c>
      <c r="C467" s="4" t="s">
        <v>112</v>
      </c>
      <c r="D467" s="16" t="n">
        <v>45809</v>
      </c>
      <c r="E467" s="4" t="n">
        <v>2025</v>
      </c>
      <c r="F467" s="4" t="n">
        <v>6</v>
      </c>
      <c r="G467" s="17" t="n">
        <v>42440</v>
      </c>
      <c r="H467" s="18" t="n">
        <f aca="false">G467*$B$1/1000000</f>
        <v>0.093564184071314</v>
      </c>
    </row>
    <row r="468" customFormat="false" ht="15" hidden="false" customHeight="false" outlineLevel="0" collapsed="false">
      <c r="A468" s="4" t="s">
        <v>205</v>
      </c>
      <c r="B468" s="4" t="s">
        <v>206</v>
      </c>
      <c r="C468" s="4" t="s">
        <v>112</v>
      </c>
      <c r="D468" s="16" t="n">
        <v>45870</v>
      </c>
      <c r="E468" s="4" t="n">
        <v>2025</v>
      </c>
      <c r="F468" s="4" t="n">
        <v>8</v>
      </c>
      <c r="G468" s="17" t="n">
        <v>133030</v>
      </c>
      <c r="H468" s="18" t="n">
        <f aca="false">G468*$B$1/1000000</f>
        <v>0.293280947384706</v>
      </c>
    </row>
    <row r="469" customFormat="false" ht="15" hidden="false" customHeight="false" outlineLevel="0" collapsed="false">
      <c r="A469" s="4" t="s">
        <v>205</v>
      </c>
      <c r="B469" s="4" t="s">
        <v>206</v>
      </c>
      <c r="C469" s="4" t="s">
        <v>112</v>
      </c>
      <c r="D469" s="16" t="n">
        <v>45901</v>
      </c>
      <c r="E469" s="4" t="n">
        <v>2025</v>
      </c>
      <c r="F469" s="4" t="n">
        <v>9</v>
      </c>
      <c r="G469" s="17" t="n">
        <v>65740</v>
      </c>
      <c r="H469" s="18" t="n">
        <f aca="false">G469*$B$1/1000000</f>
        <v>0.144931891160419</v>
      </c>
    </row>
    <row r="470" customFormat="false" ht="15" hidden="false" customHeight="false" outlineLevel="0" collapsed="false">
      <c r="A470" s="4" t="s">
        <v>205</v>
      </c>
      <c r="B470" s="4" t="s">
        <v>206</v>
      </c>
      <c r="C470" s="4" t="s">
        <v>112</v>
      </c>
      <c r="D470" s="16" t="n">
        <v>45931</v>
      </c>
      <c r="E470" s="4" t="n">
        <v>2025</v>
      </c>
      <c r="F470" s="4" t="n">
        <v>10</v>
      </c>
      <c r="G470" s="17" t="n">
        <v>22230</v>
      </c>
      <c r="H470" s="18" t="n">
        <f aca="false">G470*$B$1/1000000</f>
        <v>0.0490087608837255</v>
      </c>
    </row>
    <row r="471" customFormat="false" ht="15" hidden="false" customHeight="false" outlineLevel="0" collapsed="false">
      <c r="A471" s="4" t="s">
        <v>205</v>
      </c>
      <c r="B471" s="4" t="s">
        <v>206</v>
      </c>
      <c r="C471" s="4" t="s">
        <v>112</v>
      </c>
      <c r="D471" s="16" t="n">
        <v>45962</v>
      </c>
      <c r="E471" s="4" t="n">
        <v>2025</v>
      </c>
      <c r="F471" s="4" t="n">
        <v>11</v>
      </c>
      <c r="G471" s="17" t="n">
        <v>21890</v>
      </c>
      <c r="H471" s="18" t="n">
        <f aca="false">G471*$B$1/1000000</f>
        <v>0.0482591891922965</v>
      </c>
    </row>
    <row r="472" customFormat="false" ht="15" hidden="false" customHeight="false" outlineLevel="0" collapsed="false">
      <c r="A472" s="4" t="s">
        <v>205</v>
      </c>
      <c r="B472" s="4" t="s">
        <v>206</v>
      </c>
      <c r="C472" s="4" t="s">
        <v>112</v>
      </c>
      <c r="D472" s="16" t="n">
        <v>45992</v>
      </c>
      <c r="E472" s="4" t="n">
        <v>2025</v>
      </c>
      <c r="F472" s="4" t="n">
        <v>12</v>
      </c>
      <c r="G472" s="17" t="n">
        <v>21950</v>
      </c>
      <c r="H472" s="18" t="n">
        <f aca="false">G472*$B$1/1000000</f>
        <v>0.0483914665496075</v>
      </c>
    </row>
    <row r="473" customFormat="false" ht="15" hidden="false" customHeight="false" outlineLevel="0" collapsed="false">
      <c r="A473" s="4" t="s">
        <v>205</v>
      </c>
      <c r="B473" s="4" t="s">
        <v>206</v>
      </c>
      <c r="C473" s="4" t="s">
        <v>112</v>
      </c>
      <c r="D473" s="16" t="n">
        <v>46023</v>
      </c>
      <c r="E473" s="4" t="n">
        <v>2026</v>
      </c>
      <c r="F473" s="4" t="n">
        <v>1</v>
      </c>
      <c r="G473" s="17" t="n">
        <v>42500</v>
      </c>
      <c r="H473" s="18" t="n">
        <f aca="false">G473*$B$1/1000000</f>
        <v>0.093696461428625</v>
      </c>
    </row>
    <row r="474" customFormat="false" ht="15" hidden="false" customHeight="false" outlineLevel="0" collapsed="false">
      <c r="A474" s="4" t="s">
        <v>205</v>
      </c>
      <c r="B474" s="4" t="s">
        <v>206</v>
      </c>
      <c r="C474" s="4" t="s">
        <v>112</v>
      </c>
      <c r="D474" s="16" t="n">
        <v>46082</v>
      </c>
      <c r="E474" s="4" t="n">
        <v>2026</v>
      </c>
      <c r="F474" s="4" t="n">
        <v>3</v>
      </c>
      <c r="G474" s="17" t="n">
        <v>41810</v>
      </c>
      <c r="H474" s="18" t="n">
        <f aca="false">G474*$B$1/1000000</f>
        <v>0.0921752718195485</v>
      </c>
    </row>
    <row r="475" customFormat="false" ht="15" hidden="false" customHeight="false" outlineLevel="0" collapsed="false">
      <c r="A475" s="4" t="s">
        <v>205</v>
      </c>
      <c r="B475" s="4" t="s">
        <v>206</v>
      </c>
      <c r="C475" s="4" t="s">
        <v>112</v>
      </c>
      <c r="D475" s="16" t="n">
        <v>46113</v>
      </c>
      <c r="E475" s="4" t="n">
        <v>2026</v>
      </c>
      <c r="F475" s="4" t="n">
        <v>4</v>
      </c>
      <c r="G475" s="17" t="n">
        <v>87050</v>
      </c>
      <c r="H475" s="18" t="n">
        <f aca="false">G475*$B$1/1000000</f>
        <v>0.191912399232042</v>
      </c>
    </row>
    <row r="476" customFormat="false" ht="15" hidden="false" customHeight="false" outlineLevel="0" collapsed="false">
      <c r="A476" s="4" t="s">
        <v>205</v>
      </c>
      <c r="B476" s="4" t="s">
        <v>206</v>
      </c>
      <c r="C476" s="4" t="s">
        <v>112</v>
      </c>
      <c r="D476" s="16" t="n">
        <v>46143</v>
      </c>
      <c r="E476" s="4" t="n">
        <v>2026</v>
      </c>
      <c r="F476" s="4" t="n">
        <v>5</v>
      </c>
      <c r="G476" s="17" t="n">
        <v>108360</v>
      </c>
      <c r="H476" s="18" t="n">
        <f aca="false">G476*$B$1/1000000</f>
        <v>0.238892907303666</v>
      </c>
    </row>
    <row r="477" customFormat="false" ht="15" hidden="false" customHeight="false" outlineLevel="0" collapsed="false">
      <c r="A477" s="4" t="s">
        <v>205</v>
      </c>
      <c r="B477" s="4" t="s">
        <v>206</v>
      </c>
      <c r="C477" s="4" t="s">
        <v>112</v>
      </c>
      <c r="D477" s="16" t="n">
        <v>46174</v>
      </c>
      <c r="E477" s="4" t="n">
        <v>2026</v>
      </c>
      <c r="F477" s="4" t="n">
        <v>6</v>
      </c>
      <c r="G477" s="17" t="n">
        <v>283960</v>
      </c>
      <c r="H477" s="18" t="n">
        <f aca="false">G477*$B$1/1000000</f>
        <v>0.626024639700526</v>
      </c>
    </row>
    <row r="478" customFormat="false" ht="15" hidden="false" customHeight="false" outlineLevel="0" collapsed="false">
      <c r="A478" s="4" t="s">
        <v>205</v>
      </c>
      <c r="B478" s="4" t="s">
        <v>206</v>
      </c>
      <c r="C478" s="4" t="s">
        <v>112</v>
      </c>
      <c r="D478" s="16" t="n">
        <v>46204</v>
      </c>
      <c r="E478" s="4" t="n">
        <v>2026</v>
      </c>
      <c r="F478" s="4" t="n">
        <v>7</v>
      </c>
      <c r="G478" s="17" t="n">
        <v>185230</v>
      </c>
      <c r="H478" s="18" t="n">
        <f aca="false">G478*$B$1/1000000</f>
        <v>0.408362248245276</v>
      </c>
    </row>
    <row r="479" customFormat="false" ht="15" hidden="false" customHeight="false" outlineLevel="0" collapsed="false">
      <c r="A479" s="4" t="s">
        <v>205</v>
      </c>
      <c r="B479" s="4" t="s">
        <v>206</v>
      </c>
      <c r="C479" s="4" t="s">
        <v>112</v>
      </c>
      <c r="D479" s="16" t="n">
        <v>46235</v>
      </c>
      <c r="E479" s="4" t="n">
        <v>2026</v>
      </c>
      <c r="F479" s="4" t="n">
        <v>8</v>
      </c>
      <c r="G479" s="17" t="n">
        <v>165440</v>
      </c>
      <c r="H479" s="18" t="n">
        <f aca="false">G479*$B$1/1000000</f>
        <v>0.364732766558864</v>
      </c>
    </row>
    <row r="480" customFormat="false" ht="15" hidden="false" customHeight="false" outlineLevel="0" collapsed="false">
      <c r="A480" s="4" t="s">
        <v>205</v>
      </c>
      <c r="B480" s="4" t="s">
        <v>206</v>
      </c>
      <c r="C480" s="4" t="s">
        <v>53</v>
      </c>
      <c r="D480" s="16" t="n">
        <v>44075</v>
      </c>
      <c r="E480" s="4" t="n">
        <v>2020</v>
      </c>
      <c r="F480" s="4" t="n">
        <v>9</v>
      </c>
      <c r="G480" s="17" t="n">
        <v>3</v>
      </c>
      <c r="H480" s="18" t="n">
        <f aca="false">G480*$B$1/1000000</f>
        <v>6.61386786555E-006</v>
      </c>
    </row>
    <row r="481" customFormat="false" ht="15" hidden="false" customHeight="false" outlineLevel="0" collapsed="false">
      <c r="A481" s="4" t="s">
        <v>205</v>
      </c>
      <c r="B481" s="4" t="s">
        <v>206</v>
      </c>
      <c r="C481" s="4" t="s">
        <v>59</v>
      </c>
      <c r="D481" s="16" t="n">
        <v>45839</v>
      </c>
      <c r="E481" s="4" t="n">
        <v>2025</v>
      </c>
      <c r="F481" s="4" t="n">
        <v>7</v>
      </c>
      <c r="G481" s="17" t="n">
        <v>33</v>
      </c>
      <c r="H481" s="18" t="n">
        <f aca="false">G481*$B$1/1000000</f>
        <v>7.275254652105E-005</v>
      </c>
    </row>
    <row r="482" customFormat="false" ht="15" hidden="false" customHeight="false" outlineLevel="0" collapsed="false">
      <c r="A482" s="4" t="s">
        <v>205</v>
      </c>
      <c r="B482" s="4" t="s">
        <v>206</v>
      </c>
      <c r="C482" s="4" t="s">
        <v>51</v>
      </c>
      <c r="D482" s="16" t="n">
        <v>44197</v>
      </c>
      <c r="E482" s="4" t="n">
        <v>2021</v>
      </c>
      <c r="F482" s="4" t="n">
        <v>1</v>
      </c>
      <c r="G482" s="17" t="n">
        <v>336930</v>
      </c>
      <c r="H482" s="18" t="n">
        <f aca="false">G482*$B$1/1000000</f>
        <v>0.742803499979921</v>
      </c>
    </row>
    <row r="483" customFormat="false" ht="15" hidden="false" customHeight="false" outlineLevel="0" collapsed="false">
      <c r="A483" s="4" t="s">
        <v>205</v>
      </c>
      <c r="B483" s="4" t="s">
        <v>206</v>
      </c>
      <c r="C483" s="4" t="s">
        <v>51</v>
      </c>
      <c r="D483" s="16" t="n">
        <v>44228</v>
      </c>
      <c r="E483" s="4" t="n">
        <v>2021</v>
      </c>
      <c r="F483" s="4" t="n">
        <v>2</v>
      </c>
      <c r="G483" s="17" t="n">
        <v>159185</v>
      </c>
      <c r="H483" s="18" t="n">
        <f aca="false">G483*$B$1/1000000</f>
        <v>0.350942852059192</v>
      </c>
    </row>
    <row r="484" customFormat="false" ht="15" hidden="false" customHeight="false" outlineLevel="0" collapsed="false">
      <c r="A484" s="4" t="s">
        <v>205</v>
      </c>
      <c r="B484" s="4" t="s">
        <v>206</v>
      </c>
      <c r="C484" s="4" t="s">
        <v>51</v>
      </c>
      <c r="D484" s="16" t="n">
        <v>45597</v>
      </c>
      <c r="E484" s="4" t="n">
        <v>2024</v>
      </c>
      <c r="F484" s="4" t="n">
        <v>11</v>
      </c>
      <c r="G484" s="17" t="n">
        <v>39650</v>
      </c>
      <c r="H484" s="18" t="n">
        <f aca="false">G484*$B$1/1000000</f>
        <v>0.0874132869563525</v>
      </c>
    </row>
    <row r="485" customFormat="false" ht="15" hidden="false" customHeight="false" outlineLevel="0" collapsed="false">
      <c r="A485" s="4" t="s">
        <v>205</v>
      </c>
      <c r="B485" s="4" t="s">
        <v>206</v>
      </c>
      <c r="C485" s="4" t="s">
        <v>51</v>
      </c>
      <c r="D485" s="16" t="n">
        <v>45658</v>
      </c>
      <c r="E485" s="4" t="n">
        <v>2025</v>
      </c>
      <c r="F485" s="4" t="n">
        <v>1</v>
      </c>
      <c r="G485" s="17" t="n">
        <v>3476998</v>
      </c>
      <c r="H485" s="18" t="n">
        <f aca="false">G485*$B$1/1000000</f>
        <v>7.66546844692721</v>
      </c>
    </row>
    <row r="486" customFormat="false" ht="15" hidden="false" customHeight="false" outlineLevel="0" collapsed="false">
      <c r="A486" s="4" t="s">
        <v>205</v>
      </c>
      <c r="B486" s="4" t="s">
        <v>206</v>
      </c>
      <c r="C486" s="4" t="s">
        <v>51</v>
      </c>
      <c r="D486" s="16" t="n">
        <v>45778</v>
      </c>
      <c r="E486" s="4" t="n">
        <v>2025</v>
      </c>
      <c r="F486" s="4" t="n">
        <v>5</v>
      </c>
      <c r="G486" s="17" t="n">
        <v>1288740</v>
      </c>
      <c r="H486" s="18" t="n">
        <f aca="false">G486*$B$1/1000000</f>
        <v>2.84118535768297</v>
      </c>
    </row>
    <row r="487" customFormat="false" ht="15" hidden="false" customHeight="false" outlineLevel="0" collapsed="false">
      <c r="A487" s="4" t="s">
        <v>205</v>
      </c>
      <c r="B487" s="4" t="s">
        <v>206</v>
      </c>
      <c r="C487" s="4" t="s">
        <v>51</v>
      </c>
      <c r="D487" s="16" t="n">
        <v>45839</v>
      </c>
      <c r="E487" s="4" t="n">
        <v>2025</v>
      </c>
      <c r="F487" s="4" t="n">
        <v>7</v>
      </c>
      <c r="G487" s="17" t="n">
        <v>8108465</v>
      </c>
      <c r="H487" s="18" t="n">
        <f aca="false">G487*$B$1/1000000</f>
        <v>17.876105367479</v>
      </c>
    </row>
    <row r="488" customFormat="false" ht="15" hidden="false" customHeight="false" outlineLevel="0" collapsed="false">
      <c r="A488" s="4" t="s">
        <v>205</v>
      </c>
      <c r="B488" s="4" t="s">
        <v>206</v>
      </c>
      <c r="C488" s="4" t="s">
        <v>51</v>
      </c>
      <c r="D488" s="16" t="n">
        <v>45870</v>
      </c>
      <c r="E488" s="4" t="n">
        <v>2025</v>
      </c>
      <c r="F488" s="4" t="n">
        <v>8</v>
      </c>
      <c r="G488" s="17" t="n">
        <v>1580067</v>
      </c>
      <c r="H488" s="18" t="n">
        <f aca="false">G488*$B$1/1000000</f>
        <v>3.48345145223866</v>
      </c>
    </row>
    <row r="489" customFormat="false" ht="15" hidden="false" customHeight="false" outlineLevel="0" collapsed="false">
      <c r="A489" s="4" t="s">
        <v>205</v>
      </c>
      <c r="B489" s="4" t="s">
        <v>206</v>
      </c>
      <c r="C489" s="4" t="s">
        <v>51</v>
      </c>
      <c r="D489" s="16" t="n">
        <v>46113</v>
      </c>
      <c r="E489" s="4" t="n">
        <v>2026</v>
      </c>
      <c r="F489" s="4" t="n">
        <v>4</v>
      </c>
      <c r="G489" s="17" t="n">
        <v>1318721</v>
      </c>
      <c r="H489" s="18" t="n">
        <f aca="false">G489*$B$1/1000000</f>
        <v>2.90728214850865</v>
      </c>
    </row>
    <row r="490" customFormat="false" ht="15" hidden="false" customHeight="false" outlineLevel="0" collapsed="false">
      <c r="A490" s="4" t="s">
        <v>205</v>
      </c>
      <c r="B490" s="4" t="s">
        <v>206</v>
      </c>
      <c r="C490" s="4" t="s">
        <v>130</v>
      </c>
      <c r="D490" s="16" t="n">
        <v>45536</v>
      </c>
      <c r="E490" s="4" t="n">
        <v>2024</v>
      </c>
      <c r="F490" s="4" t="n">
        <v>9</v>
      </c>
      <c r="G490" s="17" t="n">
        <v>700915</v>
      </c>
      <c r="H490" s="18" t="n">
        <f aca="false">G490*$B$1/1000000</f>
        <v>1.54525306499399</v>
      </c>
    </row>
    <row r="491" customFormat="false" ht="15" hidden="false" customHeight="false" outlineLevel="0" collapsed="false">
      <c r="A491" s="4" t="s">
        <v>205</v>
      </c>
      <c r="B491" s="4" t="s">
        <v>206</v>
      </c>
      <c r="C491" s="4" t="s">
        <v>130</v>
      </c>
      <c r="D491" s="16" t="n">
        <v>45627</v>
      </c>
      <c r="E491" s="4" t="n">
        <v>2024</v>
      </c>
      <c r="F491" s="4" t="n">
        <v>12</v>
      </c>
      <c r="G491" s="17" t="n">
        <v>2794144</v>
      </c>
      <c r="H491" s="18" t="n">
        <f aca="false">G491*$B$1/1000000</f>
        <v>6.16003307110645</v>
      </c>
    </row>
    <row r="492" customFormat="false" ht="15" hidden="false" customHeight="false" outlineLevel="0" collapsed="false">
      <c r="A492" s="4" t="s">
        <v>205</v>
      </c>
      <c r="B492" s="4" t="s">
        <v>206</v>
      </c>
      <c r="C492" s="4" t="s">
        <v>130</v>
      </c>
      <c r="D492" s="16" t="n">
        <v>45658</v>
      </c>
      <c r="E492" s="4" t="n">
        <v>2025</v>
      </c>
      <c r="F492" s="4" t="n">
        <v>1</v>
      </c>
      <c r="G492" s="17" t="n">
        <v>2781520</v>
      </c>
      <c r="H492" s="18" t="n">
        <f aca="false">G492*$B$1/1000000</f>
        <v>6.13220191512821</v>
      </c>
    </row>
    <row r="493" customFormat="false" ht="15" hidden="false" customHeight="false" outlineLevel="0" collapsed="false">
      <c r="A493" s="4" t="s">
        <v>205</v>
      </c>
      <c r="B493" s="4" t="s">
        <v>206</v>
      </c>
      <c r="C493" s="4" t="s">
        <v>130</v>
      </c>
      <c r="D493" s="16" t="n">
        <v>45689</v>
      </c>
      <c r="E493" s="4" t="n">
        <v>2025</v>
      </c>
      <c r="F493" s="4" t="n">
        <v>2</v>
      </c>
      <c r="G493" s="17" t="n">
        <v>998631</v>
      </c>
      <c r="H493" s="18" t="n">
        <f aca="false">G493*$B$1/1000000</f>
        <v>2.20160449348069</v>
      </c>
    </row>
    <row r="494" customFormat="false" ht="15" hidden="false" customHeight="false" outlineLevel="0" collapsed="false">
      <c r="A494" s="4" t="s">
        <v>205</v>
      </c>
      <c r="B494" s="4" t="s">
        <v>206</v>
      </c>
      <c r="C494" s="4" t="s">
        <v>130</v>
      </c>
      <c r="D494" s="16" t="n">
        <v>45717</v>
      </c>
      <c r="E494" s="4" t="n">
        <v>2025</v>
      </c>
      <c r="F494" s="4" t="n">
        <v>3</v>
      </c>
      <c r="G494" s="17" t="n">
        <v>2100797</v>
      </c>
      <c r="H494" s="18" t="n">
        <f aca="false">G494*$B$1/1000000</f>
        <v>4.63146459011462</v>
      </c>
    </row>
    <row r="495" customFormat="false" ht="15" hidden="false" customHeight="false" outlineLevel="0" collapsed="false">
      <c r="A495" s="4" t="s">
        <v>205</v>
      </c>
      <c r="B495" s="4" t="s">
        <v>206</v>
      </c>
      <c r="C495" s="4" t="s">
        <v>130</v>
      </c>
      <c r="D495" s="16" t="n">
        <v>45778</v>
      </c>
      <c r="E495" s="4" t="n">
        <v>2025</v>
      </c>
      <c r="F495" s="4" t="n">
        <v>5</v>
      </c>
      <c r="G495" s="17" t="n">
        <v>2359793</v>
      </c>
      <c r="H495" s="18" t="n">
        <f aca="false">G495*$B$1/1000000</f>
        <v>5.20245303068328</v>
      </c>
    </row>
    <row r="496" customFormat="false" ht="15" hidden="false" customHeight="false" outlineLevel="0" collapsed="false">
      <c r="A496" s="4" t="s">
        <v>205</v>
      </c>
      <c r="B496" s="4" t="s">
        <v>206</v>
      </c>
      <c r="C496" s="4" t="s">
        <v>130</v>
      </c>
      <c r="D496" s="16" t="n">
        <v>45809</v>
      </c>
      <c r="E496" s="4" t="n">
        <v>2025</v>
      </c>
      <c r="F496" s="4" t="n">
        <v>6</v>
      </c>
      <c r="G496" s="17" t="n">
        <v>5615861</v>
      </c>
      <c r="H496" s="18" t="n">
        <f aca="false">G496*$B$1/1000000</f>
        <v>12.3808542017652</v>
      </c>
    </row>
    <row r="497" customFormat="false" ht="15" hidden="false" customHeight="false" outlineLevel="0" collapsed="false">
      <c r="A497" s="4" t="s">
        <v>205</v>
      </c>
      <c r="B497" s="4" t="s">
        <v>206</v>
      </c>
      <c r="C497" s="4" t="s">
        <v>130</v>
      </c>
      <c r="D497" s="16" t="n">
        <v>45839</v>
      </c>
      <c r="E497" s="4" t="n">
        <v>2025</v>
      </c>
      <c r="F497" s="4" t="n">
        <v>7</v>
      </c>
      <c r="G497" s="17" t="n">
        <v>3637461</v>
      </c>
      <c r="H497" s="18" t="n">
        <f aca="false">G497*$B$1/1000000</f>
        <v>8.01922880669712</v>
      </c>
    </row>
    <row r="498" customFormat="false" ht="15" hidden="false" customHeight="false" outlineLevel="0" collapsed="false">
      <c r="A498" s="4" t="s">
        <v>205</v>
      </c>
      <c r="B498" s="4" t="s">
        <v>206</v>
      </c>
      <c r="C498" s="4" t="s">
        <v>130</v>
      </c>
      <c r="D498" s="16" t="n">
        <v>45901</v>
      </c>
      <c r="E498" s="4" t="n">
        <v>2025</v>
      </c>
      <c r="F498" s="4" t="n">
        <v>9</v>
      </c>
      <c r="G498" s="17" t="n">
        <v>7426382</v>
      </c>
      <c r="H498" s="18" t="n">
        <f aca="false">G498*$B$1/1000000</f>
        <v>16.3723697556996</v>
      </c>
    </row>
    <row r="499" customFormat="false" ht="15" hidden="false" customHeight="false" outlineLevel="0" collapsed="false">
      <c r="A499" s="4" t="s">
        <v>205</v>
      </c>
      <c r="B499" s="4" t="s">
        <v>206</v>
      </c>
      <c r="C499" s="4" t="s">
        <v>130</v>
      </c>
      <c r="D499" s="16" t="n">
        <v>46054</v>
      </c>
      <c r="E499" s="4" t="n">
        <v>2026</v>
      </c>
      <c r="F499" s="4" t="n">
        <v>2</v>
      </c>
      <c r="G499" s="17" t="n">
        <v>2551020</v>
      </c>
      <c r="H499" s="18" t="n">
        <f aca="false">G499*$B$1/1000000</f>
        <v>5.62403640079179</v>
      </c>
    </row>
    <row r="500" customFormat="false" ht="15" hidden="false" customHeight="false" outlineLevel="0" collapsed="false">
      <c r="A500" s="4" t="s">
        <v>205</v>
      </c>
      <c r="B500" s="4" t="s">
        <v>206</v>
      </c>
      <c r="C500" s="4" t="s">
        <v>130</v>
      </c>
      <c r="D500" s="16" t="n">
        <v>46082</v>
      </c>
      <c r="E500" s="4" t="n">
        <v>2026</v>
      </c>
      <c r="F500" s="4" t="n">
        <v>3</v>
      </c>
      <c r="G500" s="17" t="n">
        <v>3348163</v>
      </c>
      <c r="H500" s="18" t="n">
        <f aca="false">G500*$B$1/1000000</f>
        <v>7.38143589144116</v>
      </c>
    </row>
    <row r="501" customFormat="false" ht="15" hidden="false" customHeight="false" outlineLevel="0" collapsed="false">
      <c r="A501" s="4" t="s">
        <v>205</v>
      </c>
      <c r="B501" s="4" t="s">
        <v>206</v>
      </c>
      <c r="C501" s="4" t="s">
        <v>130</v>
      </c>
      <c r="D501" s="16" t="n">
        <v>46143</v>
      </c>
      <c r="E501" s="4" t="n">
        <v>2026</v>
      </c>
      <c r="F501" s="4" t="n">
        <v>5</v>
      </c>
      <c r="G501" s="17" t="n">
        <v>14672411</v>
      </c>
      <c r="H501" s="18" t="n">
        <f aca="false">G501*$B$1/1000000</f>
        <v>32.3471292076808</v>
      </c>
    </row>
    <row r="502" customFormat="false" ht="15" hidden="false" customHeight="false" outlineLevel="0" collapsed="false">
      <c r="A502" s="4" t="s">
        <v>205</v>
      </c>
      <c r="B502" s="4" t="s">
        <v>206</v>
      </c>
      <c r="C502" s="4" t="s">
        <v>130</v>
      </c>
      <c r="D502" s="16" t="n">
        <v>46204</v>
      </c>
      <c r="E502" s="4" t="n">
        <v>2026</v>
      </c>
      <c r="F502" s="4" t="n">
        <v>7</v>
      </c>
      <c r="G502" s="17" t="n">
        <v>4626876</v>
      </c>
      <c r="H502" s="18" t="n">
        <f aca="false">G502*$B$1/1000000</f>
        <v>10.2005154980948</v>
      </c>
    </row>
    <row r="503" customFormat="false" ht="15" hidden="false" customHeight="false" outlineLevel="0" collapsed="false">
      <c r="A503" s="4" t="s">
        <v>205</v>
      </c>
      <c r="B503" s="4" t="s">
        <v>206</v>
      </c>
      <c r="C503" s="4" t="s">
        <v>163</v>
      </c>
      <c r="D503" s="16" t="n">
        <v>45170</v>
      </c>
      <c r="E503" s="4" t="n">
        <v>2023</v>
      </c>
      <c r="F503" s="4" t="n">
        <v>9</v>
      </c>
      <c r="G503" s="17" t="n">
        <v>115110</v>
      </c>
      <c r="H503" s="18" t="n">
        <f aca="false">G503*$B$1/1000000</f>
        <v>0.253774110001154</v>
      </c>
    </row>
    <row r="504" customFormat="false" ht="15" hidden="false" customHeight="false" outlineLevel="0" collapsed="false">
      <c r="A504" s="4" t="s">
        <v>205</v>
      </c>
      <c r="B504" s="4" t="s">
        <v>206</v>
      </c>
      <c r="C504" s="4" t="s">
        <v>163</v>
      </c>
      <c r="D504" s="16" t="n">
        <v>45200</v>
      </c>
      <c r="E504" s="4" t="n">
        <v>2023</v>
      </c>
      <c r="F504" s="4" t="n">
        <v>10</v>
      </c>
      <c r="G504" s="17" t="n">
        <v>119850</v>
      </c>
      <c r="H504" s="18" t="n">
        <f aca="false">G504*$B$1/1000000</f>
        <v>0.264224021228723</v>
      </c>
    </row>
    <row r="505" customFormat="false" ht="15" hidden="false" customHeight="false" outlineLevel="0" collapsed="false">
      <c r="A505" s="4" t="s">
        <v>205</v>
      </c>
      <c r="B505" s="4" t="s">
        <v>206</v>
      </c>
      <c r="C505" s="4" t="s">
        <v>163</v>
      </c>
      <c r="D505" s="16" t="n">
        <v>45231</v>
      </c>
      <c r="E505" s="4" t="n">
        <v>2023</v>
      </c>
      <c r="F505" s="4" t="n">
        <v>11</v>
      </c>
      <c r="G505" s="17" t="n">
        <v>26640</v>
      </c>
      <c r="H505" s="18" t="n">
        <f aca="false">G505*$B$1/1000000</f>
        <v>0.058731146646084</v>
      </c>
    </row>
    <row r="506" customFormat="false" ht="15" hidden="false" customHeight="false" outlineLevel="0" collapsed="false">
      <c r="A506" s="4" t="s">
        <v>205</v>
      </c>
      <c r="B506" s="4" t="s">
        <v>206</v>
      </c>
      <c r="C506" s="4" t="s">
        <v>163</v>
      </c>
      <c r="D506" s="16" t="n">
        <v>45261</v>
      </c>
      <c r="E506" s="4" t="n">
        <v>2023</v>
      </c>
      <c r="F506" s="4" t="n">
        <v>12</v>
      </c>
      <c r="G506" s="17" t="n">
        <v>53155</v>
      </c>
      <c r="H506" s="18" t="n">
        <f aca="false">G506*$B$1/1000000</f>
        <v>0.117186715464437</v>
      </c>
    </row>
    <row r="507" customFormat="false" ht="15" hidden="false" customHeight="false" outlineLevel="0" collapsed="false">
      <c r="A507" s="4" t="s">
        <v>205</v>
      </c>
      <c r="B507" s="4" t="s">
        <v>206</v>
      </c>
      <c r="C507" s="4" t="s">
        <v>163</v>
      </c>
      <c r="D507" s="16" t="n">
        <v>45292</v>
      </c>
      <c r="E507" s="4" t="n">
        <v>2024</v>
      </c>
      <c r="F507" s="4" t="n">
        <v>1</v>
      </c>
      <c r="G507" s="17" t="n">
        <v>43071</v>
      </c>
      <c r="H507" s="18" t="n">
        <f aca="false">G507*$B$1/1000000</f>
        <v>0.0949553009457014</v>
      </c>
    </row>
    <row r="508" customFormat="false" ht="15" hidden="false" customHeight="false" outlineLevel="0" collapsed="false">
      <c r="A508" s="4" t="s">
        <v>205</v>
      </c>
      <c r="B508" s="4" t="s">
        <v>206</v>
      </c>
      <c r="C508" s="4" t="s">
        <v>163</v>
      </c>
      <c r="D508" s="16" t="n">
        <v>45323</v>
      </c>
      <c r="E508" s="4" t="n">
        <v>2024</v>
      </c>
      <c r="F508" s="4" t="n">
        <v>2</v>
      </c>
      <c r="G508" s="17" t="n">
        <v>75737</v>
      </c>
      <c r="H508" s="18" t="n">
        <f aca="false">G508*$B$1/1000000</f>
        <v>0.166971503511053</v>
      </c>
    </row>
    <row r="509" customFormat="false" ht="15" hidden="false" customHeight="false" outlineLevel="0" collapsed="false">
      <c r="A509" s="4" t="s">
        <v>205</v>
      </c>
      <c r="B509" s="4" t="s">
        <v>206</v>
      </c>
      <c r="C509" s="4" t="s">
        <v>79</v>
      </c>
      <c r="D509" s="16" t="n">
        <v>45323</v>
      </c>
      <c r="E509" s="4" t="n">
        <v>2024</v>
      </c>
      <c r="F509" s="4" t="n">
        <v>2</v>
      </c>
      <c r="G509" s="17" t="n">
        <v>65010</v>
      </c>
      <c r="H509" s="18" t="n">
        <f aca="false">G509*$B$1/1000000</f>
        <v>0.143322516646469</v>
      </c>
    </row>
    <row r="510" customFormat="false" ht="15" hidden="false" customHeight="false" outlineLevel="0" collapsed="false">
      <c r="A510" s="4" t="s">
        <v>205</v>
      </c>
      <c r="B510" s="4" t="s">
        <v>206</v>
      </c>
      <c r="C510" s="4" t="s">
        <v>67</v>
      </c>
      <c r="D510" s="16" t="n">
        <v>46174</v>
      </c>
      <c r="E510" s="4" t="n">
        <v>2026</v>
      </c>
      <c r="F510" s="4" t="n">
        <v>6</v>
      </c>
      <c r="G510" s="17" t="n">
        <v>27616</v>
      </c>
      <c r="H510" s="18" t="n">
        <f aca="false">G510*$B$1/1000000</f>
        <v>0.0608828583250096</v>
      </c>
    </row>
    <row r="511" customFormat="false" ht="15" hidden="false" customHeight="false" outlineLevel="0" collapsed="false">
      <c r="A511" s="4" t="s">
        <v>205</v>
      </c>
      <c r="B511" s="4" t="s">
        <v>206</v>
      </c>
      <c r="C511" s="4" t="s">
        <v>67</v>
      </c>
      <c r="D511" s="16" t="n">
        <v>46204</v>
      </c>
      <c r="E511" s="4" t="n">
        <v>2026</v>
      </c>
      <c r="F511" s="4" t="n">
        <v>7</v>
      </c>
      <c r="G511" s="17" t="n">
        <v>271</v>
      </c>
      <c r="H511" s="18" t="n">
        <f aca="false">G511*$B$1/1000000</f>
        <v>0.00059745273052135</v>
      </c>
    </row>
    <row r="512" customFormat="false" ht="15" hidden="false" customHeight="false" outlineLevel="0" collapsed="false">
      <c r="A512" s="4" t="s">
        <v>205</v>
      </c>
      <c r="B512" s="4" t="s">
        <v>206</v>
      </c>
      <c r="C512" s="4" t="s">
        <v>127</v>
      </c>
      <c r="D512" s="16" t="n">
        <v>45200</v>
      </c>
      <c r="E512" s="4" t="n">
        <v>2023</v>
      </c>
      <c r="F512" s="4" t="n">
        <v>10</v>
      </c>
      <c r="G512" s="17" t="n">
        <v>3997465</v>
      </c>
      <c r="H512" s="18" t="n">
        <f aca="false">G512*$B$1/1000000</f>
        <v>8.81290176905361</v>
      </c>
    </row>
    <row r="513" customFormat="false" ht="15" hidden="false" customHeight="false" outlineLevel="0" collapsed="false">
      <c r="A513" s="4" t="s">
        <v>205</v>
      </c>
      <c r="B513" s="4" t="s">
        <v>206</v>
      </c>
      <c r="C513" s="4" t="s">
        <v>127</v>
      </c>
      <c r="D513" s="16" t="n">
        <v>45839</v>
      </c>
      <c r="E513" s="4" t="n">
        <v>2025</v>
      </c>
      <c r="F513" s="4" t="n">
        <v>7</v>
      </c>
      <c r="G513" s="17" t="n">
        <v>617913</v>
      </c>
      <c r="H513" s="18" t="n">
        <f aca="false">G513*$B$1/1000000</f>
        <v>1.3622649781352</v>
      </c>
    </row>
    <row r="514" customFormat="false" ht="15" hidden="false" customHeight="false" outlineLevel="0" collapsed="false">
      <c r="A514" s="4" t="s">
        <v>205</v>
      </c>
      <c r="B514" s="4" t="s">
        <v>206</v>
      </c>
      <c r="C514" s="4" t="s">
        <v>127</v>
      </c>
      <c r="D514" s="16" t="n">
        <v>45870</v>
      </c>
      <c r="E514" s="4" t="n">
        <v>2025</v>
      </c>
      <c r="F514" s="4" t="n">
        <v>8</v>
      </c>
      <c r="G514" s="17" t="n">
        <v>657881</v>
      </c>
      <c r="H514" s="18" t="n">
        <f aca="false">G514*$B$1/1000000</f>
        <v>1.4503793350853</v>
      </c>
    </row>
    <row r="515" customFormat="false" ht="15" hidden="false" customHeight="false" outlineLevel="0" collapsed="false">
      <c r="A515" s="4" t="s">
        <v>205</v>
      </c>
      <c r="B515" s="4" t="s">
        <v>206</v>
      </c>
      <c r="C515" s="4" t="s">
        <v>47</v>
      </c>
      <c r="D515" s="16" t="n">
        <v>44835</v>
      </c>
      <c r="E515" s="4" t="n">
        <v>2022</v>
      </c>
      <c r="F515" s="4" t="n">
        <v>10</v>
      </c>
      <c r="G515" s="17" t="n">
        <v>867860</v>
      </c>
      <c r="H515" s="18" t="n">
        <f aca="false">G515*$B$1/1000000</f>
        <v>1.91330378859874</v>
      </c>
    </row>
    <row r="516" customFormat="false" ht="15" hidden="false" customHeight="false" outlineLevel="0" collapsed="false">
      <c r="A516" s="4" t="s">
        <v>205</v>
      </c>
      <c r="B516" s="4" t="s">
        <v>206</v>
      </c>
      <c r="C516" s="4" t="s">
        <v>47</v>
      </c>
      <c r="D516" s="16" t="n">
        <v>44866</v>
      </c>
      <c r="E516" s="4" t="n">
        <v>2022</v>
      </c>
      <c r="F516" s="4" t="n">
        <v>11</v>
      </c>
      <c r="G516" s="17" t="n">
        <v>579698</v>
      </c>
      <c r="H516" s="18" t="n">
        <f aca="false">G516*$B$1/1000000</f>
        <v>1.2780153246412</v>
      </c>
    </row>
    <row r="517" customFormat="false" ht="15" hidden="false" customHeight="false" outlineLevel="0" collapsed="false">
      <c r="A517" s="4" t="s">
        <v>205</v>
      </c>
      <c r="B517" s="4" t="s">
        <v>206</v>
      </c>
      <c r="C517" s="4" t="s">
        <v>47</v>
      </c>
      <c r="D517" s="16" t="n">
        <v>44896</v>
      </c>
      <c r="E517" s="4" t="n">
        <v>2022</v>
      </c>
      <c r="F517" s="4" t="n">
        <v>12</v>
      </c>
      <c r="G517" s="17" t="n">
        <v>468120</v>
      </c>
      <c r="H517" s="18" t="n">
        <f aca="false">G517*$B$1/1000000</f>
        <v>1.03202794174042</v>
      </c>
    </row>
    <row r="518" customFormat="false" ht="15" hidden="false" customHeight="false" outlineLevel="0" collapsed="false">
      <c r="A518" s="4" t="s">
        <v>205</v>
      </c>
      <c r="B518" s="4" t="s">
        <v>206</v>
      </c>
      <c r="C518" s="4" t="s">
        <v>47</v>
      </c>
      <c r="D518" s="16" t="n">
        <v>44927</v>
      </c>
      <c r="E518" s="4" t="n">
        <v>2023</v>
      </c>
      <c r="F518" s="4" t="n">
        <v>1</v>
      </c>
      <c r="G518" s="17" t="n">
        <v>1031382</v>
      </c>
      <c r="H518" s="18" t="n">
        <f aca="false">G518*$B$1/1000000</f>
        <v>2.2738080889689</v>
      </c>
    </row>
    <row r="519" customFormat="false" ht="15" hidden="false" customHeight="false" outlineLevel="0" collapsed="false">
      <c r="A519" s="4" t="s">
        <v>205</v>
      </c>
      <c r="B519" s="4" t="s">
        <v>206</v>
      </c>
      <c r="C519" s="4" t="s">
        <v>47</v>
      </c>
      <c r="D519" s="16" t="n">
        <v>44958</v>
      </c>
      <c r="E519" s="4" t="n">
        <v>2023</v>
      </c>
      <c r="F519" s="4" t="n">
        <v>2</v>
      </c>
      <c r="G519" s="17" t="n">
        <v>156020</v>
      </c>
      <c r="H519" s="18" t="n">
        <f aca="false">G519*$B$1/1000000</f>
        <v>0.343965221461037</v>
      </c>
    </row>
    <row r="520" customFormat="false" ht="15" hidden="false" customHeight="false" outlineLevel="0" collapsed="false">
      <c r="A520" s="4" t="s">
        <v>205</v>
      </c>
      <c r="B520" s="4" t="s">
        <v>206</v>
      </c>
      <c r="C520" s="4" t="s">
        <v>47</v>
      </c>
      <c r="D520" s="16" t="n">
        <v>44986</v>
      </c>
      <c r="E520" s="4" t="n">
        <v>2023</v>
      </c>
      <c r="F520" s="4" t="n">
        <v>3</v>
      </c>
      <c r="G520" s="17" t="n">
        <v>1589478</v>
      </c>
      <c r="H520" s="18" t="n">
        <f aca="false">G520*$B$1/1000000</f>
        <v>3.50419915573289</v>
      </c>
    </row>
    <row r="521" customFormat="false" ht="15" hidden="false" customHeight="false" outlineLevel="0" collapsed="false">
      <c r="A521" s="4" t="s">
        <v>205</v>
      </c>
      <c r="B521" s="4" t="s">
        <v>206</v>
      </c>
      <c r="C521" s="4" t="s">
        <v>47</v>
      </c>
      <c r="D521" s="16" t="n">
        <v>45017</v>
      </c>
      <c r="E521" s="4" t="n">
        <v>2023</v>
      </c>
      <c r="F521" s="4" t="n">
        <v>4</v>
      </c>
      <c r="G521" s="17" t="n">
        <v>441060</v>
      </c>
      <c r="H521" s="18" t="n">
        <f aca="false">G521*$B$1/1000000</f>
        <v>0.972370853593161</v>
      </c>
    </row>
    <row r="522" customFormat="false" ht="15" hidden="false" customHeight="false" outlineLevel="0" collapsed="false">
      <c r="A522" s="4" t="s">
        <v>205</v>
      </c>
      <c r="B522" s="4" t="s">
        <v>206</v>
      </c>
      <c r="C522" s="4" t="s">
        <v>47</v>
      </c>
      <c r="D522" s="16" t="n">
        <v>45047</v>
      </c>
      <c r="E522" s="4" t="n">
        <v>2023</v>
      </c>
      <c r="F522" s="4" t="n">
        <v>5</v>
      </c>
      <c r="G522" s="17" t="n">
        <v>1017664</v>
      </c>
      <c r="H522" s="18" t="n">
        <f aca="false">G522*$B$1/1000000</f>
        <v>2.24356507584236</v>
      </c>
    </row>
    <row r="523" customFormat="false" ht="15" hidden="false" customHeight="false" outlineLevel="0" collapsed="false">
      <c r="A523" s="4" t="s">
        <v>205</v>
      </c>
      <c r="B523" s="4" t="s">
        <v>206</v>
      </c>
      <c r="C523" s="4" t="s">
        <v>47</v>
      </c>
      <c r="D523" s="16" t="n">
        <v>45078</v>
      </c>
      <c r="E523" s="4" t="n">
        <v>2023</v>
      </c>
      <c r="F523" s="4" t="n">
        <v>6</v>
      </c>
      <c r="G523" s="17" t="n">
        <v>1099870</v>
      </c>
      <c r="H523" s="18" t="n">
        <f aca="false">G523*$B$1/1000000</f>
        <v>2.42479828309416</v>
      </c>
    </row>
    <row r="524" customFormat="false" ht="15" hidden="false" customHeight="false" outlineLevel="0" collapsed="false">
      <c r="A524" s="4" t="s">
        <v>205</v>
      </c>
      <c r="B524" s="4" t="s">
        <v>206</v>
      </c>
      <c r="C524" s="4" t="s">
        <v>47</v>
      </c>
      <c r="D524" s="16" t="n">
        <v>45108</v>
      </c>
      <c r="E524" s="4" t="n">
        <v>2023</v>
      </c>
      <c r="F524" s="4" t="n">
        <v>7</v>
      </c>
      <c r="G524" s="17" t="n">
        <v>824530</v>
      </c>
      <c r="H524" s="18" t="n">
        <f aca="false">G524*$B$1/1000000</f>
        <v>1.81777749039398</v>
      </c>
    </row>
    <row r="525" customFormat="false" ht="15" hidden="false" customHeight="false" outlineLevel="0" collapsed="false">
      <c r="A525" s="4" t="s">
        <v>205</v>
      </c>
      <c r="B525" s="4" t="s">
        <v>206</v>
      </c>
      <c r="C525" s="4" t="s">
        <v>47</v>
      </c>
      <c r="D525" s="16" t="n">
        <v>45139</v>
      </c>
      <c r="E525" s="4" t="n">
        <v>2023</v>
      </c>
      <c r="F525" s="4" t="n">
        <v>8</v>
      </c>
      <c r="G525" s="17" t="n">
        <v>2307949</v>
      </c>
      <c r="H525" s="18" t="n">
        <f aca="false">G525*$B$1/1000000</f>
        <v>5.08815657547609</v>
      </c>
    </row>
    <row r="526" customFormat="false" ht="15" hidden="false" customHeight="false" outlineLevel="0" collapsed="false">
      <c r="A526" s="4" t="s">
        <v>205</v>
      </c>
      <c r="B526" s="4" t="s">
        <v>206</v>
      </c>
      <c r="C526" s="4" t="s">
        <v>47</v>
      </c>
      <c r="D526" s="16" t="n">
        <v>45170</v>
      </c>
      <c r="E526" s="4" t="n">
        <v>2023</v>
      </c>
      <c r="F526" s="4" t="n">
        <v>9</v>
      </c>
      <c r="G526" s="17" t="n">
        <v>916470</v>
      </c>
      <c r="H526" s="18" t="n">
        <f aca="false">G526*$B$1/1000000</f>
        <v>2.02047049424687</v>
      </c>
    </row>
    <row r="527" customFormat="false" ht="15" hidden="false" customHeight="false" outlineLevel="0" collapsed="false">
      <c r="A527" s="4" t="s">
        <v>205</v>
      </c>
      <c r="B527" s="4" t="s">
        <v>206</v>
      </c>
      <c r="C527" s="4" t="s">
        <v>47</v>
      </c>
      <c r="D527" s="16" t="n">
        <v>45200</v>
      </c>
      <c r="E527" s="4" t="n">
        <v>2023</v>
      </c>
      <c r="F527" s="4" t="n">
        <v>10</v>
      </c>
      <c r="G527" s="17" t="n">
        <v>1702780</v>
      </c>
      <c r="H527" s="18" t="n">
        <f aca="false">G527*$B$1/1000000</f>
        <v>3.75398730803374</v>
      </c>
    </row>
    <row r="528" customFormat="false" ht="15" hidden="false" customHeight="false" outlineLevel="0" collapsed="false">
      <c r="A528" s="4" t="s">
        <v>205</v>
      </c>
      <c r="B528" s="4" t="s">
        <v>206</v>
      </c>
      <c r="C528" s="4" t="s">
        <v>47</v>
      </c>
      <c r="D528" s="16" t="n">
        <v>45231</v>
      </c>
      <c r="E528" s="4" t="n">
        <v>2023</v>
      </c>
      <c r="F528" s="4" t="n">
        <v>11</v>
      </c>
      <c r="G528" s="17" t="n">
        <v>398190</v>
      </c>
      <c r="H528" s="18" t="n">
        <f aca="false">G528*$B$1/1000000</f>
        <v>0.877858681794452</v>
      </c>
    </row>
    <row r="529" customFormat="false" ht="15" hidden="false" customHeight="false" outlineLevel="0" collapsed="false">
      <c r="A529" s="4" t="s">
        <v>205</v>
      </c>
      <c r="B529" s="4" t="s">
        <v>206</v>
      </c>
      <c r="C529" s="4" t="s">
        <v>47</v>
      </c>
      <c r="D529" s="16" t="n">
        <v>45261</v>
      </c>
      <c r="E529" s="4" t="n">
        <v>2023</v>
      </c>
      <c r="F529" s="4" t="n">
        <v>12</v>
      </c>
      <c r="G529" s="17" t="n">
        <v>875240</v>
      </c>
      <c r="H529" s="18" t="n">
        <f aca="false">G529*$B$1/1000000</f>
        <v>1.92957390354799</v>
      </c>
    </row>
    <row r="530" customFormat="false" ht="15" hidden="false" customHeight="false" outlineLevel="0" collapsed="false">
      <c r="A530" s="4" t="s">
        <v>205</v>
      </c>
      <c r="B530" s="4" t="s">
        <v>206</v>
      </c>
      <c r="C530" s="4" t="s">
        <v>47</v>
      </c>
      <c r="D530" s="16" t="n">
        <v>45292</v>
      </c>
      <c r="E530" s="4" t="n">
        <v>2024</v>
      </c>
      <c r="F530" s="4" t="n">
        <v>1</v>
      </c>
      <c r="G530" s="17" t="n">
        <v>1064999</v>
      </c>
      <c r="H530" s="18" t="n">
        <f aca="false">G530*$B$1/1000000</f>
        <v>2.34792088764763</v>
      </c>
    </row>
    <row r="531" customFormat="false" ht="15" hidden="false" customHeight="false" outlineLevel="0" collapsed="false">
      <c r="A531" s="4" t="s">
        <v>205</v>
      </c>
      <c r="B531" s="4" t="s">
        <v>206</v>
      </c>
      <c r="C531" s="4" t="s">
        <v>47</v>
      </c>
      <c r="D531" s="16" t="n">
        <v>45323</v>
      </c>
      <c r="E531" s="4" t="n">
        <v>2024</v>
      </c>
      <c r="F531" s="4" t="n">
        <v>2</v>
      </c>
      <c r="G531" s="17" t="n">
        <v>949820</v>
      </c>
      <c r="H531" s="18" t="n">
        <f aca="false">G531*$B$1/1000000</f>
        <v>2.09399465868557</v>
      </c>
    </row>
    <row r="532" customFormat="false" ht="15" hidden="false" customHeight="false" outlineLevel="0" collapsed="false">
      <c r="A532" s="4" t="s">
        <v>205</v>
      </c>
      <c r="B532" s="4" t="s">
        <v>206</v>
      </c>
      <c r="C532" s="4" t="s">
        <v>47</v>
      </c>
      <c r="D532" s="16" t="n">
        <v>45352</v>
      </c>
      <c r="E532" s="4" t="n">
        <v>2024</v>
      </c>
      <c r="F532" s="4" t="n">
        <v>3</v>
      </c>
      <c r="G532" s="17" t="n">
        <v>82220</v>
      </c>
      <c r="H532" s="18" t="n">
        <f aca="false">G532*$B$1/1000000</f>
        <v>0.181264071968507</v>
      </c>
    </row>
    <row r="533" customFormat="false" ht="15" hidden="false" customHeight="false" outlineLevel="0" collapsed="false">
      <c r="A533" s="4" t="s">
        <v>205</v>
      </c>
      <c r="B533" s="4" t="s">
        <v>206</v>
      </c>
      <c r="C533" s="4" t="s">
        <v>47</v>
      </c>
      <c r="D533" s="16" t="n">
        <v>45383</v>
      </c>
      <c r="E533" s="4" t="n">
        <v>2024</v>
      </c>
      <c r="F533" s="4" t="n">
        <v>4</v>
      </c>
      <c r="G533" s="17" t="n">
        <v>332190</v>
      </c>
      <c r="H533" s="18" t="n">
        <f aca="false">G533*$B$1/1000000</f>
        <v>0.732353588752352</v>
      </c>
    </row>
    <row r="534" customFormat="false" ht="15" hidden="false" customHeight="false" outlineLevel="0" collapsed="false">
      <c r="A534" s="4" t="s">
        <v>205</v>
      </c>
      <c r="B534" s="4" t="s">
        <v>206</v>
      </c>
      <c r="C534" s="4" t="s">
        <v>47</v>
      </c>
      <c r="D534" s="16" t="n">
        <v>45413</v>
      </c>
      <c r="E534" s="4" t="n">
        <v>2024</v>
      </c>
      <c r="F534" s="4" t="n">
        <v>5</v>
      </c>
      <c r="G534" s="17" t="n">
        <v>748040</v>
      </c>
      <c r="H534" s="18" t="n">
        <f aca="false">G534*$B$1/1000000</f>
        <v>1.64914590604867</v>
      </c>
    </row>
    <row r="535" customFormat="false" ht="15" hidden="false" customHeight="false" outlineLevel="0" collapsed="false">
      <c r="A535" s="4" t="s">
        <v>205</v>
      </c>
      <c r="B535" s="4" t="s">
        <v>206</v>
      </c>
      <c r="C535" s="4" t="s">
        <v>47</v>
      </c>
      <c r="D535" s="16" t="n">
        <v>45444</v>
      </c>
      <c r="E535" s="4" t="n">
        <v>2024</v>
      </c>
      <c r="F535" s="4" t="n">
        <v>6</v>
      </c>
      <c r="G535" s="17" t="n">
        <v>1972862</v>
      </c>
      <c r="H535" s="18" t="n">
        <f aca="false">G535*$B$1/1000000</f>
        <v>4.34941619498824</v>
      </c>
    </row>
    <row r="536" customFormat="false" ht="15" hidden="false" customHeight="false" outlineLevel="0" collapsed="false">
      <c r="A536" s="4" t="s">
        <v>205</v>
      </c>
      <c r="B536" s="4" t="s">
        <v>206</v>
      </c>
      <c r="C536" s="4" t="s">
        <v>47</v>
      </c>
      <c r="D536" s="16" t="n">
        <v>45474</v>
      </c>
      <c r="E536" s="4" t="n">
        <v>2024</v>
      </c>
      <c r="F536" s="4" t="n">
        <v>7</v>
      </c>
      <c r="G536" s="17" t="n">
        <v>1570690</v>
      </c>
      <c r="H536" s="18" t="n">
        <f aca="false">G536*$B$1/1000000</f>
        <v>3.46277870591358</v>
      </c>
    </row>
    <row r="537" customFormat="false" ht="15" hidden="false" customHeight="false" outlineLevel="0" collapsed="false">
      <c r="A537" s="4" t="s">
        <v>205</v>
      </c>
      <c r="B537" s="4" t="s">
        <v>206</v>
      </c>
      <c r="C537" s="4" t="s">
        <v>47</v>
      </c>
      <c r="D537" s="16" t="n">
        <v>45505</v>
      </c>
      <c r="E537" s="4" t="n">
        <v>2024</v>
      </c>
      <c r="F537" s="4" t="n">
        <v>8</v>
      </c>
      <c r="G537" s="17" t="n">
        <v>3060522</v>
      </c>
      <c r="H537" s="18" t="n">
        <f aca="false">G537*$B$1/1000000</f>
        <v>6.74729603586961</v>
      </c>
    </row>
    <row r="538" customFormat="false" ht="15" hidden="false" customHeight="false" outlineLevel="0" collapsed="false">
      <c r="A538" s="4" t="s">
        <v>205</v>
      </c>
      <c r="B538" s="4" t="s">
        <v>206</v>
      </c>
      <c r="C538" s="4" t="s">
        <v>47</v>
      </c>
      <c r="D538" s="16" t="n">
        <v>45536</v>
      </c>
      <c r="E538" s="4" t="n">
        <v>2024</v>
      </c>
      <c r="F538" s="4" t="n">
        <v>9</v>
      </c>
      <c r="G538" s="17" t="n">
        <v>2378589</v>
      </c>
      <c r="H538" s="18" t="n">
        <f aca="false">G538*$B$1/1000000</f>
        <v>5.24389111748357</v>
      </c>
    </row>
    <row r="539" customFormat="false" ht="15" hidden="false" customHeight="false" outlineLevel="0" collapsed="false">
      <c r="A539" s="4" t="s">
        <v>205</v>
      </c>
      <c r="B539" s="4" t="s">
        <v>206</v>
      </c>
      <c r="C539" s="4" t="s">
        <v>47</v>
      </c>
      <c r="D539" s="16" t="n">
        <v>45566</v>
      </c>
      <c r="E539" s="4" t="n">
        <v>2024</v>
      </c>
      <c r="F539" s="4" t="n">
        <v>10</v>
      </c>
      <c r="G539" s="17" t="n">
        <v>1024650</v>
      </c>
      <c r="H539" s="18" t="n">
        <f aca="false">G539*$B$1/1000000</f>
        <v>2.2589665694786</v>
      </c>
    </row>
    <row r="540" customFormat="false" ht="15" hidden="false" customHeight="false" outlineLevel="0" collapsed="false">
      <c r="A540" s="4" t="s">
        <v>205</v>
      </c>
      <c r="B540" s="4" t="s">
        <v>206</v>
      </c>
      <c r="C540" s="4" t="s">
        <v>47</v>
      </c>
      <c r="D540" s="16" t="n">
        <v>45597</v>
      </c>
      <c r="E540" s="4" t="n">
        <v>2024</v>
      </c>
      <c r="F540" s="4" t="n">
        <v>11</v>
      </c>
      <c r="G540" s="17" t="n">
        <v>1832170</v>
      </c>
      <c r="H540" s="18" t="n">
        <f aca="false">G540*$B$1/1000000</f>
        <v>4.03924342907492</v>
      </c>
    </row>
    <row r="541" customFormat="false" ht="15" hidden="false" customHeight="false" outlineLevel="0" collapsed="false">
      <c r="A541" s="4" t="s">
        <v>205</v>
      </c>
      <c r="B541" s="4" t="s">
        <v>206</v>
      </c>
      <c r="C541" s="4" t="s">
        <v>47</v>
      </c>
      <c r="D541" s="16" t="n">
        <v>45627</v>
      </c>
      <c r="E541" s="4" t="n">
        <v>2024</v>
      </c>
      <c r="F541" s="4" t="n">
        <v>12</v>
      </c>
      <c r="G541" s="17" t="n">
        <v>1117520</v>
      </c>
      <c r="H541" s="18" t="n">
        <f aca="false">G541*$B$1/1000000</f>
        <v>2.46370987236981</v>
      </c>
    </row>
    <row r="542" customFormat="false" ht="15" hidden="false" customHeight="false" outlineLevel="0" collapsed="false">
      <c r="A542" s="4" t="s">
        <v>205</v>
      </c>
      <c r="B542" s="4" t="s">
        <v>206</v>
      </c>
      <c r="C542" s="4" t="s">
        <v>47</v>
      </c>
      <c r="D542" s="16" t="n">
        <v>45658</v>
      </c>
      <c r="E542" s="4" t="n">
        <v>2025</v>
      </c>
      <c r="F542" s="4" t="n">
        <v>1</v>
      </c>
      <c r="G542" s="17" t="n">
        <v>569060</v>
      </c>
      <c r="H542" s="18" t="n">
        <f aca="false">G542*$B$1/1000000</f>
        <v>1.25456254918996</v>
      </c>
    </row>
    <row r="543" customFormat="false" ht="15" hidden="false" customHeight="false" outlineLevel="0" collapsed="false">
      <c r="A543" s="4" t="s">
        <v>205</v>
      </c>
      <c r="B543" s="4" t="s">
        <v>206</v>
      </c>
      <c r="C543" s="4" t="s">
        <v>47</v>
      </c>
      <c r="D543" s="16" t="n">
        <v>45689</v>
      </c>
      <c r="E543" s="4" t="n">
        <v>2025</v>
      </c>
      <c r="F543" s="4" t="n">
        <v>2</v>
      </c>
      <c r="G543" s="17" t="n">
        <v>730530</v>
      </c>
      <c r="H543" s="18" t="n">
        <f aca="false">G543*$B$1/1000000</f>
        <v>1.61054296394008</v>
      </c>
    </row>
    <row r="544" customFormat="false" ht="15" hidden="false" customHeight="false" outlineLevel="0" collapsed="false">
      <c r="A544" s="4" t="s">
        <v>205</v>
      </c>
      <c r="B544" s="4" t="s">
        <v>206</v>
      </c>
      <c r="C544" s="4" t="s">
        <v>47</v>
      </c>
      <c r="D544" s="16" t="n">
        <v>45717</v>
      </c>
      <c r="E544" s="4" t="n">
        <v>2025</v>
      </c>
      <c r="F544" s="4" t="n">
        <v>3</v>
      </c>
      <c r="G544" s="17" t="n">
        <v>399800</v>
      </c>
      <c r="H544" s="18" t="n">
        <f aca="false">G544*$B$1/1000000</f>
        <v>0.88140812421563</v>
      </c>
    </row>
    <row r="545" customFormat="false" ht="15" hidden="false" customHeight="false" outlineLevel="0" collapsed="false">
      <c r="A545" s="4" t="s">
        <v>205</v>
      </c>
      <c r="B545" s="4" t="s">
        <v>206</v>
      </c>
      <c r="C545" s="4" t="s">
        <v>47</v>
      </c>
      <c r="D545" s="16" t="n">
        <v>45748</v>
      </c>
      <c r="E545" s="4" t="n">
        <v>2025</v>
      </c>
      <c r="F545" s="4" t="n">
        <v>4</v>
      </c>
      <c r="G545" s="17" t="n">
        <v>489710</v>
      </c>
      <c r="H545" s="18" t="n">
        <f aca="false">G545*$B$1/1000000</f>
        <v>1.07962574414616</v>
      </c>
    </row>
    <row r="546" customFormat="false" ht="15" hidden="false" customHeight="false" outlineLevel="0" collapsed="false">
      <c r="A546" s="4" t="s">
        <v>205</v>
      </c>
      <c r="B546" s="4" t="s">
        <v>206</v>
      </c>
      <c r="C546" s="4" t="s">
        <v>47</v>
      </c>
      <c r="D546" s="16" t="n">
        <v>45778</v>
      </c>
      <c r="E546" s="4" t="n">
        <v>2025</v>
      </c>
      <c r="F546" s="4" t="n">
        <v>5</v>
      </c>
      <c r="G546" s="17" t="n">
        <v>812050</v>
      </c>
      <c r="H546" s="18" t="n">
        <f aca="false">G546*$B$1/1000000</f>
        <v>1.79026380007329</v>
      </c>
    </row>
    <row r="547" customFormat="false" ht="15" hidden="false" customHeight="false" outlineLevel="0" collapsed="false">
      <c r="A547" s="4" t="s">
        <v>205</v>
      </c>
      <c r="B547" s="4" t="s">
        <v>206</v>
      </c>
      <c r="C547" s="4" t="s">
        <v>47</v>
      </c>
      <c r="D547" s="16" t="n">
        <v>45809</v>
      </c>
      <c r="E547" s="4" t="n">
        <v>2025</v>
      </c>
      <c r="F547" s="4" t="n">
        <v>6</v>
      </c>
      <c r="G547" s="17" t="n">
        <v>656790</v>
      </c>
      <c r="H547" s="18" t="n">
        <f aca="false">G547*$B$1/1000000</f>
        <v>1.44797409180486</v>
      </c>
    </row>
    <row r="548" customFormat="false" ht="15" hidden="false" customHeight="false" outlineLevel="0" collapsed="false">
      <c r="A548" s="4" t="s">
        <v>205</v>
      </c>
      <c r="B548" s="4" t="s">
        <v>206</v>
      </c>
      <c r="C548" s="4" t="s">
        <v>47</v>
      </c>
      <c r="D548" s="16" t="n">
        <v>45839</v>
      </c>
      <c r="E548" s="4" t="n">
        <v>2025</v>
      </c>
      <c r="F548" s="4" t="n">
        <v>7</v>
      </c>
      <c r="G548" s="17" t="n">
        <v>815959</v>
      </c>
      <c r="H548" s="18" t="n">
        <f aca="false">G548*$B$1/1000000</f>
        <v>1.7988816699021</v>
      </c>
    </row>
    <row r="549" customFormat="false" ht="15" hidden="false" customHeight="false" outlineLevel="0" collapsed="false">
      <c r="A549" s="4" t="s">
        <v>205</v>
      </c>
      <c r="B549" s="4" t="s">
        <v>206</v>
      </c>
      <c r="C549" s="4" t="s">
        <v>47</v>
      </c>
      <c r="D549" s="16" t="n">
        <v>45870</v>
      </c>
      <c r="E549" s="4" t="n">
        <v>2025</v>
      </c>
      <c r="F549" s="4" t="n">
        <v>8</v>
      </c>
      <c r="G549" s="17" t="n">
        <v>918400</v>
      </c>
      <c r="H549" s="18" t="n">
        <f aca="false">G549*$B$1/1000000</f>
        <v>2.02472541590704</v>
      </c>
    </row>
    <row r="550" customFormat="false" ht="15" hidden="false" customHeight="false" outlineLevel="0" collapsed="false">
      <c r="A550" s="4" t="s">
        <v>205</v>
      </c>
      <c r="B550" s="4" t="s">
        <v>206</v>
      </c>
      <c r="C550" s="4" t="s">
        <v>47</v>
      </c>
      <c r="D550" s="16" t="n">
        <v>45901</v>
      </c>
      <c r="E550" s="4" t="n">
        <v>2025</v>
      </c>
      <c r="F550" s="4" t="n">
        <v>9</v>
      </c>
      <c r="G550" s="17" t="n">
        <v>949457</v>
      </c>
      <c r="H550" s="18" t="n">
        <f aca="false">G550*$B$1/1000000</f>
        <v>2.09319438067384</v>
      </c>
    </row>
    <row r="551" customFormat="false" ht="15" hidden="false" customHeight="false" outlineLevel="0" collapsed="false">
      <c r="A551" s="4" t="s">
        <v>205</v>
      </c>
      <c r="B551" s="4" t="s">
        <v>206</v>
      </c>
      <c r="C551" s="4" t="s">
        <v>47</v>
      </c>
      <c r="D551" s="16" t="n">
        <v>45931</v>
      </c>
      <c r="E551" s="4" t="n">
        <v>2025</v>
      </c>
      <c r="F551" s="4" t="n">
        <v>10</v>
      </c>
      <c r="G551" s="17" t="n">
        <v>700510</v>
      </c>
      <c r="H551" s="18" t="n">
        <f aca="false">G551*$B$1/1000000</f>
        <v>1.54436019283214</v>
      </c>
    </row>
    <row r="552" customFormat="false" ht="15" hidden="false" customHeight="false" outlineLevel="0" collapsed="false">
      <c r="A552" s="4" t="s">
        <v>205</v>
      </c>
      <c r="B552" s="4" t="s">
        <v>206</v>
      </c>
      <c r="C552" s="4" t="s">
        <v>47</v>
      </c>
      <c r="D552" s="16" t="n">
        <v>45962</v>
      </c>
      <c r="E552" s="4" t="n">
        <v>2025</v>
      </c>
      <c r="F552" s="4" t="n">
        <v>11</v>
      </c>
      <c r="G552" s="17" t="n">
        <v>410200</v>
      </c>
      <c r="H552" s="18" t="n">
        <f aca="false">G552*$B$1/1000000</f>
        <v>0.90433619948287</v>
      </c>
    </row>
    <row r="553" customFormat="false" ht="15" hidden="false" customHeight="false" outlineLevel="0" collapsed="false">
      <c r="A553" s="4" t="s">
        <v>205</v>
      </c>
      <c r="B553" s="4" t="s">
        <v>206</v>
      </c>
      <c r="C553" s="4" t="s">
        <v>47</v>
      </c>
      <c r="D553" s="16" t="n">
        <v>45992</v>
      </c>
      <c r="E553" s="4" t="n">
        <v>2025</v>
      </c>
      <c r="F553" s="4" t="n">
        <v>12</v>
      </c>
      <c r="G553" s="17" t="n">
        <v>575690</v>
      </c>
      <c r="H553" s="18" t="n">
        <f aca="false">G553*$B$1/1000000</f>
        <v>1.26917919717283</v>
      </c>
    </row>
    <row r="554" customFormat="false" ht="15" hidden="false" customHeight="false" outlineLevel="0" collapsed="false">
      <c r="A554" s="4" t="s">
        <v>205</v>
      </c>
      <c r="B554" s="4" t="s">
        <v>206</v>
      </c>
      <c r="C554" s="4" t="s">
        <v>47</v>
      </c>
      <c r="D554" s="16" t="n">
        <v>46113</v>
      </c>
      <c r="E554" s="4" t="n">
        <v>2026</v>
      </c>
      <c r="F554" s="4" t="n">
        <v>4</v>
      </c>
      <c r="G554" s="17" t="n">
        <v>411440</v>
      </c>
      <c r="H554" s="18" t="n">
        <f aca="false">G554*$B$1/1000000</f>
        <v>0.907069931533964</v>
      </c>
    </row>
    <row r="555" customFormat="false" ht="15" hidden="false" customHeight="false" outlineLevel="0" collapsed="false">
      <c r="A555" s="4" t="s">
        <v>205</v>
      </c>
      <c r="B555" s="4" t="s">
        <v>206</v>
      </c>
      <c r="C555" s="4" t="s">
        <v>47</v>
      </c>
      <c r="D555" s="16" t="n">
        <v>46143</v>
      </c>
      <c r="E555" s="4" t="n">
        <v>2026</v>
      </c>
      <c r="F555" s="4" t="n">
        <v>5</v>
      </c>
      <c r="G555" s="17" t="n">
        <v>1359693</v>
      </c>
      <c r="H555" s="18" t="n">
        <f aca="false">G555*$B$1/1000000</f>
        <v>2.99760994657109</v>
      </c>
    </row>
    <row r="556" customFormat="false" ht="15" hidden="false" customHeight="false" outlineLevel="0" collapsed="false">
      <c r="A556" s="4" t="s">
        <v>205</v>
      </c>
      <c r="B556" s="4" t="s">
        <v>206</v>
      </c>
      <c r="C556" s="4" t="s">
        <v>47</v>
      </c>
      <c r="D556" s="16" t="n">
        <v>46174</v>
      </c>
      <c r="E556" s="4" t="n">
        <v>2026</v>
      </c>
      <c r="F556" s="4" t="n">
        <v>6</v>
      </c>
      <c r="G556" s="17" t="n">
        <v>3035173</v>
      </c>
      <c r="H556" s="18" t="n">
        <f aca="false">G556*$B$1/1000000</f>
        <v>6.69141105702833</v>
      </c>
    </row>
    <row r="557" customFormat="false" ht="15" hidden="false" customHeight="false" outlineLevel="0" collapsed="false">
      <c r="A557" s="4" t="s">
        <v>205</v>
      </c>
      <c r="B557" s="4" t="s">
        <v>206</v>
      </c>
      <c r="C557" s="4" t="s">
        <v>47</v>
      </c>
      <c r="D557" s="16" t="n">
        <v>46204</v>
      </c>
      <c r="E557" s="4" t="n">
        <v>2026</v>
      </c>
      <c r="F557" s="4" t="n">
        <v>7</v>
      </c>
      <c r="G557" s="17" t="n">
        <v>2566066</v>
      </c>
      <c r="H557" s="18" t="n">
        <f aca="false">G557*$B$1/1000000</f>
        <v>5.65720715276014</v>
      </c>
    </row>
    <row r="558" customFormat="false" ht="15" hidden="false" customHeight="false" outlineLevel="0" collapsed="false">
      <c r="A558" s="4" t="s">
        <v>205</v>
      </c>
      <c r="B558" s="4" t="s">
        <v>206</v>
      </c>
      <c r="C558" s="4" t="s">
        <v>47</v>
      </c>
      <c r="D558" s="16" t="n">
        <v>46235</v>
      </c>
      <c r="E558" s="4" t="n">
        <v>2026</v>
      </c>
      <c r="F558" s="4" t="n">
        <v>8</v>
      </c>
      <c r="G558" s="17" t="n">
        <v>3050089</v>
      </c>
      <c r="H558" s="18" t="n">
        <f aca="false">G558*$B$1/1000000</f>
        <v>6.72429520805584</v>
      </c>
    </row>
    <row r="559" customFormat="false" ht="15" hidden="false" customHeight="false" outlineLevel="0" collapsed="false">
      <c r="A559" s="4" t="s">
        <v>205</v>
      </c>
      <c r="B559" s="4" t="s">
        <v>206</v>
      </c>
      <c r="C559" s="4" t="s">
        <v>78</v>
      </c>
      <c r="D559" s="16" t="n">
        <v>43922</v>
      </c>
      <c r="E559" s="4" t="n">
        <v>2020</v>
      </c>
      <c r="F559" s="4" t="n">
        <v>4</v>
      </c>
      <c r="G559" s="17" t="n">
        <v>18662</v>
      </c>
      <c r="H559" s="18" t="n">
        <f aca="false">G559*$B$1/1000000</f>
        <v>0.0411426673689647</v>
      </c>
    </row>
    <row r="560" customFormat="false" ht="15" hidden="false" customHeight="false" outlineLevel="0" collapsed="false">
      <c r="A560" s="4" t="s">
        <v>205</v>
      </c>
      <c r="B560" s="4" t="s">
        <v>206</v>
      </c>
      <c r="C560" s="4" t="s">
        <v>78</v>
      </c>
      <c r="D560" s="16" t="n">
        <v>43983</v>
      </c>
      <c r="E560" s="4" t="n">
        <v>2020</v>
      </c>
      <c r="F560" s="4" t="n">
        <v>6</v>
      </c>
      <c r="G560" s="17" t="n">
        <v>18280</v>
      </c>
      <c r="H560" s="18" t="n">
        <f aca="false">G560*$B$1/1000000</f>
        <v>0.040300501527418</v>
      </c>
    </row>
    <row r="561" customFormat="false" ht="15" hidden="false" customHeight="false" outlineLevel="0" collapsed="false">
      <c r="A561" s="4" t="s">
        <v>205</v>
      </c>
      <c r="B561" s="4" t="s">
        <v>206</v>
      </c>
      <c r="C561" s="4" t="s">
        <v>78</v>
      </c>
      <c r="D561" s="16" t="n">
        <v>44044</v>
      </c>
      <c r="E561" s="4" t="n">
        <v>2020</v>
      </c>
      <c r="F561" s="4" t="n">
        <v>8</v>
      </c>
      <c r="G561" s="17" t="n">
        <v>13241</v>
      </c>
      <c r="H561" s="18" t="n">
        <f aca="false">G561*$B$1/1000000</f>
        <v>0.0291914081359159</v>
      </c>
    </row>
    <row r="562" customFormat="false" ht="15" hidden="false" customHeight="false" outlineLevel="0" collapsed="false">
      <c r="A562" s="4" t="s">
        <v>205</v>
      </c>
      <c r="B562" s="4" t="s">
        <v>206</v>
      </c>
      <c r="C562" s="4" t="s">
        <v>78</v>
      </c>
      <c r="D562" s="16" t="n">
        <v>44075</v>
      </c>
      <c r="E562" s="4" t="n">
        <v>2020</v>
      </c>
      <c r="F562" s="4" t="n">
        <v>9</v>
      </c>
      <c r="G562" s="17" t="n">
        <v>12762</v>
      </c>
      <c r="H562" s="18" t="n">
        <f aca="false">G562*$B$1/1000000</f>
        <v>0.0281353939000497</v>
      </c>
    </row>
    <row r="563" customFormat="false" ht="15" hidden="false" customHeight="false" outlineLevel="0" collapsed="false">
      <c r="A563" s="4" t="s">
        <v>205</v>
      </c>
      <c r="B563" s="4" t="s">
        <v>206</v>
      </c>
      <c r="C563" s="4" t="s">
        <v>78</v>
      </c>
      <c r="D563" s="16" t="n">
        <v>44136</v>
      </c>
      <c r="E563" s="4" t="n">
        <v>2020</v>
      </c>
      <c r="F563" s="4" t="n">
        <v>11</v>
      </c>
      <c r="G563" s="17" t="n">
        <v>10707</v>
      </c>
      <c r="H563" s="18" t="n">
        <f aca="false">G563*$B$1/1000000</f>
        <v>0.023604894412148</v>
      </c>
    </row>
    <row r="564" customFormat="false" ht="15" hidden="false" customHeight="false" outlineLevel="0" collapsed="false">
      <c r="A564" s="4" t="s">
        <v>205</v>
      </c>
      <c r="B564" s="4" t="s">
        <v>206</v>
      </c>
      <c r="C564" s="4" t="s">
        <v>78</v>
      </c>
      <c r="D564" s="16" t="n">
        <v>44197</v>
      </c>
      <c r="E564" s="4" t="n">
        <v>2021</v>
      </c>
      <c r="F564" s="4" t="n">
        <v>1</v>
      </c>
      <c r="G564" s="17" t="n">
        <v>69746</v>
      </c>
      <c r="H564" s="18" t="n">
        <f aca="false">G564*$B$1/1000000</f>
        <v>0.15376360938355</v>
      </c>
    </row>
    <row r="565" customFormat="false" ht="15" hidden="false" customHeight="false" outlineLevel="0" collapsed="false">
      <c r="A565" s="4" t="s">
        <v>205</v>
      </c>
      <c r="B565" s="4" t="s">
        <v>206</v>
      </c>
      <c r="C565" s="4" t="s">
        <v>78</v>
      </c>
      <c r="D565" s="16" t="n">
        <v>44256</v>
      </c>
      <c r="E565" s="4" t="n">
        <v>2021</v>
      </c>
      <c r="F565" s="4" t="n">
        <v>3</v>
      </c>
      <c r="G565" s="17" t="n">
        <v>80774</v>
      </c>
      <c r="H565" s="18" t="n">
        <f aca="false">G565*$B$1/1000000</f>
        <v>0.178076187657312</v>
      </c>
    </row>
    <row r="566" customFormat="false" ht="15" hidden="false" customHeight="false" outlineLevel="0" collapsed="false">
      <c r="A566" s="4" t="s">
        <v>205</v>
      </c>
      <c r="B566" s="4" t="s">
        <v>206</v>
      </c>
      <c r="C566" s="4" t="s">
        <v>78</v>
      </c>
      <c r="D566" s="16" t="n">
        <v>44348</v>
      </c>
      <c r="E566" s="4" t="n">
        <v>2021</v>
      </c>
      <c r="F566" s="4" t="n">
        <v>6</v>
      </c>
      <c r="G566" s="17" t="n">
        <v>6406983</v>
      </c>
      <c r="H566" s="18" t="n">
        <f aca="false">G566*$B$1/1000000</f>
        <v>14.1249796596084</v>
      </c>
    </row>
    <row r="567" customFormat="false" ht="15" hidden="false" customHeight="false" outlineLevel="0" collapsed="false">
      <c r="A567" s="4" t="s">
        <v>205</v>
      </c>
      <c r="B567" s="4" t="s">
        <v>206</v>
      </c>
      <c r="C567" s="4" t="s">
        <v>78</v>
      </c>
      <c r="D567" s="16" t="n">
        <v>44409</v>
      </c>
      <c r="E567" s="4" t="n">
        <v>2021</v>
      </c>
      <c r="F567" s="4" t="n">
        <v>8</v>
      </c>
      <c r="G567" s="17" t="n">
        <v>7515036</v>
      </c>
      <c r="H567" s="18" t="n">
        <f aca="false">G567*$B$1/1000000</f>
        <v>16.5678183696171</v>
      </c>
    </row>
    <row r="568" customFormat="false" ht="15" hidden="false" customHeight="false" outlineLevel="0" collapsed="false">
      <c r="A568" s="4" t="s">
        <v>205</v>
      </c>
      <c r="B568" s="4" t="s">
        <v>206</v>
      </c>
      <c r="C568" s="4" t="s">
        <v>78</v>
      </c>
      <c r="D568" s="16" t="n">
        <v>44440</v>
      </c>
      <c r="E568" s="4" t="n">
        <v>2021</v>
      </c>
      <c r="F568" s="4" t="n">
        <v>9</v>
      </c>
      <c r="G568" s="17" t="n">
        <v>9692468</v>
      </c>
      <c r="H568" s="18" t="n">
        <f aca="false">G568*$B$1/1000000</f>
        <v>21.3682342143572</v>
      </c>
    </row>
    <row r="569" customFormat="false" ht="15" hidden="false" customHeight="false" outlineLevel="0" collapsed="false">
      <c r="A569" s="4" t="s">
        <v>205</v>
      </c>
      <c r="B569" s="4" t="s">
        <v>206</v>
      </c>
      <c r="C569" s="4" t="s">
        <v>78</v>
      </c>
      <c r="D569" s="16" t="n">
        <v>44470</v>
      </c>
      <c r="E569" s="4" t="n">
        <v>2021</v>
      </c>
      <c r="F569" s="4" t="n">
        <v>10</v>
      </c>
      <c r="G569" s="17" t="n">
        <v>5504761</v>
      </c>
      <c r="H569" s="18" t="n">
        <f aca="false">G569*$B$1/1000000</f>
        <v>12.1359206284776</v>
      </c>
    </row>
    <row r="570" customFormat="false" ht="15" hidden="false" customHeight="false" outlineLevel="0" collapsed="false">
      <c r="A570" s="4" t="s">
        <v>205</v>
      </c>
      <c r="B570" s="4" t="s">
        <v>206</v>
      </c>
      <c r="C570" s="4" t="s">
        <v>78</v>
      </c>
      <c r="D570" s="16" t="n">
        <v>44501</v>
      </c>
      <c r="E570" s="4" t="n">
        <v>2021</v>
      </c>
      <c r="F570" s="4" t="n">
        <v>11</v>
      </c>
      <c r="G570" s="17" t="n">
        <v>4894887</v>
      </c>
      <c r="H570" s="18" t="n">
        <f aca="false">G570*$B$1/1000000</f>
        <v>10.7913786115995</v>
      </c>
    </row>
    <row r="571" customFormat="false" ht="15" hidden="false" customHeight="false" outlineLevel="0" collapsed="false">
      <c r="A571" s="4" t="s">
        <v>205</v>
      </c>
      <c r="B571" s="4" t="s">
        <v>206</v>
      </c>
      <c r="C571" s="4" t="s">
        <v>78</v>
      </c>
      <c r="D571" s="16" t="n">
        <v>44531</v>
      </c>
      <c r="E571" s="4" t="n">
        <v>2021</v>
      </c>
      <c r="F571" s="4" t="n">
        <v>12</v>
      </c>
      <c r="G571" s="17" t="n">
        <v>4870387</v>
      </c>
      <c r="H571" s="18" t="n">
        <f aca="false">G571*$B$1/1000000</f>
        <v>10.7373653573642</v>
      </c>
    </row>
    <row r="572" customFormat="false" ht="15" hidden="false" customHeight="false" outlineLevel="0" collapsed="false">
      <c r="A572" s="4" t="s">
        <v>205</v>
      </c>
      <c r="B572" s="4" t="s">
        <v>206</v>
      </c>
      <c r="C572" s="4" t="s">
        <v>78</v>
      </c>
      <c r="D572" s="16" t="n">
        <v>44562</v>
      </c>
      <c r="E572" s="4" t="n">
        <v>2022</v>
      </c>
      <c r="F572" s="4" t="n">
        <v>1</v>
      </c>
      <c r="G572" s="17" t="n">
        <v>1435158</v>
      </c>
      <c r="H572" s="18" t="n">
        <f aca="false">G572*$B$1/1000000</f>
        <v>3.163981792729</v>
      </c>
    </row>
    <row r="573" customFormat="false" ht="15" hidden="false" customHeight="false" outlineLevel="0" collapsed="false">
      <c r="A573" s="4" t="s">
        <v>205</v>
      </c>
      <c r="B573" s="4" t="s">
        <v>206</v>
      </c>
      <c r="C573" s="4" t="s">
        <v>78</v>
      </c>
      <c r="D573" s="16" t="n">
        <v>44593</v>
      </c>
      <c r="E573" s="4" t="n">
        <v>2022</v>
      </c>
      <c r="F573" s="4" t="n">
        <v>2</v>
      </c>
      <c r="G573" s="17" t="n">
        <v>9730</v>
      </c>
      <c r="H573" s="18" t="n">
        <f aca="false">G573*$B$1/1000000</f>
        <v>0.0214509781106005</v>
      </c>
    </row>
    <row r="574" customFormat="false" ht="15" hidden="false" customHeight="false" outlineLevel="0" collapsed="false">
      <c r="A574" s="4" t="s">
        <v>205</v>
      </c>
      <c r="B574" s="4" t="s">
        <v>206</v>
      </c>
      <c r="C574" s="4" t="s">
        <v>78</v>
      </c>
      <c r="D574" s="16" t="n">
        <v>44652</v>
      </c>
      <c r="E574" s="4" t="n">
        <v>2022</v>
      </c>
      <c r="F574" s="4" t="n">
        <v>4</v>
      </c>
      <c r="G574" s="17" t="n">
        <v>10039033</v>
      </c>
      <c r="H574" s="18" t="n">
        <f aca="false">G574*$B$1/1000000</f>
        <v>22.1322792532987</v>
      </c>
    </row>
    <row r="575" customFormat="false" ht="15" hidden="false" customHeight="false" outlineLevel="0" collapsed="false">
      <c r="A575" s="4" t="s">
        <v>205</v>
      </c>
      <c r="B575" s="4" t="s">
        <v>206</v>
      </c>
      <c r="C575" s="4" t="s">
        <v>78</v>
      </c>
      <c r="D575" s="16" t="n">
        <v>44682</v>
      </c>
      <c r="E575" s="4" t="n">
        <v>2022</v>
      </c>
      <c r="F575" s="4" t="n">
        <v>5</v>
      </c>
      <c r="G575" s="17" t="n">
        <v>6256349</v>
      </c>
      <c r="H575" s="18" t="n">
        <f aca="false">G575*$B$1/1000000</f>
        <v>13.7928885355886</v>
      </c>
    </row>
    <row r="576" customFormat="false" ht="15" hidden="false" customHeight="false" outlineLevel="0" collapsed="false">
      <c r="A576" s="4" t="s">
        <v>205</v>
      </c>
      <c r="B576" s="4" t="s">
        <v>206</v>
      </c>
      <c r="C576" s="4" t="s">
        <v>78</v>
      </c>
      <c r="D576" s="16" t="n">
        <v>44713</v>
      </c>
      <c r="E576" s="4" t="n">
        <v>2022</v>
      </c>
      <c r="F576" s="4" t="n">
        <v>6</v>
      </c>
      <c r="G576" s="17" t="n">
        <v>2364720</v>
      </c>
      <c r="H576" s="18" t="n">
        <f aca="false">G576*$B$1/1000000</f>
        <v>5.21331520634113</v>
      </c>
    </row>
    <row r="577" customFormat="false" ht="15" hidden="false" customHeight="false" outlineLevel="0" collapsed="false">
      <c r="A577" s="4" t="s">
        <v>205</v>
      </c>
      <c r="B577" s="4" t="s">
        <v>206</v>
      </c>
      <c r="C577" s="4" t="s">
        <v>78</v>
      </c>
      <c r="D577" s="16" t="n">
        <v>44743</v>
      </c>
      <c r="E577" s="4" t="n">
        <v>2022</v>
      </c>
      <c r="F577" s="4" t="n">
        <v>7</v>
      </c>
      <c r="G577" s="17" t="n">
        <v>4025359</v>
      </c>
      <c r="H577" s="18" t="n">
        <f aca="false">G577*$B$1/1000000</f>
        <v>8.87439751246749</v>
      </c>
    </row>
    <row r="578" customFormat="false" ht="15" hidden="false" customHeight="false" outlineLevel="0" collapsed="false">
      <c r="A578" s="4" t="s">
        <v>205</v>
      </c>
      <c r="B578" s="4" t="s">
        <v>206</v>
      </c>
      <c r="C578" s="4" t="s">
        <v>78</v>
      </c>
      <c r="D578" s="16" t="n">
        <v>44805</v>
      </c>
      <c r="E578" s="4" t="n">
        <v>2022</v>
      </c>
      <c r="F578" s="4" t="n">
        <v>9</v>
      </c>
      <c r="G578" s="17" t="n">
        <v>6002698</v>
      </c>
      <c r="H578" s="18" t="n">
        <f aca="false">G578*$B$1/1000000</f>
        <v>13.2336838029338</v>
      </c>
    </row>
    <row r="579" customFormat="false" ht="15" hidden="false" customHeight="false" outlineLevel="0" collapsed="false">
      <c r="A579" s="4" t="s">
        <v>205</v>
      </c>
      <c r="B579" s="4" t="s">
        <v>206</v>
      </c>
      <c r="C579" s="4" t="s">
        <v>78</v>
      </c>
      <c r="D579" s="16" t="n">
        <v>44835</v>
      </c>
      <c r="E579" s="4" t="n">
        <v>2022</v>
      </c>
      <c r="F579" s="4" t="n">
        <v>10</v>
      </c>
      <c r="G579" s="17" t="n">
        <v>6846765</v>
      </c>
      <c r="H579" s="18" t="n">
        <f aca="false">G579*$B$1/1000000</f>
        <v>15.0945330054908</v>
      </c>
    </row>
    <row r="580" customFormat="false" ht="15" hidden="false" customHeight="false" outlineLevel="0" collapsed="false">
      <c r="A580" s="4" t="s">
        <v>205</v>
      </c>
      <c r="B580" s="4" t="s">
        <v>206</v>
      </c>
      <c r="C580" s="4" t="s">
        <v>78</v>
      </c>
      <c r="D580" s="16" t="n">
        <v>44866</v>
      </c>
      <c r="E580" s="4" t="n">
        <v>2022</v>
      </c>
      <c r="F580" s="4" t="n">
        <v>11</v>
      </c>
      <c r="G580" s="17" t="n">
        <v>2132549</v>
      </c>
      <c r="H580" s="18" t="n">
        <f aca="false">G580*$B$1/1000000</f>
        <v>4.7014657676036</v>
      </c>
    </row>
    <row r="581" customFormat="false" ht="15" hidden="false" customHeight="false" outlineLevel="0" collapsed="false">
      <c r="A581" s="4" t="s">
        <v>205</v>
      </c>
      <c r="B581" s="4" t="s">
        <v>206</v>
      </c>
      <c r="C581" s="4" t="s">
        <v>78</v>
      </c>
      <c r="D581" s="16" t="n">
        <v>44896</v>
      </c>
      <c r="E581" s="4" t="n">
        <v>2022</v>
      </c>
      <c r="F581" s="4" t="n">
        <v>12</v>
      </c>
      <c r="G581" s="17" t="n">
        <v>10299573</v>
      </c>
      <c r="H581" s="18" t="n">
        <f aca="false">G581*$B$1/1000000</f>
        <v>22.7066716311955</v>
      </c>
    </row>
    <row r="582" customFormat="false" ht="15" hidden="false" customHeight="false" outlineLevel="0" collapsed="false">
      <c r="A582" s="4" t="s">
        <v>205</v>
      </c>
      <c r="B582" s="4" t="s">
        <v>206</v>
      </c>
      <c r="C582" s="4" t="s">
        <v>78</v>
      </c>
      <c r="D582" s="16" t="n">
        <v>44927</v>
      </c>
      <c r="E582" s="4" t="n">
        <v>2023</v>
      </c>
      <c r="F582" s="4" t="n">
        <v>1</v>
      </c>
      <c r="G582" s="17" t="n">
        <v>288</v>
      </c>
      <c r="H582" s="18" t="n">
        <f aca="false">G582*$B$1/1000000</f>
        <v>0.0006349313150928</v>
      </c>
    </row>
    <row r="583" customFormat="false" ht="15" hidden="false" customHeight="false" outlineLevel="0" collapsed="false">
      <c r="A583" s="4" t="s">
        <v>205</v>
      </c>
      <c r="B583" s="4" t="s">
        <v>206</v>
      </c>
      <c r="C583" s="4" t="s">
        <v>78</v>
      </c>
      <c r="D583" s="16" t="n">
        <v>44986</v>
      </c>
      <c r="E583" s="4" t="n">
        <v>2023</v>
      </c>
      <c r="F583" s="4" t="n">
        <v>3</v>
      </c>
      <c r="G583" s="17" t="n">
        <v>8222226</v>
      </c>
      <c r="H583" s="18" t="n">
        <f aca="false">G583*$B$1/1000000</f>
        <v>18.1269054415632</v>
      </c>
    </row>
    <row r="584" customFormat="false" ht="15" hidden="false" customHeight="false" outlineLevel="0" collapsed="false">
      <c r="A584" s="4" t="s">
        <v>205</v>
      </c>
      <c r="B584" s="4" t="s">
        <v>206</v>
      </c>
      <c r="C584" s="4" t="s">
        <v>78</v>
      </c>
      <c r="D584" s="16" t="n">
        <v>45017</v>
      </c>
      <c r="E584" s="4" t="n">
        <v>2023</v>
      </c>
      <c r="F584" s="4" t="n">
        <v>4</v>
      </c>
      <c r="G584" s="17" t="n">
        <v>4180674</v>
      </c>
      <c r="H584" s="18" t="n">
        <f aca="false">G584*$B$1/1000000</f>
        <v>9.21680847498013</v>
      </c>
    </row>
    <row r="585" customFormat="false" ht="15" hidden="false" customHeight="false" outlineLevel="0" collapsed="false">
      <c r="A585" s="4" t="s">
        <v>205</v>
      </c>
      <c r="B585" s="4" t="s">
        <v>206</v>
      </c>
      <c r="C585" s="4" t="s">
        <v>78</v>
      </c>
      <c r="D585" s="16" t="n">
        <v>45078</v>
      </c>
      <c r="E585" s="4" t="n">
        <v>2023</v>
      </c>
      <c r="F585" s="4" t="n">
        <v>6</v>
      </c>
      <c r="G585" s="17" t="n">
        <v>5223199</v>
      </c>
      <c r="H585" s="18" t="n">
        <f aca="false">G585*$B$1/1000000</f>
        <v>11.5151826738243</v>
      </c>
    </row>
    <row r="586" customFormat="false" ht="15" hidden="false" customHeight="false" outlineLevel="0" collapsed="false">
      <c r="A586" s="4" t="s">
        <v>205</v>
      </c>
      <c r="B586" s="4" t="s">
        <v>206</v>
      </c>
      <c r="C586" s="4" t="s">
        <v>78</v>
      </c>
      <c r="D586" s="16" t="n">
        <v>45108</v>
      </c>
      <c r="E586" s="4" t="n">
        <v>2023</v>
      </c>
      <c r="F586" s="4" t="n">
        <v>7</v>
      </c>
      <c r="G586" s="17" t="n">
        <v>3369087</v>
      </c>
      <c r="H586" s="18" t="n">
        <f aca="false">G586*$B$1/1000000</f>
        <v>7.42756541518075</v>
      </c>
    </row>
    <row r="587" customFormat="false" ht="15" hidden="false" customHeight="false" outlineLevel="0" collapsed="false">
      <c r="A587" s="4" t="s">
        <v>205</v>
      </c>
      <c r="B587" s="4" t="s">
        <v>206</v>
      </c>
      <c r="C587" s="4" t="s">
        <v>78</v>
      </c>
      <c r="D587" s="16" t="n">
        <v>45170</v>
      </c>
      <c r="E587" s="4" t="n">
        <v>2023</v>
      </c>
      <c r="F587" s="4" t="n">
        <v>9</v>
      </c>
      <c r="G587" s="17" t="n">
        <v>1998781</v>
      </c>
      <c r="H587" s="18" t="n">
        <f aca="false">G587*$B$1/1000000</f>
        <v>4.40655780872396</v>
      </c>
    </row>
    <row r="588" customFormat="false" ht="15" hidden="false" customHeight="false" outlineLevel="0" collapsed="false">
      <c r="A588" s="4" t="s">
        <v>205</v>
      </c>
      <c r="B588" s="4" t="s">
        <v>206</v>
      </c>
      <c r="C588" s="4" t="s">
        <v>78</v>
      </c>
      <c r="D588" s="16" t="n">
        <v>45200</v>
      </c>
      <c r="E588" s="4" t="n">
        <v>2023</v>
      </c>
      <c r="F588" s="4" t="n">
        <v>10</v>
      </c>
      <c r="G588" s="17" t="n">
        <v>7135103</v>
      </c>
      <c r="H588" s="18" t="n">
        <f aca="false">G588*$B$1/1000000</f>
        <v>15.7302094830298</v>
      </c>
    </row>
    <row r="589" customFormat="false" ht="15" hidden="false" customHeight="false" outlineLevel="0" collapsed="false">
      <c r="A589" s="4" t="s">
        <v>205</v>
      </c>
      <c r="B589" s="4" t="s">
        <v>206</v>
      </c>
      <c r="C589" s="4" t="s">
        <v>78</v>
      </c>
      <c r="D589" s="16" t="n">
        <v>45231</v>
      </c>
      <c r="E589" s="4" t="n">
        <v>2023</v>
      </c>
      <c r="F589" s="4" t="n">
        <v>11</v>
      </c>
      <c r="G589" s="17" t="n">
        <v>4727159</v>
      </c>
      <c r="H589" s="18" t="n">
        <f aca="false">G589*$B$1/1000000</f>
        <v>10.4216016684818</v>
      </c>
    </row>
    <row r="590" customFormat="false" ht="15" hidden="false" customHeight="false" outlineLevel="0" collapsed="false">
      <c r="A590" s="4" t="s">
        <v>205</v>
      </c>
      <c r="B590" s="4" t="s">
        <v>206</v>
      </c>
      <c r="C590" s="4" t="s">
        <v>78</v>
      </c>
      <c r="D590" s="16" t="n">
        <v>45261</v>
      </c>
      <c r="E590" s="4" t="n">
        <v>2023</v>
      </c>
      <c r="F590" s="4" t="n">
        <v>12</v>
      </c>
      <c r="G590" s="17" t="n">
        <v>2841720</v>
      </c>
      <c r="H590" s="18" t="n">
        <f aca="false">G590*$B$1/1000000</f>
        <v>6.26492019696358</v>
      </c>
    </row>
    <row r="591" customFormat="false" ht="15" hidden="false" customHeight="false" outlineLevel="0" collapsed="false">
      <c r="A591" s="4" t="s">
        <v>205</v>
      </c>
      <c r="B591" s="4" t="s">
        <v>206</v>
      </c>
      <c r="C591" s="4" t="s">
        <v>78</v>
      </c>
      <c r="D591" s="16" t="n">
        <v>45292</v>
      </c>
      <c r="E591" s="4" t="n">
        <v>2024</v>
      </c>
      <c r="F591" s="4" t="n">
        <v>1</v>
      </c>
      <c r="G591" s="17" t="n">
        <v>4136542</v>
      </c>
      <c r="H591" s="18" t="n">
        <f aca="false">G591*$B$1/1000000</f>
        <v>9.11951406943264</v>
      </c>
    </row>
    <row r="592" customFormat="false" ht="15" hidden="false" customHeight="false" outlineLevel="0" collapsed="false">
      <c r="A592" s="4" t="s">
        <v>205</v>
      </c>
      <c r="B592" s="4" t="s">
        <v>206</v>
      </c>
      <c r="C592" s="4" t="s">
        <v>78</v>
      </c>
      <c r="D592" s="16" t="n">
        <v>45323</v>
      </c>
      <c r="E592" s="4" t="n">
        <v>2024</v>
      </c>
      <c r="F592" s="4" t="n">
        <v>2</v>
      </c>
      <c r="G592" s="17" t="n">
        <v>6248624</v>
      </c>
      <c r="H592" s="18" t="n">
        <f aca="false">G592*$B$1/1000000</f>
        <v>13.7758578258348</v>
      </c>
    </row>
    <row r="593" customFormat="false" ht="15" hidden="false" customHeight="false" outlineLevel="0" collapsed="false">
      <c r="A593" s="4" t="s">
        <v>205</v>
      </c>
      <c r="B593" s="4" t="s">
        <v>206</v>
      </c>
      <c r="C593" s="4" t="s">
        <v>78</v>
      </c>
      <c r="D593" s="16" t="n">
        <v>45383</v>
      </c>
      <c r="E593" s="4" t="n">
        <v>2024</v>
      </c>
      <c r="F593" s="4" t="n">
        <v>4</v>
      </c>
      <c r="G593" s="17" t="n">
        <v>6548545</v>
      </c>
      <c r="H593" s="18" t="n">
        <f aca="false">G593*$B$1/1000000</f>
        <v>14.4370704472027</v>
      </c>
    </row>
    <row r="594" customFormat="false" ht="15" hidden="false" customHeight="false" outlineLevel="0" collapsed="false">
      <c r="A594" s="4" t="s">
        <v>205</v>
      </c>
      <c r="B594" s="4" t="s">
        <v>206</v>
      </c>
      <c r="C594" s="4" t="s">
        <v>78</v>
      </c>
      <c r="D594" s="16" t="n">
        <v>45413</v>
      </c>
      <c r="E594" s="4" t="n">
        <v>2024</v>
      </c>
      <c r="F594" s="4" t="n">
        <v>5</v>
      </c>
      <c r="G594" s="17" t="n">
        <v>4651811</v>
      </c>
      <c r="H594" s="18" t="n">
        <f aca="false">G594*$B$1/1000000</f>
        <v>10.2554877631707</v>
      </c>
    </row>
    <row r="595" customFormat="false" ht="15" hidden="false" customHeight="false" outlineLevel="0" collapsed="false">
      <c r="A595" s="4" t="s">
        <v>205</v>
      </c>
      <c r="B595" s="4" t="s">
        <v>206</v>
      </c>
      <c r="C595" s="4" t="s">
        <v>78</v>
      </c>
      <c r="D595" s="16" t="n">
        <v>45444</v>
      </c>
      <c r="E595" s="4" t="n">
        <v>2024</v>
      </c>
      <c r="F595" s="4" t="n">
        <v>6</v>
      </c>
      <c r="G595" s="17" t="n">
        <v>929332</v>
      </c>
      <c r="H595" s="18" t="n">
        <f aca="false">G595*$B$1/1000000</f>
        <v>2.0488263504091</v>
      </c>
    </row>
    <row r="596" customFormat="false" ht="15" hidden="false" customHeight="false" outlineLevel="0" collapsed="false">
      <c r="A596" s="4" t="s">
        <v>205</v>
      </c>
      <c r="B596" s="4" t="s">
        <v>206</v>
      </c>
      <c r="C596" s="4" t="s">
        <v>78</v>
      </c>
      <c r="D596" s="16" t="n">
        <v>45474</v>
      </c>
      <c r="E596" s="4" t="n">
        <v>2024</v>
      </c>
      <c r="F596" s="4" t="n">
        <v>7</v>
      </c>
      <c r="G596" s="17" t="n">
        <v>5011562</v>
      </c>
      <c r="H596" s="18" t="n">
        <f aca="false">G596*$B$1/1000000</f>
        <v>11.0486029560038</v>
      </c>
    </row>
    <row r="597" customFormat="false" ht="15" hidden="false" customHeight="false" outlineLevel="0" collapsed="false">
      <c r="A597" s="4" t="s">
        <v>205</v>
      </c>
      <c r="B597" s="4" t="s">
        <v>206</v>
      </c>
      <c r="C597" s="4" t="s">
        <v>78</v>
      </c>
      <c r="D597" s="16" t="n">
        <v>45536</v>
      </c>
      <c r="E597" s="4" t="n">
        <v>2024</v>
      </c>
      <c r="F597" s="4" t="n">
        <v>9</v>
      </c>
      <c r="G597" s="17" t="n">
        <v>3530770</v>
      </c>
      <c r="H597" s="18" t="n">
        <f aca="false">G597*$B$1/1000000</f>
        <v>7.78401541454933</v>
      </c>
    </row>
    <row r="598" customFormat="false" ht="15" hidden="false" customHeight="false" outlineLevel="0" collapsed="false">
      <c r="A598" s="4" t="s">
        <v>205</v>
      </c>
      <c r="B598" s="4" t="s">
        <v>206</v>
      </c>
      <c r="C598" s="4" t="s">
        <v>78</v>
      </c>
      <c r="D598" s="16" t="n">
        <v>45566</v>
      </c>
      <c r="E598" s="4" t="n">
        <v>2024</v>
      </c>
      <c r="F598" s="4" t="n">
        <v>10</v>
      </c>
      <c r="G598" s="17" t="n">
        <v>2441610</v>
      </c>
      <c r="H598" s="18" t="n">
        <f aca="false">G598*$B$1/1000000</f>
        <v>5.38282863973518</v>
      </c>
    </row>
    <row r="599" customFormat="false" ht="15" hidden="false" customHeight="false" outlineLevel="0" collapsed="false">
      <c r="A599" s="4" t="s">
        <v>205</v>
      </c>
      <c r="B599" s="4" t="s">
        <v>206</v>
      </c>
      <c r="C599" s="4" t="s">
        <v>78</v>
      </c>
      <c r="D599" s="16" t="n">
        <v>45597</v>
      </c>
      <c r="E599" s="4" t="n">
        <v>2024</v>
      </c>
      <c r="F599" s="4" t="n">
        <v>11</v>
      </c>
      <c r="G599" s="17" t="n">
        <v>1618545</v>
      </c>
      <c r="H599" s="18" t="n">
        <f aca="false">G599*$B$1/1000000</f>
        <v>3.56828092148221</v>
      </c>
    </row>
    <row r="600" customFormat="false" ht="15" hidden="false" customHeight="false" outlineLevel="0" collapsed="false">
      <c r="A600" s="4" t="s">
        <v>205</v>
      </c>
      <c r="B600" s="4" t="s">
        <v>206</v>
      </c>
      <c r="C600" s="4" t="s">
        <v>78</v>
      </c>
      <c r="D600" s="16" t="n">
        <v>45627</v>
      </c>
      <c r="E600" s="4" t="n">
        <v>2024</v>
      </c>
      <c r="F600" s="4" t="n">
        <v>12</v>
      </c>
      <c r="G600" s="17" t="n">
        <v>5853896</v>
      </c>
      <c r="H600" s="18" t="n">
        <f aca="false">G600*$B$1/1000000</f>
        <v>12.9056315475572</v>
      </c>
    </row>
    <row r="601" customFormat="false" ht="15" hidden="false" customHeight="false" outlineLevel="0" collapsed="false">
      <c r="A601" s="4" t="s">
        <v>205</v>
      </c>
      <c r="B601" s="4" t="s">
        <v>206</v>
      </c>
      <c r="C601" s="4" t="s">
        <v>78</v>
      </c>
      <c r="D601" s="16" t="n">
        <v>45689</v>
      </c>
      <c r="E601" s="4" t="n">
        <v>2025</v>
      </c>
      <c r="F601" s="4" t="n">
        <v>2</v>
      </c>
      <c r="G601" s="17" t="n">
        <v>2606040</v>
      </c>
      <c r="H601" s="18" t="n">
        <f aca="false">G601*$B$1/1000000</f>
        <v>5.74533473744597</v>
      </c>
    </row>
    <row r="602" customFormat="false" ht="15" hidden="false" customHeight="false" outlineLevel="0" collapsed="false">
      <c r="A602" s="4" t="s">
        <v>205</v>
      </c>
      <c r="B602" s="4" t="s">
        <v>206</v>
      </c>
      <c r="C602" s="4" t="s">
        <v>78</v>
      </c>
      <c r="D602" s="16" t="n">
        <v>45717</v>
      </c>
      <c r="E602" s="4" t="n">
        <v>2025</v>
      </c>
      <c r="F602" s="4" t="n">
        <v>3</v>
      </c>
      <c r="G602" s="17" t="n">
        <v>2919471</v>
      </c>
      <c r="H602" s="18" t="n">
        <f aca="false">G602*$B$1/1000000</f>
        <v>6.43633181043504</v>
      </c>
    </row>
    <row r="603" customFormat="false" ht="15" hidden="false" customHeight="false" outlineLevel="0" collapsed="false">
      <c r="A603" s="4" t="s">
        <v>205</v>
      </c>
      <c r="B603" s="4" t="s">
        <v>206</v>
      </c>
      <c r="C603" s="4" t="s">
        <v>78</v>
      </c>
      <c r="D603" s="16" t="n">
        <v>45748</v>
      </c>
      <c r="E603" s="4" t="n">
        <v>2025</v>
      </c>
      <c r="F603" s="4" t="n">
        <v>4</v>
      </c>
      <c r="G603" s="17" t="n">
        <v>6234254</v>
      </c>
      <c r="H603" s="18" t="n">
        <f aca="false">G603*$B$1/1000000</f>
        <v>13.7441773987588</v>
      </c>
    </row>
    <row r="604" customFormat="false" ht="15" hidden="false" customHeight="false" outlineLevel="0" collapsed="false">
      <c r="A604" s="4" t="s">
        <v>205</v>
      </c>
      <c r="B604" s="4" t="s">
        <v>206</v>
      </c>
      <c r="C604" s="4" t="s">
        <v>78</v>
      </c>
      <c r="D604" s="16" t="n">
        <v>45778</v>
      </c>
      <c r="E604" s="4" t="n">
        <v>2025</v>
      </c>
      <c r="F604" s="4" t="n">
        <v>5</v>
      </c>
      <c r="G604" s="17" t="n">
        <v>6526177</v>
      </c>
      <c r="H604" s="18" t="n">
        <f aca="false">G604*$B$1/1000000</f>
        <v>14.3877574483972</v>
      </c>
    </row>
    <row r="605" customFormat="false" ht="15" hidden="false" customHeight="false" outlineLevel="0" collapsed="false">
      <c r="A605" s="4" t="s">
        <v>205</v>
      </c>
      <c r="B605" s="4" t="s">
        <v>206</v>
      </c>
      <c r="C605" s="4" t="s">
        <v>78</v>
      </c>
      <c r="D605" s="16" t="n">
        <v>45901</v>
      </c>
      <c r="E605" s="4" t="n">
        <v>2025</v>
      </c>
      <c r="F605" s="4" t="n">
        <v>9</v>
      </c>
      <c r="G605" s="17" t="n">
        <v>3412296</v>
      </c>
      <c r="H605" s="18" t="n">
        <f aca="false">G605*$B$1/1000000</f>
        <v>7.52282495404827</v>
      </c>
    </row>
    <row r="606" customFormat="false" ht="15" hidden="false" customHeight="false" outlineLevel="0" collapsed="false">
      <c r="A606" s="4" t="s">
        <v>205</v>
      </c>
      <c r="B606" s="4" t="s">
        <v>206</v>
      </c>
      <c r="C606" s="4" t="s">
        <v>78</v>
      </c>
      <c r="D606" s="16" t="n">
        <v>45931</v>
      </c>
      <c r="E606" s="4" t="n">
        <v>2025</v>
      </c>
      <c r="F606" s="4" t="n">
        <v>10</v>
      </c>
      <c r="G606" s="17" t="n">
        <v>897005</v>
      </c>
      <c r="H606" s="18" t="n">
        <f aca="false">G606*$B$1/1000000</f>
        <v>1.97755751491256</v>
      </c>
    </row>
    <row r="607" customFormat="false" ht="15" hidden="false" customHeight="false" outlineLevel="0" collapsed="false">
      <c r="A607" s="4" t="s">
        <v>205</v>
      </c>
      <c r="B607" s="4" t="s">
        <v>206</v>
      </c>
      <c r="C607" s="4" t="s">
        <v>78</v>
      </c>
      <c r="D607" s="16" t="n">
        <v>45962</v>
      </c>
      <c r="E607" s="4" t="n">
        <v>2025</v>
      </c>
      <c r="F607" s="4" t="n">
        <v>11</v>
      </c>
      <c r="G607" s="17" t="n">
        <v>4982458</v>
      </c>
      <c r="H607" s="18" t="n">
        <f aca="false">G607*$B$1/1000000</f>
        <v>10.9844396192175</v>
      </c>
    </row>
    <row r="608" customFormat="false" ht="15" hidden="false" customHeight="false" outlineLevel="0" collapsed="false">
      <c r="A608" s="4" t="s">
        <v>205</v>
      </c>
      <c r="B608" s="4" t="s">
        <v>206</v>
      </c>
      <c r="C608" s="4" t="s">
        <v>78</v>
      </c>
      <c r="D608" s="16" t="n">
        <v>45992</v>
      </c>
      <c r="E608" s="4" t="n">
        <v>2025</v>
      </c>
      <c r="F608" s="4" t="n">
        <v>12</v>
      </c>
      <c r="G608" s="17" t="n">
        <v>1698993</v>
      </c>
      <c r="H608" s="18" t="n">
        <f aca="false">G608*$B$1/1000000</f>
        <v>3.7456384021648</v>
      </c>
    </row>
    <row r="609" customFormat="false" ht="15" hidden="false" customHeight="false" outlineLevel="0" collapsed="false">
      <c r="A609" s="4" t="s">
        <v>205</v>
      </c>
      <c r="B609" s="4" t="s">
        <v>206</v>
      </c>
      <c r="C609" s="4" t="s">
        <v>78</v>
      </c>
      <c r="D609" s="16" t="n">
        <v>46023</v>
      </c>
      <c r="E609" s="4" t="n">
        <v>2026</v>
      </c>
      <c r="F609" s="4" t="n">
        <v>1</v>
      </c>
      <c r="G609" s="17" t="n">
        <v>4200077</v>
      </c>
      <c r="H609" s="18" t="n">
        <f aca="false">G609*$B$1/1000000</f>
        <v>9.25958476771188</v>
      </c>
    </row>
    <row r="610" customFormat="false" ht="15" hidden="false" customHeight="false" outlineLevel="0" collapsed="false">
      <c r="A610" s="4" t="s">
        <v>205</v>
      </c>
      <c r="B610" s="4" t="s">
        <v>206</v>
      </c>
      <c r="C610" s="4" t="s">
        <v>78</v>
      </c>
      <c r="D610" s="16" t="n">
        <v>46054</v>
      </c>
      <c r="E610" s="4" t="n">
        <v>2026</v>
      </c>
      <c r="F610" s="4" t="n">
        <v>2</v>
      </c>
      <c r="G610" s="17" t="n">
        <v>6284909</v>
      </c>
      <c r="H610" s="18" t="n">
        <f aca="false">G610*$B$1/1000000</f>
        <v>13.8558525576687</v>
      </c>
    </row>
    <row r="611" customFormat="false" ht="15" hidden="false" customHeight="false" outlineLevel="0" collapsed="false">
      <c r="A611" s="4" t="s">
        <v>205</v>
      </c>
      <c r="B611" s="4" t="s">
        <v>206</v>
      </c>
      <c r="C611" s="4" t="s">
        <v>78</v>
      </c>
      <c r="D611" s="16" t="n">
        <v>46113</v>
      </c>
      <c r="E611" s="4" t="n">
        <v>2026</v>
      </c>
      <c r="F611" s="4" t="n">
        <v>4</v>
      </c>
      <c r="G611" s="17" t="n">
        <v>3051312</v>
      </c>
      <c r="H611" s="18" t="n">
        <f aca="false">G611*$B$1/1000000</f>
        <v>6.72699146152237</v>
      </c>
    </row>
    <row r="612" customFormat="false" ht="15" hidden="false" customHeight="false" outlineLevel="0" collapsed="false">
      <c r="A612" s="4" t="s">
        <v>205</v>
      </c>
      <c r="B612" s="4" t="s">
        <v>206</v>
      </c>
      <c r="C612" s="4" t="s">
        <v>78</v>
      </c>
      <c r="D612" s="16" t="n">
        <v>46143</v>
      </c>
      <c r="E612" s="4" t="n">
        <v>2026</v>
      </c>
      <c r="F612" s="4" t="n">
        <v>5</v>
      </c>
      <c r="G612" s="17" t="n">
        <v>5514509</v>
      </c>
      <c r="H612" s="18" t="n">
        <f aca="false">G612*$B$1/1000000</f>
        <v>12.1574112897954</v>
      </c>
    </row>
    <row r="613" customFormat="false" ht="15" hidden="false" customHeight="false" outlineLevel="0" collapsed="false">
      <c r="A613" s="4" t="s">
        <v>205</v>
      </c>
      <c r="B613" s="4" t="s">
        <v>206</v>
      </c>
      <c r="C613" s="4" t="s">
        <v>78</v>
      </c>
      <c r="D613" s="16" t="n">
        <v>46174</v>
      </c>
      <c r="E613" s="4" t="n">
        <v>2026</v>
      </c>
      <c r="F613" s="4" t="n">
        <v>6</v>
      </c>
      <c r="G613" s="17" t="n">
        <v>8645072</v>
      </c>
      <c r="H613" s="18" t="n">
        <f aca="false">G613*$B$1/1000000</f>
        <v>19.059121298722</v>
      </c>
    </row>
    <row r="614" customFormat="false" ht="15" hidden="false" customHeight="false" outlineLevel="0" collapsed="false">
      <c r="A614" s="4" t="s">
        <v>205</v>
      </c>
      <c r="B614" s="4" t="s">
        <v>206</v>
      </c>
      <c r="C614" s="4" t="s">
        <v>78</v>
      </c>
      <c r="D614" s="16" t="n">
        <v>46204</v>
      </c>
      <c r="E614" s="4" t="n">
        <v>2026</v>
      </c>
      <c r="F614" s="4" t="n">
        <v>7</v>
      </c>
      <c r="G614" s="17" t="n">
        <v>4599324</v>
      </c>
      <c r="H614" s="18" t="n">
        <f aca="false">G614*$B$1/1000000</f>
        <v>10.1397737356176</v>
      </c>
    </row>
    <row r="615" customFormat="false" ht="15" hidden="false" customHeight="false" outlineLevel="0" collapsed="false">
      <c r="A615" s="4" t="s">
        <v>205</v>
      </c>
      <c r="B615" s="4" t="s">
        <v>206</v>
      </c>
      <c r="C615" s="4" t="s">
        <v>78</v>
      </c>
      <c r="D615" s="16" t="n">
        <v>46235</v>
      </c>
      <c r="E615" s="4" t="n">
        <v>2026</v>
      </c>
      <c r="F615" s="4" t="n">
        <v>8</v>
      </c>
      <c r="G615" s="17" t="n">
        <v>7475222</v>
      </c>
      <c r="H615" s="18" t="n">
        <f aca="false">G615*$B$1/1000000</f>
        <v>16.4800435245508</v>
      </c>
    </row>
    <row r="616" customFormat="false" ht="15" hidden="false" customHeight="false" outlineLevel="0" collapsed="false">
      <c r="A616" s="4" t="s">
        <v>205</v>
      </c>
      <c r="B616" s="4" t="s">
        <v>206</v>
      </c>
      <c r="C616" s="4" t="s">
        <v>93</v>
      </c>
      <c r="D616" s="16" t="n">
        <v>45200</v>
      </c>
      <c r="E616" s="4" t="n">
        <v>2023</v>
      </c>
      <c r="F616" s="4" t="n">
        <v>10</v>
      </c>
      <c r="G616" s="17" t="n">
        <v>44000</v>
      </c>
      <c r="H616" s="18" t="n">
        <f aca="false">G616*$B$1/1000000</f>
        <v>0.0970033953614</v>
      </c>
    </row>
    <row r="617" customFormat="false" ht="15" hidden="false" customHeight="false" outlineLevel="0" collapsed="false">
      <c r="A617" s="4" t="s">
        <v>205</v>
      </c>
      <c r="B617" s="4" t="s">
        <v>206</v>
      </c>
      <c r="C617" s="4" t="s">
        <v>93</v>
      </c>
      <c r="D617" s="16" t="n">
        <v>45231</v>
      </c>
      <c r="E617" s="4" t="n">
        <v>2023</v>
      </c>
      <c r="F617" s="4" t="n">
        <v>11</v>
      </c>
      <c r="G617" s="17" t="n">
        <v>66000</v>
      </c>
      <c r="H617" s="18" t="n">
        <f aca="false">G617*$B$1/1000000</f>
        <v>0.1455050930421</v>
      </c>
    </row>
    <row r="618" customFormat="false" ht="15" hidden="false" customHeight="false" outlineLevel="0" collapsed="false">
      <c r="A618" s="4" t="s">
        <v>205</v>
      </c>
      <c r="B618" s="4" t="s">
        <v>206</v>
      </c>
      <c r="C618" s="4" t="s">
        <v>93</v>
      </c>
      <c r="D618" s="16" t="n">
        <v>45261</v>
      </c>
      <c r="E618" s="4" t="n">
        <v>2023</v>
      </c>
      <c r="F618" s="4" t="n">
        <v>12</v>
      </c>
      <c r="G618" s="17" t="n">
        <v>66000</v>
      </c>
      <c r="H618" s="18" t="n">
        <f aca="false">G618*$B$1/1000000</f>
        <v>0.1455050930421</v>
      </c>
    </row>
    <row r="619" customFormat="false" ht="15" hidden="false" customHeight="false" outlineLevel="0" collapsed="false">
      <c r="A619" s="4" t="s">
        <v>205</v>
      </c>
      <c r="B619" s="4" t="s">
        <v>206</v>
      </c>
      <c r="C619" s="4" t="s">
        <v>93</v>
      </c>
      <c r="D619" s="16" t="n">
        <v>45352</v>
      </c>
      <c r="E619" s="4" t="n">
        <v>2024</v>
      </c>
      <c r="F619" s="4" t="n">
        <v>3</v>
      </c>
      <c r="G619" s="17" t="n">
        <v>133390</v>
      </c>
      <c r="H619" s="18" t="n">
        <f aca="false">G619*$B$1/1000000</f>
        <v>0.294074611528572</v>
      </c>
    </row>
    <row r="620" customFormat="false" ht="15" hidden="false" customHeight="false" outlineLevel="0" collapsed="false">
      <c r="A620" s="4" t="s">
        <v>205</v>
      </c>
      <c r="B620" s="4" t="s">
        <v>206</v>
      </c>
      <c r="C620" s="4" t="s">
        <v>93</v>
      </c>
      <c r="D620" s="16" t="n">
        <v>45536</v>
      </c>
      <c r="E620" s="4" t="n">
        <v>2024</v>
      </c>
      <c r="F620" s="4" t="n">
        <v>9</v>
      </c>
      <c r="G620" s="17" t="n">
        <v>870000</v>
      </c>
      <c r="H620" s="18" t="n">
        <f aca="false">G620*$B$1/1000000</f>
        <v>1.9180216810095</v>
      </c>
    </row>
    <row r="621" customFormat="false" ht="15" hidden="false" customHeight="false" outlineLevel="0" collapsed="false">
      <c r="A621" s="4" t="s">
        <v>205</v>
      </c>
      <c r="B621" s="4" t="s">
        <v>206</v>
      </c>
      <c r="C621" s="4" t="s">
        <v>93</v>
      </c>
      <c r="D621" s="16" t="n">
        <v>45717</v>
      </c>
      <c r="E621" s="4" t="n">
        <v>2025</v>
      </c>
      <c r="F621" s="4" t="n">
        <v>3</v>
      </c>
      <c r="G621" s="17" t="n">
        <v>1647298</v>
      </c>
      <c r="H621" s="18" t="n">
        <f aca="false">G621*$B$1/1000000</f>
        <v>3.63167043572826</v>
      </c>
    </row>
    <row r="622" customFormat="false" ht="15" hidden="false" customHeight="false" outlineLevel="0" collapsed="false">
      <c r="A622" s="4" t="s">
        <v>205</v>
      </c>
      <c r="B622" s="4" t="s">
        <v>206</v>
      </c>
      <c r="C622" s="4" t="s">
        <v>93</v>
      </c>
      <c r="D622" s="16" t="n">
        <v>45778</v>
      </c>
      <c r="E622" s="4" t="n">
        <v>2025</v>
      </c>
      <c r="F622" s="4" t="n">
        <v>5</v>
      </c>
      <c r="G622" s="17" t="n">
        <v>1620137</v>
      </c>
      <c r="H622" s="18" t="n">
        <f aca="false">G622*$B$1/1000000</f>
        <v>3.57179068069619</v>
      </c>
    </row>
    <row r="623" customFormat="false" ht="15" hidden="false" customHeight="false" outlineLevel="0" collapsed="false">
      <c r="A623" s="4" t="s">
        <v>205</v>
      </c>
      <c r="B623" s="4" t="s">
        <v>206</v>
      </c>
      <c r="C623" s="4" t="s">
        <v>93</v>
      </c>
      <c r="D623" s="16" t="n">
        <v>45839</v>
      </c>
      <c r="E623" s="4" t="n">
        <v>2025</v>
      </c>
      <c r="F623" s="4" t="n">
        <v>7</v>
      </c>
      <c r="G623" s="17" t="n">
        <v>1775917</v>
      </c>
      <c r="H623" s="18" t="n">
        <f aca="false">G623*$B$1/1000000</f>
        <v>3.91522679272799</v>
      </c>
    </row>
    <row r="624" customFormat="false" ht="15" hidden="false" customHeight="false" outlineLevel="0" collapsed="false">
      <c r="A624" s="4" t="s">
        <v>205</v>
      </c>
      <c r="B624" s="4" t="s">
        <v>206</v>
      </c>
      <c r="C624" s="4" t="s">
        <v>93</v>
      </c>
      <c r="D624" s="16" t="n">
        <v>45931</v>
      </c>
      <c r="E624" s="4" t="n">
        <v>2025</v>
      </c>
      <c r="F624" s="4" t="n">
        <v>10</v>
      </c>
      <c r="G624" s="17" t="n">
        <v>2031062</v>
      </c>
      <c r="H624" s="18" t="n">
        <f aca="false">G624*$B$1/1000000</f>
        <v>4.4777252315799</v>
      </c>
    </row>
    <row r="625" customFormat="false" ht="15" hidden="false" customHeight="false" outlineLevel="0" collapsed="false">
      <c r="A625" s="4" t="s">
        <v>205</v>
      </c>
      <c r="B625" s="4" t="s">
        <v>206</v>
      </c>
      <c r="C625" s="4" t="s">
        <v>93</v>
      </c>
      <c r="D625" s="16" t="n">
        <v>45962</v>
      </c>
      <c r="E625" s="4" t="n">
        <v>2025</v>
      </c>
      <c r="F625" s="4" t="n">
        <v>11</v>
      </c>
      <c r="G625" s="17" t="n">
        <v>2015218</v>
      </c>
      <c r="H625" s="18" t="n">
        <f aca="false">G625*$B$1/1000000</f>
        <v>4.44279519075931</v>
      </c>
    </row>
    <row r="626" customFormat="false" ht="15" hidden="false" customHeight="false" outlineLevel="0" collapsed="false">
      <c r="A626" s="4" t="s">
        <v>205</v>
      </c>
      <c r="B626" s="4" t="s">
        <v>206</v>
      </c>
      <c r="C626" s="4" t="s">
        <v>93</v>
      </c>
      <c r="D626" s="16" t="n">
        <v>46143</v>
      </c>
      <c r="E626" s="4" t="n">
        <v>2026</v>
      </c>
      <c r="F626" s="4" t="n">
        <v>5</v>
      </c>
      <c r="G626" s="17" t="n">
        <v>2085179</v>
      </c>
      <c r="H626" s="18" t="n">
        <f aca="false">G626*$B$1/1000000</f>
        <v>4.59703279400656</v>
      </c>
    </row>
    <row r="627" customFormat="false" ht="15" hidden="false" customHeight="false" outlineLevel="0" collapsed="false">
      <c r="A627" s="4" t="s">
        <v>205</v>
      </c>
      <c r="B627" s="4" t="s">
        <v>206</v>
      </c>
      <c r="C627" s="4" t="s">
        <v>93</v>
      </c>
      <c r="D627" s="16" t="n">
        <v>46235</v>
      </c>
      <c r="E627" s="4" t="n">
        <v>2026</v>
      </c>
      <c r="F627" s="4" t="n">
        <v>8</v>
      </c>
      <c r="G627" s="17" t="n">
        <v>2249454</v>
      </c>
      <c r="H627" s="18" t="n">
        <f aca="false">G627*$B$1/1000000</f>
        <v>4.95919717521097</v>
      </c>
    </row>
    <row r="628" customFormat="false" ht="15" hidden="false" customHeight="false" outlineLevel="0" collapsed="false">
      <c r="A628" s="4" t="s">
        <v>205</v>
      </c>
      <c r="B628" s="4" t="s">
        <v>206</v>
      </c>
      <c r="C628" s="4" t="s">
        <v>63</v>
      </c>
      <c r="D628" s="16" t="n">
        <v>44378</v>
      </c>
      <c r="E628" s="4" t="n">
        <v>2021</v>
      </c>
      <c r="F628" s="4" t="n">
        <v>7</v>
      </c>
      <c r="G628" s="17" t="n">
        <v>40970</v>
      </c>
      <c r="H628" s="18" t="n">
        <f aca="false">G628*$B$1/1000000</f>
        <v>0.0903233888171945</v>
      </c>
    </row>
    <row r="629" customFormat="false" ht="15" hidden="false" customHeight="false" outlineLevel="0" collapsed="false">
      <c r="A629" s="4" t="s">
        <v>205</v>
      </c>
      <c r="B629" s="4" t="s">
        <v>206</v>
      </c>
      <c r="C629" s="4" t="s">
        <v>63</v>
      </c>
      <c r="D629" s="16" t="n">
        <v>44958</v>
      </c>
      <c r="E629" s="4" t="n">
        <v>2023</v>
      </c>
      <c r="F629" s="4" t="n">
        <v>2</v>
      </c>
      <c r="G629" s="17" t="n">
        <v>67614</v>
      </c>
      <c r="H629" s="18" t="n">
        <f aca="false">G629*$B$1/1000000</f>
        <v>0.149063353953766</v>
      </c>
    </row>
    <row r="630" customFormat="false" ht="15" hidden="false" customHeight="false" outlineLevel="0" collapsed="false">
      <c r="A630" s="4" t="s">
        <v>205</v>
      </c>
      <c r="B630" s="4" t="s">
        <v>206</v>
      </c>
      <c r="C630" s="4" t="s">
        <v>70</v>
      </c>
      <c r="D630" s="16" t="n">
        <v>43891</v>
      </c>
      <c r="E630" s="4" t="n">
        <v>2020</v>
      </c>
      <c r="F630" s="4" t="n">
        <v>3</v>
      </c>
      <c r="G630" s="17" t="n">
        <v>153</v>
      </c>
      <c r="H630" s="18" t="n">
        <f aca="false">G630*$B$1/1000000</f>
        <v>0.00033730726114305</v>
      </c>
    </row>
    <row r="631" customFormat="false" ht="15" hidden="false" customHeight="false" outlineLevel="0" collapsed="false">
      <c r="A631" s="4" t="s">
        <v>205</v>
      </c>
      <c r="B631" s="4" t="s">
        <v>206</v>
      </c>
      <c r="C631" s="4" t="s">
        <v>70</v>
      </c>
      <c r="D631" s="16" t="n">
        <v>44652</v>
      </c>
      <c r="E631" s="4" t="n">
        <v>2022</v>
      </c>
      <c r="F631" s="4" t="n">
        <v>4</v>
      </c>
      <c r="G631" s="17" t="n">
        <v>54</v>
      </c>
      <c r="H631" s="18" t="n">
        <f aca="false">G631*$B$1/1000000</f>
        <v>0.0001190496215799</v>
      </c>
    </row>
    <row r="632" customFormat="false" ht="15" hidden="false" customHeight="false" outlineLevel="0" collapsed="false">
      <c r="A632" s="4" t="s">
        <v>205</v>
      </c>
      <c r="B632" s="4" t="s">
        <v>206</v>
      </c>
      <c r="C632" s="4" t="s">
        <v>70</v>
      </c>
      <c r="D632" s="16" t="n">
        <v>44927</v>
      </c>
      <c r="E632" s="4" t="n">
        <v>2023</v>
      </c>
      <c r="F632" s="4" t="n">
        <v>1</v>
      </c>
      <c r="G632" s="17" t="n">
        <v>54</v>
      </c>
      <c r="H632" s="18" t="n">
        <f aca="false">G632*$B$1/1000000</f>
        <v>0.0001190496215799</v>
      </c>
    </row>
    <row r="633" customFormat="false" ht="15" hidden="false" customHeight="false" outlineLevel="0" collapsed="false">
      <c r="A633" s="4" t="s">
        <v>205</v>
      </c>
      <c r="B633" s="4" t="s">
        <v>206</v>
      </c>
      <c r="C633" s="4" t="s">
        <v>70</v>
      </c>
      <c r="D633" s="16" t="n">
        <v>45627</v>
      </c>
      <c r="E633" s="4" t="n">
        <v>2024</v>
      </c>
      <c r="F633" s="4" t="n">
        <v>12</v>
      </c>
      <c r="G633" s="17" t="n">
        <v>2</v>
      </c>
      <c r="H633" s="18" t="n">
        <f aca="false">G633*$B$1/1000000</f>
        <v>4.4092452437E-006</v>
      </c>
    </row>
    <row r="634" customFormat="false" ht="15" hidden="false" customHeight="false" outlineLevel="0" collapsed="false">
      <c r="A634" s="4" t="s">
        <v>205</v>
      </c>
      <c r="B634" s="4" t="s">
        <v>206</v>
      </c>
      <c r="C634" s="4" t="s">
        <v>70</v>
      </c>
      <c r="D634" s="16" t="n">
        <v>45717</v>
      </c>
      <c r="E634" s="4" t="n">
        <v>2025</v>
      </c>
      <c r="F634" s="4" t="n">
        <v>3</v>
      </c>
      <c r="G634" s="17" t="n">
        <v>72</v>
      </c>
      <c r="H634" s="18" t="n">
        <f aca="false">G634*$B$1/1000000</f>
        <v>0.0001587328287732</v>
      </c>
    </row>
    <row r="635" customFormat="false" ht="15" hidden="false" customHeight="false" outlineLevel="0" collapsed="false">
      <c r="A635" s="4" t="s">
        <v>205</v>
      </c>
      <c r="B635" s="4" t="s">
        <v>206</v>
      </c>
      <c r="C635" s="4" t="s">
        <v>70</v>
      </c>
      <c r="D635" s="16" t="n">
        <v>45748</v>
      </c>
      <c r="E635" s="4" t="n">
        <v>2025</v>
      </c>
      <c r="F635" s="4" t="n">
        <v>4</v>
      </c>
      <c r="G635" s="17" t="n">
        <v>237</v>
      </c>
      <c r="H635" s="18" t="n">
        <f aca="false">G635*$B$1/1000000</f>
        <v>0.00052249556137845</v>
      </c>
    </row>
    <row r="636" customFormat="false" ht="15" hidden="false" customHeight="false" outlineLevel="0" collapsed="false">
      <c r="A636" s="4" t="s">
        <v>205</v>
      </c>
      <c r="B636" s="4" t="s">
        <v>206</v>
      </c>
      <c r="C636" s="4" t="s">
        <v>70</v>
      </c>
      <c r="D636" s="16" t="n">
        <v>45778</v>
      </c>
      <c r="E636" s="4" t="n">
        <v>2025</v>
      </c>
      <c r="F636" s="4" t="n">
        <v>5</v>
      </c>
      <c r="G636" s="17" t="n">
        <v>120</v>
      </c>
      <c r="H636" s="18" t="n">
        <f aca="false">G636*$B$1/1000000</f>
        <v>0.000264554714622</v>
      </c>
    </row>
    <row r="637" customFormat="false" ht="15" hidden="false" customHeight="false" outlineLevel="0" collapsed="false">
      <c r="A637" s="4" t="s">
        <v>205</v>
      </c>
      <c r="B637" s="4" t="s">
        <v>206</v>
      </c>
      <c r="C637" s="4" t="s">
        <v>70</v>
      </c>
      <c r="D637" s="16" t="n">
        <v>45809</v>
      </c>
      <c r="E637" s="4" t="n">
        <v>2025</v>
      </c>
      <c r="F637" s="4" t="n">
        <v>6</v>
      </c>
      <c r="G637" s="17" t="n">
        <v>115</v>
      </c>
      <c r="H637" s="18" t="n">
        <f aca="false">G637*$B$1/1000000</f>
        <v>0.00025353160151275</v>
      </c>
    </row>
    <row r="638" customFormat="false" ht="15" hidden="false" customHeight="false" outlineLevel="0" collapsed="false">
      <c r="A638" s="4" t="s">
        <v>205</v>
      </c>
      <c r="B638" s="4" t="s">
        <v>206</v>
      </c>
      <c r="C638" s="4" t="s">
        <v>70</v>
      </c>
      <c r="D638" s="16" t="n">
        <v>45839</v>
      </c>
      <c r="E638" s="4" t="n">
        <v>2025</v>
      </c>
      <c r="F638" s="4" t="n">
        <v>7</v>
      </c>
      <c r="G638" s="17" t="n">
        <v>454</v>
      </c>
      <c r="H638" s="18" t="n">
        <f aca="false">G638*$B$1/1000000</f>
        <v>0.0010008986703199</v>
      </c>
    </row>
    <row r="639" customFormat="false" ht="15" hidden="false" customHeight="false" outlineLevel="0" collapsed="false">
      <c r="A639" s="4" t="s">
        <v>205</v>
      </c>
      <c r="B639" s="4" t="s">
        <v>206</v>
      </c>
      <c r="C639" s="4" t="s">
        <v>70</v>
      </c>
      <c r="D639" s="16" t="n">
        <v>45870</v>
      </c>
      <c r="E639" s="4" t="n">
        <v>2025</v>
      </c>
      <c r="F639" s="4" t="n">
        <v>8</v>
      </c>
      <c r="G639" s="17" t="n">
        <v>240</v>
      </c>
      <c r="H639" s="18" t="n">
        <f aca="false">G639*$B$1/1000000</f>
        <v>0.000529109429244</v>
      </c>
    </row>
    <row r="640" customFormat="false" ht="15" hidden="false" customHeight="false" outlineLevel="0" collapsed="false">
      <c r="A640" s="4" t="s">
        <v>205</v>
      </c>
      <c r="B640" s="4" t="s">
        <v>206</v>
      </c>
      <c r="C640" s="4" t="s">
        <v>70</v>
      </c>
      <c r="D640" s="16" t="n">
        <v>45901</v>
      </c>
      <c r="E640" s="4" t="n">
        <v>2025</v>
      </c>
      <c r="F640" s="4" t="n">
        <v>9</v>
      </c>
      <c r="G640" s="17" t="n">
        <v>110</v>
      </c>
      <c r="H640" s="18" t="n">
        <f aca="false">G640*$B$1/1000000</f>
        <v>0.0002425084884035</v>
      </c>
    </row>
    <row r="641" customFormat="false" ht="15" hidden="false" customHeight="false" outlineLevel="0" collapsed="false">
      <c r="A641" s="4" t="s">
        <v>205</v>
      </c>
      <c r="B641" s="4" t="s">
        <v>206</v>
      </c>
      <c r="C641" s="4" t="s">
        <v>70</v>
      </c>
      <c r="D641" s="16" t="n">
        <v>45931</v>
      </c>
      <c r="E641" s="4" t="n">
        <v>2025</v>
      </c>
      <c r="F641" s="4" t="n">
        <v>10</v>
      </c>
      <c r="G641" s="17" t="n">
        <v>111</v>
      </c>
      <c r="H641" s="18" t="n">
        <f aca="false">G641*$B$1/1000000</f>
        <v>0.00024471311102535</v>
      </c>
    </row>
    <row r="642" customFormat="false" ht="15" hidden="false" customHeight="false" outlineLevel="0" collapsed="false">
      <c r="A642" s="4" t="s">
        <v>205</v>
      </c>
      <c r="B642" s="4" t="s">
        <v>206</v>
      </c>
      <c r="C642" s="4" t="s">
        <v>70</v>
      </c>
      <c r="D642" s="16" t="n">
        <v>45992</v>
      </c>
      <c r="E642" s="4" t="n">
        <v>2025</v>
      </c>
      <c r="F642" s="4" t="n">
        <v>12</v>
      </c>
      <c r="G642" s="17" t="n">
        <v>155</v>
      </c>
      <c r="H642" s="18" t="n">
        <f aca="false">G642*$B$1/1000000</f>
        <v>0.00034171650638675</v>
      </c>
    </row>
    <row r="643" customFormat="false" ht="15" hidden="false" customHeight="false" outlineLevel="0" collapsed="false">
      <c r="A643" s="4" t="s">
        <v>205</v>
      </c>
      <c r="B643" s="4" t="s">
        <v>206</v>
      </c>
      <c r="C643" s="4" t="s">
        <v>70</v>
      </c>
      <c r="D643" s="16" t="n">
        <v>46023</v>
      </c>
      <c r="E643" s="4" t="n">
        <v>2026</v>
      </c>
      <c r="F643" s="4" t="n">
        <v>1</v>
      </c>
      <c r="G643" s="17" t="n">
        <v>110</v>
      </c>
      <c r="H643" s="18" t="n">
        <f aca="false">G643*$B$1/1000000</f>
        <v>0.0002425084884035</v>
      </c>
    </row>
    <row r="644" customFormat="false" ht="15" hidden="false" customHeight="false" outlineLevel="0" collapsed="false">
      <c r="A644" s="4" t="s">
        <v>205</v>
      </c>
      <c r="B644" s="4" t="s">
        <v>206</v>
      </c>
      <c r="C644" s="4" t="s">
        <v>70</v>
      </c>
      <c r="D644" s="16" t="n">
        <v>46054</v>
      </c>
      <c r="E644" s="4" t="n">
        <v>2026</v>
      </c>
      <c r="F644" s="4" t="n">
        <v>2</v>
      </c>
      <c r="G644" s="17" t="n">
        <v>105</v>
      </c>
      <c r="H644" s="18" t="n">
        <f aca="false">G644*$B$1/1000000</f>
        <v>0.00023148537529425</v>
      </c>
    </row>
    <row r="645" customFormat="false" ht="15" hidden="false" customHeight="false" outlineLevel="0" collapsed="false">
      <c r="A645" s="4" t="s">
        <v>205</v>
      </c>
      <c r="B645" s="4" t="s">
        <v>206</v>
      </c>
      <c r="C645" s="4" t="s">
        <v>70</v>
      </c>
      <c r="D645" s="16" t="n">
        <v>46082</v>
      </c>
      <c r="E645" s="4" t="n">
        <v>2026</v>
      </c>
      <c r="F645" s="4" t="n">
        <v>3</v>
      </c>
      <c r="G645" s="17" t="n">
        <v>130</v>
      </c>
      <c r="H645" s="18" t="n">
        <f aca="false">G645*$B$1/1000000</f>
        <v>0.0002866009408405</v>
      </c>
    </row>
    <row r="646" customFormat="false" ht="15" hidden="false" customHeight="false" outlineLevel="0" collapsed="false">
      <c r="A646" s="4" t="s">
        <v>205</v>
      </c>
      <c r="B646" s="4" t="s">
        <v>206</v>
      </c>
      <c r="C646" s="4" t="s">
        <v>70</v>
      </c>
      <c r="D646" s="16" t="n">
        <v>46113</v>
      </c>
      <c r="E646" s="4" t="n">
        <v>2026</v>
      </c>
      <c r="F646" s="4" t="n">
        <v>4</v>
      </c>
      <c r="G646" s="17" t="n">
        <v>116</v>
      </c>
      <c r="H646" s="18" t="n">
        <f aca="false">G646*$B$1/1000000</f>
        <v>0.0002557362241346</v>
      </c>
    </row>
    <row r="647" customFormat="false" ht="15" hidden="false" customHeight="false" outlineLevel="0" collapsed="false">
      <c r="A647" s="4" t="s">
        <v>205</v>
      </c>
      <c r="B647" s="4" t="s">
        <v>206</v>
      </c>
      <c r="C647" s="4" t="s">
        <v>70</v>
      </c>
      <c r="D647" s="16" t="n">
        <v>46143</v>
      </c>
      <c r="E647" s="4" t="n">
        <v>2026</v>
      </c>
      <c r="F647" s="4" t="n">
        <v>5</v>
      </c>
      <c r="G647" s="17" t="n">
        <v>190</v>
      </c>
      <c r="H647" s="18" t="n">
        <f aca="false">G647*$B$1/1000000</f>
        <v>0.0004188782981515</v>
      </c>
    </row>
    <row r="648" customFormat="false" ht="15" hidden="false" customHeight="false" outlineLevel="0" collapsed="false">
      <c r="A648" s="4" t="s">
        <v>205</v>
      </c>
      <c r="B648" s="4" t="s">
        <v>206</v>
      </c>
      <c r="C648" s="4" t="s">
        <v>70</v>
      </c>
      <c r="D648" s="16" t="n">
        <v>46174</v>
      </c>
      <c r="E648" s="4" t="n">
        <v>2026</v>
      </c>
      <c r="F648" s="4" t="n">
        <v>6</v>
      </c>
      <c r="G648" s="17" t="n">
        <v>234</v>
      </c>
      <c r="H648" s="18" t="n">
        <f aca="false">G648*$B$1/1000000</f>
        <v>0.0005158816935129</v>
      </c>
    </row>
    <row r="649" customFormat="false" ht="15" hidden="false" customHeight="false" outlineLevel="0" collapsed="false">
      <c r="A649" s="4" t="s">
        <v>205</v>
      </c>
      <c r="B649" s="4" t="s">
        <v>206</v>
      </c>
      <c r="C649" s="4" t="s">
        <v>70</v>
      </c>
      <c r="D649" s="16" t="n">
        <v>46204</v>
      </c>
      <c r="E649" s="4" t="n">
        <v>2026</v>
      </c>
      <c r="F649" s="4" t="n">
        <v>7</v>
      </c>
      <c r="G649" s="17" t="n">
        <v>226</v>
      </c>
      <c r="H649" s="18" t="n">
        <f aca="false">G649*$B$1/1000000</f>
        <v>0.0004982447125381</v>
      </c>
    </row>
    <row r="650" customFormat="false" ht="15" hidden="false" customHeight="false" outlineLevel="0" collapsed="false">
      <c r="A650" s="4" t="s">
        <v>205</v>
      </c>
      <c r="B650" s="4" t="s">
        <v>206</v>
      </c>
      <c r="C650" s="4" t="s">
        <v>70</v>
      </c>
      <c r="D650" s="16" t="n">
        <v>46235</v>
      </c>
      <c r="E650" s="4" t="n">
        <v>2026</v>
      </c>
      <c r="F650" s="4" t="n">
        <v>8</v>
      </c>
      <c r="G650" s="17" t="n">
        <v>120</v>
      </c>
      <c r="H650" s="18" t="n">
        <f aca="false">G650*$B$1/1000000</f>
        <v>0.000264554714622</v>
      </c>
    </row>
    <row r="651" customFormat="false" ht="15" hidden="false" customHeight="false" outlineLevel="0" collapsed="false">
      <c r="A651" s="4" t="s">
        <v>205</v>
      </c>
      <c r="B651" s="4" t="s">
        <v>206</v>
      </c>
      <c r="C651" s="4" t="s">
        <v>156</v>
      </c>
      <c r="D651" s="16" t="n">
        <v>44927</v>
      </c>
      <c r="E651" s="4" t="n">
        <v>2023</v>
      </c>
      <c r="F651" s="4" t="n">
        <v>1</v>
      </c>
      <c r="G651" s="17" t="n">
        <v>2832800</v>
      </c>
      <c r="H651" s="18" t="n">
        <f aca="false">G651*$B$1/1000000</f>
        <v>6.24525496317668</v>
      </c>
    </row>
    <row r="652" customFormat="false" ht="15" hidden="false" customHeight="false" outlineLevel="0" collapsed="false">
      <c r="A652" s="4" t="s">
        <v>205</v>
      </c>
      <c r="B652" s="4" t="s">
        <v>206</v>
      </c>
      <c r="C652" s="4" t="s">
        <v>156</v>
      </c>
      <c r="D652" s="16" t="n">
        <v>45047</v>
      </c>
      <c r="E652" s="4" t="n">
        <v>2023</v>
      </c>
      <c r="F652" s="4" t="n">
        <v>5</v>
      </c>
      <c r="G652" s="17" t="n">
        <v>3060782</v>
      </c>
      <c r="H652" s="18" t="n">
        <f aca="false">G652*$B$1/1000000</f>
        <v>6.74786923775129</v>
      </c>
    </row>
    <row r="653" customFormat="false" ht="15" hidden="false" customHeight="false" outlineLevel="0" collapsed="false">
      <c r="A653" s="4" t="s">
        <v>205</v>
      </c>
      <c r="B653" s="4" t="s">
        <v>206</v>
      </c>
      <c r="C653" s="4" t="s">
        <v>156</v>
      </c>
      <c r="D653" s="16" t="n">
        <v>45261</v>
      </c>
      <c r="E653" s="4" t="n">
        <v>2023</v>
      </c>
      <c r="F653" s="4" t="n">
        <v>12</v>
      </c>
      <c r="G653" s="17" t="n">
        <v>159380</v>
      </c>
      <c r="H653" s="18" t="n">
        <f aca="false">G653*$B$1/1000000</f>
        <v>0.351372753470453</v>
      </c>
    </row>
    <row r="654" customFormat="false" ht="15" hidden="false" customHeight="false" outlineLevel="0" collapsed="false">
      <c r="A654" s="4" t="s">
        <v>205</v>
      </c>
      <c r="B654" s="4" t="s">
        <v>206</v>
      </c>
      <c r="C654" s="4" t="s">
        <v>156</v>
      </c>
      <c r="D654" s="16" t="n">
        <v>45323</v>
      </c>
      <c r="E654" s="4" t="n">
        <v>2024</v>
      </c>
      <c r="F654" s="4" t="n">
        <v>2</v>
      </c>
      <c r="G654" s="17" t="n">
        <v>503620</v>
      </c>
      <c r="H654" s="18" t="n">
        <f aca="false">G654*$B$1/1000000</f>
        <v>1.1102920448161</v>
      </c>
    </row>
    <row r="655" customFormat="false" ht="15" hidden="false" customHeight="false" outlineLevel="0" collapsed="false">
      <c r="A655" s="4" t="s">
        <v>205</v>
      </c>
      <c r="B655" s="4" t="s">
        <v>206</v>
      </c>
      <c r="C655" s="4" t="s">
        <v>156</v>
      </c>
      <c r="D655" s="16" t="n">
        <v>45597</v>
      </c>
      <c r="E655" s="4" t="n">
        <v>2024</v>
      </c>
      <c r="F655" s="4" t="n">
        <v>11</v>
      </c>
      <c r="G655" s="17" t="n">
        <v>506680</v>
      </c>
      <c r="H655" s="18" t="n">
        <f aca="false">G655*$B$1/1000000</f>
        <v>1.11703819003896</v>
      </c>
    </row>
    <row r="656" customFormat="false" ht="15" hidden="false" customHeight="false" outlineLevel="0" collapsed="false">
      <c r="A656" s="4" t="s">
        <v>205</v>
      </c>
      <c r="B656" s="4" t="s">
        <v>206</v>
      </c>
      <c r="C656" s="4" t="s">
        <v>156</v>
      </c>
      <c r="D656" s="16" t="n">
        <v>46204</v>
      </c>
      <c r="E656" s="4" t="n">
        <v>2026</v>
      </c>
      <c r="F656" s="4" t="n">
        <v>7</v>
      </c>
      <c r="G656" s="17" t="n">
        <v>500560</v>
      </c>
      <c r="H656" s="18" t="n">
        <f aca="false">G656*$B$1/1000000</f>
        <v>1.10354589959324</v>
      </c>
    </row>
    <row r="657" customFormat="false" ht="15" hidden="false" customHeight="false" outlineLevel="0" collapsed="false">
      <c r="A657" s="4" t="s">
        <v>205</v>
      </c>
      <c r="B657" s="4" t="s">
        <v>206</v>
      </c>
      <c r="C657" s="4" t="s">
        <v>74</v>
      </c>
      <c r="D657" s="16" t="n">
        <v>45627</v>
      </c>
      <c r="E657" s="4" t="n">
        <v>2024</v>
      </c>
      <c r="F657" s="4" t="n">
        <v>12</v>
      </c>
      <c r="G657" s="17" t="n">
        <v>797992</v>
      </c>
      <c r="H657" s="18" t="n">
        <f aca="false">G657*$B$1/1000000</f>
        <v>1.75927121525533</v>
      </c>
    </row>
    <row r="658" customFormat="false" ht="15" hidden="false" customHeight="false" outlineLevel="0" collapsed="false">
      <c r="A658" s="4" t="s">
        <v>205</v>
      </c>
      <c r="B658" s="4" t="s">
        <v>206</v>
      </c>
      <c r="C658" s="4" t="s">
        <v>74</v>
      </c>
      <c r="D658" s="16" t="n">
        <v>45658</v>
      </c>
      <c r="E658" s="4" t="n">
        <v>2025</v>
      </c>
      <c r="F658" s="4" t="n">
        <v>1</v>
      </c>
      <c r="G658" s="17" t="n">
        <v>784531</v>
      </c>
      <c r="H658" s="18" t="n">
        <f aca="false">G658*$B$1/1000000</f>
        <v>1.7295947901426</v>
      </c>
    </row>
    <row r="659" customFormat="false" ht="15" hidden="false" customHeight="false" outlineLevel="0" collapsed="false">
      <c r="A659" s="4" t="s">
        <v>205</v>
      </c>
      <c r="B659" s="4" t="s">
        <v>206</v>
      </c>
      <c r="C659" s="4" t="s">
        <v>74</v>
      </c>
      <c r="D659" s="16" t="n">
        <v>45689</v>
      </c>
      <c r="E659" s="4" t="n">
        <v>2025</v>
      </c>
      <c r="F659" s="4" t="n">
        <v>2</v>
      </c>
      <c r="G659" s="17" t="n">
        <v>1643222</v>
      </c>
      <c r="H659" s="18" t="n">
        <f aca="false">G659*$B$1/1000000</f>
        <v>3.6226843939216</v>
      </c>
    </row>
    <row r="660" customFormat="false" ht="15" hidden="false" customHeight="false" outlineLevel="0" collapsed="false">
      <c r="A660" s="4" t="s">
        <v>205</v>
      </c>
      <c r="B660" s="4" t="s">
        <v>206</v>
      </c>
      <c r="C660" s="4" t="s">
        <v>74</v>
      </c>
      <c r="D660" s="16" t="n">
        <v>45717</v>
      </c>
      <c r="E660" s="4" t="n">
        <v>2025</v>
      </c>
      <c r="F660" s="4" t="n">
        <v>3</v>
      </c>
      <c r="G660" s="17" t="n">
        <v>669168</v>
      </c>
      <c r="H660" s="18" t="n">
        <f aca="false">G660*$B$1/1000000</f>
        <v>1.47526291061812</v>
      </c>
    </row>
    <row r="661" customFormat="false" ht="15" hidden="false" customHeight="false" outlineLevel="0" collapsed="false">
      <c r="A661" s="4" t="s">
        <v>205</v>
      </c>
      <c r="B661" s="4" t="s">
        <v>206</v>
      </c>
      <c r="C661" s="4" t="s">
        <v>74</v>
      </c>
      <c r="D661" s="16" t="n">
        <v>45778</v>
      </c>
      <c r="E661" s="4" t="n">
        <v>2025</v>
      </c>
      <c r="F661" s="4" t="n">
        <v>5</v>
      </c>
      <c r="G661" s="17" t="n">
        <v>1292007</v>
      </c>
      <c r="H661" s="18" t="n">
        <f aca="false">G661*$B$1/1000000</f>
        <v>2.84838785978855</v>
      </c>
    </row>
    <row r="662" customFormat="false" ht="15" hidden="false" customHeight="false" outlineLevel="0" collapsed="false">
      <c r="A662" s="4" t="s">
        <v>205</v>
      </c>
      <c r="B662" s="4" t="s">
        <v>206</v>
      </c>
      <c r="C662" s="4" t="s">
        <v>74</v>
      </c>
      <c r="D662" s="16" t="n">
        <v>45809</v>
      </c>
      <c r="E662" s="4" t="n">
        <v>2025</v>
      </c>
      <c r="F662" s="4" t="n">
        <v>6</v>
      </c>
      <c r="G662" s="17" t="n">
        <v>15681303</v>
      </c>
      <c r="H662" s="18" t="n">
        <f aca="false">G662*$B$1/1000000</f>
        <v>34.5713553338843</v>
      </c>
    </row>
    <row r="663" customFormat="false" ht="15" hidden="false" customHeight="false" outlineLevel="0" collapsed="false">
      <c r="A663" s="4" t="s">
        <v>205</v>
      </c>
      <c r="B663" s="4" t="s">
        <v>206</v>
      </c>
      <c r="C663" s="4" t="s">
        <v>74</v>
      </c>
      <c r="D663" s="16" t="n">
        <v>45839</v>
      </c>
      <c r="E663" s="4" t="n">
        <v>2025</v>
      </c>
      <c r="F663" s="4" t="n">
        <v>7</v>
      </c>
      <c r="G663" s="17" t="n">
        <v>11773235</v>
      </c>
      <c r="H663" s="18" t="n">
        <f aca="false">G663*$B$1/1000000</f>
        <v>25.9555402133562</v>
      </c>
    </row>
    <row r="664" customFormat="false" ht="15" hidden="false" customHeight="false" outlineLevel="0" collapsed="false">
      <c r="A664" s="4" t="s">
        <v>205</v>
      </c>
      <c r="B664" s="4" t="s">
        <v>206</v>
      </c>
      <c r="C664" s="4" t="s">
        <v>74</v>
      </c>
      <c r="D664" s="16" t="n">
        <v>45870</v>
      </c>
      <c r="E664" s="4" t="n">
        <v>2025</v>
      </c>
      <c r="F664" s="4" t="n">
        <v>8</v>
      </c>
      <c r="G664" s="17" t="n">
        <v>5009480</v>
      </c>
      <c r="H664" s="18" t="n">
        <f aca="false">G664*$B$1/1000000</f>
        <v>11.0440129317051</v>
      </c>
    </row>
    <row r="665" customFormat="false" ht="15" hidden="false" customHeight="false" outlineLevel="0" collapsed="false">
      <c r="A665" s="4" t="s">
        <v>205</v>
      </c>
      <c r="B665" s="4" t="s">
        <v>206</v>
      </c>
      <c r="C665" s="4" t="s">
        <v>74</v>
      </c>
      <c r="D665" s="16" t="n">
        <v>45901</v>
      </c>
      <c r="E665" s="4" t="n">
        <v>2025</v>
      </c>
      <c r="F665" s="4" t="n">
        <v>9</v>
      </c>
      <c r="G665" s="17" t="n">
        <v>14559949</v>
      </c>
      <c r="H665" s="18" t="n">
        <f aca="false">G665*$B$1/1000000</f>
        <v>32.0991929383823</v>
      </c>
    </row>
    <row r="666" customFormat="false" ht="15" hidden="false" customHeight="false" outlineLevel="0" collapsed="false">
      <c r="A666" s="4" t="s">
        <v>205</v>
      </c>
      <c r="B666" s="4" t="s">
        <v>206</v>
      </c>
      <c r="C666" s="4" t="s">
        <v>74</v>
      </c>
      <c r="D666" s="16" t="n">
        <v>46054</v>
      </c>
      <c r="E666" s="4" t="n">
        <v>2026</v>
      </c>
      <c r="F666" s="4" t="n">
        <v>2</v>
      </c>
      <c r="G666" s="17" t="n">
        <v>8981937</v>
      </c>
      <c r="H666" s="18" t="n">
        <f aca="false">G666*$B$1/1000000</f>
        <v>19.8017814982315</v>
      </c>
    </row>
    <row r="667" customFormat="false" ht="15" hidden="false" customHeight="false" outlineLevel="0" collapsed="false">
      <c r="A667" s="4" t="s">
        <v>205</v>
      </c>
      <c r="B667" s="4" t="s">
        <v>206</v>
      </c>
      <c r="C667" s="4" t="s">
        <v>74</v>
      </c>
      <c r="D667" s="16" t="n">
        <v>46082</v>
      </c>
      <c r="E667" s="4" t="n">
        <v>2026</v>
      </c>
      <c r="F667" s="4" t="n">
        <v>3</v>
      </c>
      <c r="G667" s="17" t="n">
        <v>11787366</v>
      </c>
      <c r="H667" s="18" t="n">
        <f aca="false">G667*$B$1/1000000</f>
        <v>25.9866937356255</v>
      </c>
    </row>
    <row r="668" customFormat="false" ht="15" hidden="false" customHeight="false" outlineLevel="0" collapsed="false">
      <c r="A668" s="4" t="s">
        <v>205</v>
      </c>
      <c r="B668" s="4" t="s">
        <v>206</v>
      </c>
      <c r="C668" s="4" t="s">
        <v>74</v>
      </c>
      <c r="D668" s="16" t="n">
        <v>46143</v>
      </c>
      <c r="E668" s="4" t="n">
        <v>2026</v>
      </c>
      <c r="F668" s="4" t="n">
        <v>5</v>
      </c>
      <c r="G668" s="17" t="n">
        <v>18365371</v>
      </c>
      <c r="H668" s="18" t="n">
        <f aca="false">G668*$B$1/1000000</f>
        <v>40.488712365268</v>
      </c>
    </row>
    <row r="669" customFormat="false" ht="15" hidden="false" customHeight="false" outlineLevel="0" collapsed="false">
      <c r="A669" s="4" t="s">
        <v>205</v>
      </c>
      <c r="B669" s="4" t="s">
        <v>206</v>
      </c>
      <c r="C669" s="4" t="s">
        <v>74</v>
      </c>
      <c r="D669" s="16" t="n">
        <v>46204</v>
      </c>
      <c r="E669" s="4" t="n">
        <v>2026</v>
      </c>
      <c r="F669" s="4" t="n">
        <v>7</v>
      </c>
      <c r="G669" s="17" t="n">
        <v>14814598</v>
      </c>
      <c r="H669" s="18" t="n">
        <f aca="false">G669*$B$1/1000000</f>
        <v>32.6605978844138</v>
      </c>
    </row>
    <row r="670" customFormat="false" ht="15" hidden="false" customHeight="false" outlineLevel="0" collapsed="false">
      <c r="A670" s="4" t="s">
        <v>205</v>
      </c>
      <c r="B670" s="4" t="s">
        <v>206</v>
      </c>
      <c r="C670" s="4" t="s">
        <v>74</v>
      </c>
      <c r="D670" s="16" t="n">
        <v>46235</v>
      </c>
      <c r="E670" s="4" t="n">
        <v>2026</v>
      </c>
      <c r="F670" s="4" t="n">
        <v>8</v>
      </c>
      <c r="G670" s="17" t="n">
        <v>640007</v>
      </c>
      <c r="H670" s="18" t="n">
        <f aca="false">G670*$B$1/1000000</f>
        <v>1.41097391034235</v>
      </c>
    </row>
    <row r="671" customFormat="false" ht="15" hidden="false" customHeight="false" outlineLevel="0" collapsed="false">
      <c r="A671" s="4" t="s">
        <v>205</v>
      </c>
      <c r="B671" s="4" t="s">
        <v>206</v>
      </c>
      <c r="C671" s="4" t="s">
        <v>190</v>
      </c>
      <c r="D671" s="16" t="n">
        <v>44378</v>
      </c>
      <c r="E671" s="4" t="n">
        <v>2021</v>
      </c>
      <c r="F671" s="4" t="n">
        <v>7</v>
      </c>
      <c r="G671" s="17" t="n">
        <v>2604630</v>
      </c>
      <c r="H671" s="18" t="n">
        <f aca="false">G671*$B$1/1000000</f>
        <v>5.74222621954917</v>
      </c>
    </row>
    <row r="672" customFormat="false" ht="15" hidden="false" customHeight="false" outlineLevel="0" collapsed="false">
      <c r="A672" s="4" t="s">
        <v>205</v>
      </c>
      <c r="B672" s="4" t="s">
        <v>206</v>
      </c>
      <c r="C672" s="4" t="s">
        <v>190</v>
      </c>
      <c r="D672" s="16" t="n">
        <v>44501</v>
      </c>
      <c r="E672" s="4" t="n">
        <v>2021</v>
      </c>
      <c r="F672" s="4" t="n">
        <v>11</v>
      </c>
      <c r="G672" s="17" t="n">
        <v>4010360</v>
      </c>
      <c r="H672" s="18" t="n">
        <f aca="false">G672*$B$1/1000000</f>
        <v>8.84133037776237</v>
      </c>
    </row>
    <row r="673" customFormat="false" ht="15" hidden="false" customHeight="false" outlineLevel="0" collapsed="false">
      <c r="A673" s="4" t="s">
        <v>205</v>
      </c>
      <c r="B673" s="4" t="s">
        <v>206</v>
      </c>
      <c r="C673" s="4" t="s">
        <v>190</v>
      </c>
      <c r="D673" s="16" t="n">
        <v>44562</v>
      </c>
      <c r="E673" s="4" t="n">
        <v>2022</v>
      </c>
      <c r="F673" s="4" t="n">
        <v>1</v>
      </c>
      <c r="G673" s="17" t="n">
        <v>4020660</v>
      </c>
      <c r="H673" s="18" t="n">
        <f aca="false">G673*$B$1/1000000</f>
        <v>8.86403799076742</v>
      </c>
    </row>
    <row r="674" customFormat="false" ht="15" hidden="false" customHeight="false" outlineLevel="0" collapsed="false">
      <c r="A674" s="4" t="s">
        <v>205</v>
      </c>
      <c r="B674" s="4" t="s">
        <v>206</v>
      </c>
      <c r="C674" s="4" t="s">
        <v>190</v>
      </c>
      <c r="D674" s="16" t="n">
        <v>44621</v>
      </c>
      <c r="E674" s="4" t="n">
        <v>2022</v>
      </c>
      <c r="F674" s="4" t="n">
        <v>3</v>
      </c>
      <c r="G674" s="17" t="n">
        <v>4731227</v>
      </c>
      <c r="H674" s="18" t="n">
        <f aca="false">G674*$B$1/1000000</f>
        <v>10.4305700733075</v>
      </c>
    </row>
    <row r="675" customFormat="false" ht="15" hidden="false" customHeight="false" outlineLevel="0" collapsed="false">
      <c r="A675" s="4" t="s">
        <v>205</v>
      </c>
      <c r="B675" s="4" t="s">
        <v>206</v>
      </c>
      <c r="C675" s="4" t="s">
        <v>190</v>
      </c>
      <c r="D675" s="16" t="n">
        <v>44713</v>
      </c>
      <c r="E675" s="4" t="n">
        <v>2022</v>
      </c>
      <c r="F675" s="4" t="n">
        <v>6</v>
      </c>
      <c r="G675" s="17" t="n">
        <v>4010562</v>
      </c>
      <c r="H675" s="18" t="n">
        <f aca="false">G675*$B$1/1000000</f>
        <v>8.84177571153198</v>
      </c>
    </row>
    <row r="676" customFormat="false" ht="15" hidden="false" customHeight="false" outlineLevel="0" collapsed="false">
      <c r="A676" s="4" t="s">
        <v>205</v>
      </c>
      <c r="B676" s="4" t="s">
        <v>206</v>
      </c>
      <c r="C676" s="4" t="s">
        <v>190</v>
      </c>
      <c r="D676" s="16" t="n">
        <v>44774</v>
      </c>
      <c r="E676" s="4" t="n">
        <v>2022</v>
      </c>
      <c r="F676" s="4" t="n">
        <v>8</v>
      </c>
      <c r="G676" s="17" t="n">
        <v>6009150</v>
      </c>
      <c r="H676" s="18" t="n">
        <f aca="false">G676*$B$1/1000000</f>
        <v>13.2479080280899</v>
      </c>
    </row>
    <row r="677" customFormat="false" ht="15" hidden="false" customHeight="false" outlineLevel="0" collapsed="false">
      <c r="A677" s="4" t="s">
        <v>205</v>
      </c>
      <c r="B677" s="4" t="s">
        <v>206</v>
      </c>
      <c r="C677" s="4" t="s">
        <v>190</v>
      </c>
      <c r="D677" s="16" t="n">
        <v>44805</v>
      </c>
      <c r="E677" s="4" t="n">
        <v>2022</v>
      </c>
      <c r="F677" s="4" t="n">
        <v>9</v>
      </c>
      <c r="G677" s="17" t="n">
        <v>5310570</v>
      </c>
      <c r="H677" s="18" t="n">
        <f aca="false">G677*$B$1/1000000</f>
        <v>11.707802756918</v>
      </c>
    </row>
    <row r="678" customFormat="false" ht="15" hidden="false" customHeight="false" outlineLevel="0" collapsed="false">
      <c r="A678" s="4" t="s">
        <v>205</v>
      </c>
      <c r="B678" s="4" t="s">
        <v>206</v>
      </c>
      <c r="C678" s="4" t="s">
        <v>190</v>
      </c>
      <c r="D678" s="16" t="n">
        <v>44866</v>
      </c>
      <c r="E678" s="4" t="n">
        <v>2022</v>
      </c>
      <c r="F678" s="4" t="n">
        <v>11</v>
      </c>
      <c r="G678" s="17" t="n">
        <v>18381925</v>
      </c>
      <c r="H678" s="18" t="n">
        <f aca="false">G678*$B$1/1000000</f>
        <v>40.5252076881501</v>
      </c>
    </row>
    <row r="679" customFormat="false" ht="15" hidden="false" customHeight="false" outlineLevel="0" collapsed="false">
      <c r="A679" s="4" t="s">
        <v>205</v>
      </c>
      <c r="B679" s="4" t="s">
        <v>206</v>
      </c>
      <c r="C679" s="4" t="s">
        <v>190</v>
      </c>
      <c r="D679" s="16" t="n">
        <v>44896</v>
      </c>
      <c r="E679" s="4" t="n">
        <v>2022</v>
      </c>
      <c r="F679" s="4" t="n">
        <v>12</v>
      </c>
      <c r="G679" s="17" t="n">
        <v>7282151</v>
      </c>
      <c r="H679" s="18" t="n">
        <f aca="false">G679*$B$1/1000000</f>
        <v>16.0543948303276</v>
      </c>
    </row>
    <row r="680" customFormat="false" ht="15" hidden="false" customHeight="false" outlineLevel="0" collapsed="false">
      <c r="A680" s="4" t="s">
        <v>205</v>
      </c>
      <c r="B680" s="4" t="s">
        <v>206</v>
      </c>
      <c r="C680" s="4" t="s">
        <v>190</v>
      </c>
      <c r="D680" s="16" t="n">
        <v>44986</v>
      </c>
      <c r="E680" s="4" t="n">
        <v>2023</v>
      </c>
      <c r="F680" s="4" t="n">
        <v>3</v>
      </c>
      <c r="G680" s="17" t="n">
        <v>13367133</v>
      </c>
      <c r="H680" s="18" t="n">
        <f aca="false">G680*$B$1/1000000</f>
        <v>29.4694838010777</v>
      </c>
    </row>
    <row r="681" customFormat="false" ht="15" hidden="false" customHeight="false" outlineLevel="0" collapsed="false">
      <c r="A681" s="4" t="s">
        <v>205</v>
      </c>
      <c r="B681" s="4" t="s">
        <v>206</v>
      </c>
      <c r="C681" s="4" t="s">
        <v>190</v>
      </c>
      <c r="D681" s="16" t="n">
        <v>45017</v>
      </c>
      <c r="E681" s="4" t="n">
        <v>2023</v>
      </c>
      <c r="F681" s="4" t="n">
        <v>4</v>
      </c>
      <c r="G681" s="17" t="n">
        <v>14220138</v>
      </c>
      <c r="H681" s="18" t="n">
        <f aca="false">G681*$B$1/1000000</f>
        <v>31.3500379206288</v>
      </c>
    </row>
    <row r="682" customFormat="false" ht="15" hidden="false" customHeight="false" outlineLevel="0" collapsed="false">
      <c r="A682" s="4" t="s">
        <v>205</v>
      </c>
      <c r="B682" s="4" t="s">
        <v>206</v>
      </c>
      <c r="C682" s="4" t="s">
        <v>190</v>
      </c>
      <c r="D682" s="16" t="n">
        <v>45078</v>
      </c>
      <c r="E682" s="4" t="n">
        <v>2023</v>
      </c>
      <c r="F682" s="4" t="n">
        <v>6</v>
      </c>
      <c r="G682" s="17" t="n">
        <v>13039890</v>
      </c>
      <c r="H682" s="18" t="n">
        <f aca="false">G682*$B$1/1000000</f>
        <v>28.7480364804356</v>
      </c>
    </row>
    <row r="683" customFormat="false" ht="15" hidden="false" customHeight="false" outlineLevel="0" collapsed="false">
      <c r="A683" s="4" t="s">
        <v>205</v>
      </c>
      <c r="B683" s="4" t="s">
        <v>206</v>
      </c>
      <c r="C683" s="4" t="s">
        <v>190</v>
      </c>
      <c r="D683" s="16" t="n">
        <v>45139</v>
      </c>
      <c r="E683" s="4" t="n">
        <v>2023</v>
      </c>
      <c r="F683" s="4" t="n">
        <v>8</v>
      </c>
      <c r="G683" s="17" t="n">
        <v>3119210</v>
      </c>
      <c r="H683" s="18" t="n">
        <f aca="false">G683*$B$1/1000000</f>
        <v>6.87668092830074</v>
      </c>
    </row>
    <row r="684" customFormat="false" ht="15" hidden="false" customHeight="false" outlineLevel="0" collapsed="false">
      <c r="A684" s="4" t="s">
        <v>205</v>
      </c>
      <c r="B684" s="4" t="s">
        <v>206</v>
      </c>
      <c r="C684" s="4" t="s">
        <v>190</v>
      </c>
      <c r="D684" s="16" t="n">
        <v>45170</v>
      </c>
      <c r="E684" s="4" t="n">
        <v>2023</v>
      </c>
      <c r="F684" s="4" t="n">
        <v>9</v>
      </c>
      <c r="G684" s="17" t="n">
        <v>13057472</v>
      </c>
      <c r="H684" s="18" t="n">
        <f aca="false">G684*$B$1/1000000</f>
        <v>28.786798155373</v>
      </c>
    </row>
    <row r="685" customFormat="false" ht="15" hidden="false" customHeight="false" outlineLevel="0" collapsed="false">
      <c r="A685" s="4" t="s">
        <v>205</v>
      </c>
      <c r="B685" s="4" t="s">
        <v>206</v>
      </c>
      <c r="C685" s="4" t="s">
        <v>190</v>
      </c>
      <c r="D685" s="16" t="n">
        <v>45200</v>
      </c>
      <c r="E685" s="4" t="n">
        <v>2023</v>
      </c>
      <c r="F685" s="4" t="n">
        <v>10</v>
      </c>
      <c r="G685" s="17" t="n">
        <v>10085625</v>
      </c>
      <c r="H685" s="18" t="n">
        <f aca="false">G685*$B$1/1000000</f>
        <v>22.2349970304959</v>
      </c>
    </row>
    <row r="686" customFormat="false" ht="15" hidden="false" customHeight="false" outlineLevel="0" collapsed="false">
      <c r="A686" s="4" t="s">
        <v>205</v>
      </c>
      <c r="B686" s="4" t="s">
        <v>206</v>
      </c>
      <c r="C686" s="4" t="s">
        <v>190</v>
      </c>
      <c r="D686" s="16" t="n">
        <v>45231</v>
      </c>
      <c r="E686" s="4" t="n">
        <v>2023</v>
      </c>
      <c r="F686" s="4" t="n">
        <v>11</v>
      </c>
      <c r="G686" s="17" t="n">
        <v>3024186</v>
      </c>
      <c r="H686" s="18" t="n">
        <f aca="false">G686*$B$1/1000000</f>
        <v>6.66718886828206</v>
      </c>
    </row>
    <row r="687" customFormat="false" ht="15" hidden="false" customHeight="false" outlineLevel="0" collapsed="false">
      <c r="A687" s="4" t="s">
        <v>205</v>
      </c>
      <c r="B687" s="4" t="s">
        <v>206</v>
      </c>
      <c r="C687" s="4" t="s">
        <v>190</v>
      </c>
      <c r="D687" s="16" t="n">
        <v>45292</v>
      </c>
      <c r="E687" s="4" t="n">
        <v>2024</v>
      </c>
      <c r="F687" s="4" t="n">
        <v>1</v>
      </c>
      <c r="G687" s="17" t="n">
        <v>11102017</v>
      </c>
      <c r="H687" s="18" t="n">
        <f aca="false">G687*$B$1/1000000</f>
        <v>24.4757578263633</v>
      </c>
    </row>
    <row r="688" customFormat="false" ht="15" hidden="false" customHeight="false" outlineLevel="0" collapsed="false">
      <c r="A688" s="4" t="s">
        <v>205</v>
      </c>
      <c r="B688" s="4" t="s">
        <v>206</v>
      </c>
      <c r="C688" s="4" t="s">
        <v>190</v>
      </c>
      <c r="D688" s="16" t="n">
        <v>45352</v>
      </c>
      <c r="E688" s="4" t="n">
        <v>2024</v>
      </c>
      <c r="F688" s="4" t="n">
        <v>3</v>
      </c>
      <c r="G688" s="17" t="n">
        <v>13555317</v>
      </c>
      <c r="H688" s="18" t="n">
        <f aca="false">G688*$B$1/1000000</f>
        <v>29.8843585045479</v>
      </c>
    </row>
    <row r="689" customFormat="false" ht="15" hidden="false" customHeight="false" outlineLevel="0" collapsed="false">
      <c r="A689" s="4" t="s">
        <v>205</v>
      </c>
      <c r="B689" s="4" t="s">
        <v>206</v>
      </c>
      <c r="C689" s="4" t="s">
        <v>190</v>
      </c>
      <c r="D689" s="16" t="n">
        <v>45383</v>
      </c>
      <c r="E689" s="4" t="n">
        <v>2024</v>
      </c>
      <c r="F689" s="4" t="n">
        <v>4</v>
      </c>
      <c r="G689" s="17" t="n">
        <v>4538795</v>
      </c>
      <c r="H689" s="18" t="n">
        <f aca="false">G689*$B$1/1000000</f>
        <v>10.0063301329397</v>
      </c>
    </row>
    <row r="690" customFormat="false" ht="15" hidden="false" customHeight="false" outlineLevel="0" collapsed="false">
      <c r="A690" s="4" t="s">
        <v>205</v>
      </c>
      <c r="B690" s="4" t="s">
        <v>206</v>
      </c>
      <c r="C690" s="4" t="s">
        <v>190</v>
      </c>
      <c r="D690" s="16" t="n">
        <v>45413</v>
      </c>
      <c r="E690" s="4" t="n">
        <v>2024</v>
      </c>
      <c r="F690" s="4" t="n">
        <v>5</v>
      </c>
      <c r="G690" s="17" t="n">
        <v>11842530</v>
      </c>
      <c r="H690" s="18" t="n">
        <f aca="false">G690*$B$1/1000000</f>
        <v>26.1083095379373</v>
      </c>
    </row>
    <row r="691" customFormat="false" ht="15" hidden="false" customHeight="false" outlineLevel="0" collapsed="false">
      <c r="A691" s="4" t="s">
        <v>205</v>
      </c>
      <c r="B691" s="4" t="s">
        <v>206</v>
      </c>
      <c r="C691" s="4" t="s">
        <v>190</v>
      </c>
      <c r="D691" s="16" t="n">
        <v>45505</v>
      </c>
      <c r="E691" s="4" t="n">
        <v>2024</v>
      </c>
      <c r="F691" s="4" t="n">
        <v>8</v>
      </c>
      <c r="G691" s="17" t="n">
        <v>7128810</v>
      </c>
      <c r="H691" s="18" t="n">
        <f aca="false">G691*$B$1/1000000</f>
        <v>15.7163357928705</v>
      </c>
    </row>
    <row r="692" customFormat="false" ht="15" hidden="false" customHeight="false" outlineLevel="0" collapsed="false">
      <c r="A692" s="4" t="s">
        <v>205</v>
      </c>
      <c r="B692" s="4" t="s">
        <v>206</v>
      </c>
      <c r="C692" s="4" t="s">
        <v>190</v>
      </c>
      <c r="D692" s="16" t="n">
        <v>45536</v>
      </c>
      <c r="E692" s="4" t="n">
        <v>2024</v>
      </c>
      <c r="F692" s="4" t="n">
        <v>9</v>
      </c>
      <c r="G692" s="17" t="n">
        <v>10844070</v>
      </c>
      <c r="H692" s="18" t="n">
        <f aca="false">G692*$B$1/1000000</f>
        <v>23.9070820349249</v>
      </c>
    </row>
    <row r="693" customFormat="false" ht="15" hidden="false" customHeight="false" outlineLevel="0" collapsed="false">
      <c r="A693" s="4" t="s">
        <v>205</v>
      </c>
      <c r="B693" s="4" t="s">
        <v>206</v>
      </c>
      <c r="C693" s="4" t="s">
        <v>190</v>
      </c>
      <c r="D693" s="16" t="n">
        <v>45597</v>
      </c>
      <c r="E693" s="4" t="n">
        <v>2024</v>
      </c>
      <c r="F693" s="4" t="n">
        <v>11</v>
      </c>
      <c r="G693" s="17" t="n">
        <v>7223090</v>
      </c>
      <c r="H693" s="18" t="n">
        <f aca="false">G693*$B$1/1000000</f>
        <v>15.9241876136585</v>
      </c>
    </row>
    <row r="694" customFormat="false" ht="15" hidden="false" customHeight="false" outlineLevel="0" collapsed="false">
      <c r="A694" s="4" t="s">
        <v>205</v>
      </c>
      <c r="B694" s="4" t="s">
        <v>206</v>
      </c>
      <c r="C694" s="4" t="s">
        <v>190</v>
      </c>
      <c r="D694" s="16" t="n">
        <v>45627</v>
      </c>
      <c r="E694" s="4" t="n">
        <v>2024</v>
      </c>
      <c r="F694" s="4" t="n">
        <v>12</v>
      </c>
      <c r="G694" s="17" t="n">
        <v>13503277</v>
      </c>
      <c r="H694" s="18" t="n">
        <f aca="false">G694*$B$1/1000000</f>
        <v>29.7696299433068</v>
      </c>
    </row>
    <row r="695" customFormat="false" ht="15" hidden="false" customHeight="false" outlineLevel="0" collapsed="false">
      <c r="A695" s="4" t="s">
        <v>205</v>
      </c>
      <c r="B695" s="4" t="s">
        <v>206</v>
      </c>
      <c r="C695" s="4" t="s">
        <v>190</v>
      </c>
      <c r="D695" s="16" t="n">
        <v>45658</v>
      </c>
      <c r="E695" s="4" t="n">
        <v>2025</v>
      </c>
      <c r="F695" s="4" t="n">
        <v>1</v>
      </c>
      <c r="G695" s="17" t="n">
        <v>7480578</v>
      </c>
      <c r="H695" s="18" t="n">
        <f aca="false">G695*$B$1/1000000</f>
        <v>16.4918514833134</v>
      </c>
    </row>
    <row r="696" customFormat="false" ht="15" hidden="false" customHeight="false" outlineLevel="0" collapsed="false">
      <c r="A696" s="4" t="s">
        <v>205</v>
      </c>
      <c r="B696" s="4" t="s">
        <v>206</v>
      </c>
      <c r="C696" s="4" t="s">
        <v>190</v>
      </c>
      <c r="D696" s="16" t="n">
        <v>45717</v>
      </c>
      <c r="E696" s="4" t="n">
        <v>2025</v>
      </c>
      <c r="F696" s="4" t="n">
        <v>3</v>
      </c>
      <c r="G696" s="17" t="n">
        <v>6578248</v>
      </c>
      <c r="H696" s="18" t="n">
        <f aca="false">G696*$B$1/1000000</f>
        <v>14.5025543529395</v>
      </c>
    </row>
    <row r="697" customFormat="false" ht="15" hidden="false" customHeight="false" outlineLevel="0" collapsed="false">
      <c r="A697" s="4" t="s">
        <v>205</v>
      </c>
      <c r="B697" s="4" t="s">
        <v>206</v>
      </c>
      <c r="C697" s="4" t="s">
        <v>190</v>
      </c>
      <c r="D697" s="16" t="n">
        <v>45748</v>
      </c>
      <c r="E697" s="4" t="n">
        <v>2025</v>
      </c>
      <c r="F697" s="4" t="n">
        <v>4</v>
      </c>
      <c r="G697" s="17" t="n">
        <v>12936000</v>
      </c>
      <c r="H697" s="18" t="n">
        <f aca="false">G697*$B$1/1000000</f>
        <v>28.5189982362516</v>
      </c>
    </row>
    <row r="698" customFormat="false" ht="15" hidden="false" customHeight="false" outlineLevel="0" collapsed="false">
      <c r="A698" s="4" t="s">
        <v>205</v>
      </c>
      <c r="B698" s="4" t="s">
        <v>206</v>
      </c>
      <c r="C698" s="4" t="s">
        <v>190</v>
      </c>
      <c r="D698" s="16" t="n">
        <v>45809</v>
      </c>
      <c r="E698" s="4" t="n">
        <v>2025</v>
      </c>
      <c r="F698" s="4" t="n">
        <v>6</v>
      </c>
      <c r="G698" s="17" t="n">
        <v>7937445</v>
      </c>
      <c r="H698" s="18" t="n">
        <f aca="false">G698*$B$1/1000000</f>
        <v>17.4990708066902</v>
      </c>
    </row>
    <row r="699" customFormat="false" ht="15" hidden="false" customHeight="false" outlineLevel="0" collapsed="false">
      <c r="A699" s="4" t="s">
        <v>205</v>
      </c>
      <c r="B699" s="4" t="s">
        <v>206</v>
      </c>
      <c r="C699" s="4" t="s">
        <v>190</v>
      </c>
      <c r="D699" s="16" t="n">
        <v>45839</v>
      </c>
      <c r="E699" s="4" t="n">
        <v>2025</v>
      </c>
      <c r="F699" s="4" t="n">
        <v>7</v>
      </c>
      <c r="G699" s="17" t="n">
        <v>7004850</v>
      </c>
      <c r="H699" s="18" t="n">
        <f aca="false">G699*$B$1/1000000</f>
        <v>15.443050772666</v>
      </c>
    </row>
    <row r="700" customFormat="false" ht="15" hidden="false" customHeight="false" outlineLevel="0" collapsed="false">
      <c r="A700" s="4" t="s">
        <v>205</v>
      </c>
      <c r="B700" s="4" t="s">
        <v>206</v>
      </c>
      <c r="C700" s="4" t="s">
        <v>190</v>
      </c>
      <c r="D700" s="16" t="n">
        <v>45901</v>
      </c>
      <c r="E700" s="4" t="n">
        <v>2025</v>
      </c>
      <c r="F700" s="4" t="n">
        <v>9</v>
      </c>
      <c r="G700" s="17" t="n">
        <v>1009080</v>
      </c>
      <c r="H700" s="18" t="n">
        <f aca="false">G700*$B$1/1000000</f>
        <v>2.2246405952564</v>
      </c>
    </row>
    <row r="701" customFormat="false" ht="15" hidden="false" customHeight="false" outlineLevel="0" collapsed="false">
      <c r="A701" s="4" t="s">
        <v>205</v>
      </c>
      <c r="B701" s="4" t="s">
        <v>206</v>
      </c>
      <c r="C701" s="4" t="s">
        <v>190</v>
      </c>
      <c r="D701" s="16" t="n">
        <v>45931</v>
      </c>
      <c r="E701" s="4" t="n">
        <v>2025</v>
      </c>
      <c r="F701" s="4" t="n">
        <v>10</v>
      </c>
      <c r="G701" s="17" t="n">
        <v>5014580</v>
      </c>
      <c r="H701" s="18" t="n">
        <f aca="false">G701*$B$1/1000000</f>
        <v>11.0552565070766</v>
      </c>
    </row>
    <row r="702" customFormat="false" ht="15" hidden="false" customHeight="false" outlineLevel="0" collapsed="false">
      <c r="A702" s="4" t="s">
        <v>205</v>
      </c>
      <c r="B702" s="4" t="s">
        <v>206</v>
      </c>
      <c r="C702" s="4" t="s">
        <v>190</v>
      </c>
      <c r="D702" s="16" t="n">
        <v>45962</v>
      </c>
      <c r="E702" s="4" t="n">
        <v>2025</v>
      </c>
      <c r="F702" s="4" t="n">
        <v>11</v>
      </c>
      <c r="G702" s="17" t="n">
        <v>2091470</v>
      </c>
      <c r="H702" s="18" t="n">
        <f aca="false">G702*$B$1/1000000</f>
        <v>4.61090207492062</v>
      </c>
    </row>
    <row r="703" customFormat="false" ht="15" hidden="false" customHeight="false" outlineLevel="0" collapsed="false">
      <c r="A703" s="4" t="s">
        <v>205</v>
      </c>
      <c r="B703" s="4" t="s">
        <v>206</v>
      </c>
      <c r="C703" s="4" t="s">
        <v>190</v>
      </c>
      <c r="D703" s="16" t="n">
        <v>46082</v>
      </c>
      <c r="E703" s="4" t="n">
        <v>2026</v>
      </c>
      <c r="F703" s="4" t="n">
        <v>3</v>
      </c>
      <c r="G703" s="17" t="n">
        <v>2017540</v>
      </c>
      <c r="H703" s="18" t="n">
        <f aca="false">G703*$B$1/1000000</f>
        <v>4.44791432448725</v>
      </c>
    </row>
    <row r="704" customFormat="false" ht="15" hidden="false" customHeight="false" outlineLevel="0" collapsed="false">
      <c r="A704" s="4" t="s">
        <v>205</v>
      </c>
      <c r="B704" s="4" t="s">
        <v>206</v>
      </c>
      <c r="C704" s="4" t="s">
        <v>190</v>
      </c>
      <c r="D704" s="16" t="n">
        <v>46143</v>
      </c>
      <c r="E704" s="4" t="n">
        <v>2026</v>
      </c>
      <c r="F704" s="4" t="n">
        <v>5</v>
      </c>
      <c r="G704" s="17" t="n">
        <v>6198420</v>
      </c>
      <c r="H704" s="18" t="n">
        <f aca="false">G704*$B$1/1000000</f>
        <v>13.6651769517275</v>
      </c>
    </row>
    <row r="705" customFormat="false" ht="15" hidden="false" customHeight="false" outlineLevel="0" collapsed="false">
      <c r="A705" s="4" t="s">
        <v>205</v>
      </c>
      <c r="B705" s="4" t="s">
        <v>206</v>
      </c>
      <c r="C705" s="4" t="s">
        <v>190</v>
      </c>
      <c r="D705" s="16" t="n">
        <v>46174</v>
      </c>
      <c r="E705" s="4" t="n">
        <v>2026</v>
      </c>
      <c r="F705" s="4" t="n">
        <v>6</v>
      </c>
      <c r="G705" s="17" t="n">
        <v>424350</v>
      </c>
      <c r="H705" s="18" t="n">
        <f aca="false">G705*$B$1/1000000</f>
        <v>0.935531609582048</v>
      </c>
    </row>
    <row r="706" customFormat="false" ht="15" hidden="false" customHeight="false" outlineLevel="0" collapsed="false">
      <c r="A706" s="4" t="s">
        <v>205</v>
      </c>
      <c r="B706" s="4" t="s">
        <v>206</v>
      </c>
      <c r="C706" s="4" t="s">
        <v>190</v>
      </c>
      <c r="D706" s="16" t="n">
        <v>46204</v>
      </c>
      <c r="E706" s="4" t="n">
        <v>2026</v>
      </c>
      <c r="F706" s="4" t="n">
        <v>7</v>
      </c>
      <c r="G706" s="17" t="n">
        <v>15112290</v>
      </c>
      <c r="H706" s="18" t="n">
        <f aca="false">G706*$B$1/1000000</f>
        <v>33.3168964019575</v>
      </c>
    </row>
    <row r="707" customFormat="false" ht="15" hidden="false" customHeight="false" outlineLevel="0" collapsed="false">
      <c r="A707" s="4" t="s">
        <v>205</v>
      </c>
      <c r="B707" s="4" t="s">
        <v>206</v>
      </c>
      <c r="C707" s="4" t="s">
        <v>190</v>
      </c>
      <c r="D707" s="16" t="n">
        <v>46235</v>
      </c>
      <c r="E707" s="4" t="n">
        <v>2026</v>
      </c>
      <c r="F707" s="4" t="n">
        <v>8</v>
      </c>
      <c r="G707" s="17" t="n">
        <v>669430</v>
      </c>
      <c r="H707" s="18" t="n">
        <f aca="false">G707*$B$1/1000000</f>
        <v>1.47584052174505</v>
      </c>
    </row>
    <row r="708" customFormat="false" ht="15" hidden="false" customHeight="false" outlineLevel="0" collapsed="false">
      <c r="A708" s="4" t="s">
        <v>205</v>
      </c>
      <c r="B708" s="4" t="s">
        <v>206</v>
      </c>
      <c r="C708" s="4" t="s">
        <v>75</v>
      </c>
      <c r="D708" s="16" t="n">
        <v>45717</v>
      </c>
      <c r="E708" s="4" t="n">
        <v>2025</v>
      </c>
      <c r="F708" s="4" t="n">
        <v>3</v>
      </c>
      <c r="G708" s="17" t="n">
        <v>2496008</v>
      </c>
      <c r="H708" s="18" t="n">
        <f aca="false">G708*$B$1/1000000</f>
        <v>5.50275570111857</v>
      </c>
    </row>
    <row r="709" customFormat="false" ht="15" hidden="false" customHeight="false" outlineLevel="0" collapsed="false">
      <c r="A709" s="4" t="s">
        <v>205</v>
      </c>
      <c r="B709" s="4" t="s">
        <v>206</v>
      </c>
      <c r="C709" s="4" t="s">
        <v>75</v>
      </c>
      <c r="D709" s="16" t="n">
        <v>45748</v>
      </c>
      <c r="E709" s="4" t="n">
        <v>2025</v>
      </c>
      <c r="F709" s="4" t="n">
        <v>4</v>
      </c>
      <c r="G709" s="17" t="n">
        <v>2609930</v>
      </c>
      <c r="H709" s="18" t="n">
        <f aca="false">G709*$B$1/1000000</f>
        <v>5.75391071944497</v>
      </c>
    </row>
    <row r="710" customFormat="false" ht="15" hidden="false" customHeight="false" outlineLevel="0" collapsed="false">
      <c r="A710" s="4" t="s">
        <v>205</v>
      </c>
      <c r="B710" s="4" t="s">
        <v>206</v>
      </c>
      <c r="C710" s="4" t="s">
        <v>75</v>
      </c>
      <c r="D710" s="16" t="n">
        <v>45778</v>
      </c>
      <c r="E710" s="4" t="n">
        <v>2025</v>
      </c>
      <c r="F710" s="4" t="n">
        <v>5</v>
      </c>
      <c r="G710" s="17" t="n">
        <v>6552441</v>
      </c>
      <c r="H710" s="18" t="n">
        <f aca="false">G710*$B$1/1000000</f>
        <v>14.4456596569374</v>
      </c>
    </row>
    <row r="711" customFormat="false" ht="15" hidden="false" customHeight="false" outlineLevel="0" collapsed="false">
      <c r="A711" s="4" t="s">
        <v>205</v>
      </c>
      <c r="B711" s="4" t="s">
        <v>206</v>
      </c>
      <c r="C711" s="4" t="s">
        <v>75</v>
      </c>
      <c r="D711" s="16" t="n">
        <v>45839</v>
      </c>
      <c r="E711" s="4" t="n">
        <v>2025</v>
      </c>
      <c r="F711" s="4" t="n">
        <v>7</v>
      </c>
      <c r="G711" s="17" t="n">
        <v>2147615</v>
      </c>
      <c r="H711" s="18" t="n">
        <f aca="false">G711*$B$1/1000000</f>
        <v>4.73468061202439</v>
      </c>
    </row>
    <row r="712" customFormat="false" ht="15" hidden="false" customHeight="false" outlineLevel="0" collapsed="false">
      <c r="A712" s="4" t="s">
        <v>205</v>
      </c>
      <c r="B712" s="4" t="s">
        <v>206</v>
      </c>
      <c r="C712" s="4" t="s">
        <v>75</v>
      </c>
      <c r="D712" s="16" t="n">
        <v>45870</v>
      </c>
      <c r="E712" s="4" t="n">
        <v>2025</v>
      </c>
      <c r="F712" s="4" t="n">
        <v>8</v>
      </c>
      <c r="G712" s="17" t="n">
        <v>3876025</v>
      </c>
      <c r="H712" s="18" t="n">
        <f aca="false">G712*$B$1/1000000</f>
        <v>8.54517239785615</v>
      </c>
    </row>
    <row r="713" customFormat="false" ht="15" hidden="false" customHeight="false" outlineLevel="0" collapsed="false">
      <c r="A713" s="4" t="s">
        <v>205</v>
      </c>
      <c r="B713" s="4" t="s">
        <v>206</v>
      </c>
      <c r="C713" s="4" t="s">
        <v>75</v>
      </c>
      <c r="D713" s="16" t="n">
        <v>45962</v>
      </c>
      <c r="E713" s="4" t="n">
        <v>2025</v>
      </c>
      <c r="F713" s="4" t="n">
        <v>11</v>
      </c>
      <c r="G713" s="17" t="n">
        <v>2376080</v>
      </c>
      <c r="H713" s="18" t="n">
        <f aca="false">G713*$B$1/1000000</f>
        <v>5.23835971932535</v>
      </c>
    </row>
    <row r="714" customFormat="false" ht="15" hidden="false" customHeight="false" outlineLevel="0" collapsed="false">
      <c r="A714" s="4" t="s">
        <v>205</v>
      </c>
      <c r="B714" s="4" t="s">
        <v>206</v>
      </c>
      <c r="C714" s="4" t="s">
        <v>75</v>
      </c>
      <c r="D714" s="16" t="n">
        <v>45992</v>
      </c>
      <c r="E714" s="4" t="n">
        <v>2025</v>
      </c>
      <c r="F714" s="4" t="n">
        <v>12</v>
      </c>
      <c r="G714" s="17" t="n">
        <v>1712432</v>
      </c>
      <c r="H714" s="18" t="n">
        <f aca="false">G714*$B$1/1000000</f>
        <v>3.77526632557984</v>
      </c>
    </row>
    <row r="715" customFormat="false" ht="15" hidden="false" customHeight="false" outlineLevel="0" collapsed="false">
      <c r="A715" s="4" t="s">
        <v>205</v>
      </c>
      <c r="B715" s="4" t="s">
        <v>206</v>
      </c>
      <c r="C715" s="4" t="s">
        <v>35</v>
      </c>
      <c r="D715" s="16" t="n">
        <v>43831</v>
      </c>
      <c r="E715" s="4" t="n">
        <v>2020</v>
      </c>
      <c r="F715" s="4" t="n">
        <v>1</v>
      </c>
      <c r="G715" s="17" t="n">
        <v>21707779</v>
      </c>
      <c r="H715" s="18" t="n">
        <f aca="false">G715*$B$1/1000000</f>
        <v>47.8574606535204</v>
      </c>
    </row>
    <row r="716" customFormat="false" ht="15" hidden="false" customHeight="false" outlineLevel="0" collapsed="false">
      <c r="A716" s="4" t="s">
        <v>205</v>
      </c>
      <c r="B716" s="4" t="s">
        <v>206</v>
      </c>
      <c r="C716" s="4" t="s">
        <v>35</v>
      </c>
      <c r="D716" s="16" t="n">
        <v>43862</v>
      </c>
      <c r="E716" s="4" t="n">
        <v>2020</v>
      </c>
      <c r="F716" s="4" t="n">
        <v>2</v>
      </c>
      <c r="G716" s="17" t="n">
        <v>12043071</v>
      </c>
      <c r="H716" s="18" t="n">
        <f aca="false">G716*$B$1/1000000</f>
        <v>26.5504267631457</v>
      </c>
    </row>
    <row r="717" customFormat="false" ht="15" hidden="false" customHeight="false" outlineLevel="0" collapsed="false">
      <c r="A717" s="4" t="s">
        <v>205</v>
      </c>
      <c r="B717" s="4" t="s">
        <v>206</v>
      </c>
      <c r="C717" s="4" t="s">
        <v>35</v>
      </c>
      <c r="D717" s="16" t="n">
        <v>43891</v>
      </c>
      <c r="E717" s="4" t="n">
        <v>2020</v>
      </c>
      <c r="F717" s="4" t="n">
        <v>3</v>
      </c>
      <c r="G717" s="17" t="n">
        <v>14569283</v>
      </c>
      <c r="H717" s="18" t="n">
        <f aca="false">G717*$B$1/1000000</f>
        <v>32.1197708859346</v>
      </c>
    </row>
    <row r="718" customFormat="false" ht="15" hidden="false" customHeight="false" outlineLevel="0" collapsed="false">
      <c r="A718" s="4" t="s">
        <v>205</v>
      </c>
      <c r="B718" s="4" t="s">
        <v>206</v>
      </c>
      <c r="C718" s="4" t="s">
        <v>35</v>
      </c>
      <c r="D718" s="16" t="n">
        <v>43922</v>
      </c>
      <c r="E718" s="4" t="n">
        <v>2020</v>
      </c>
      <c r="F718" s="4" t="n">
        <v>4</v>
      </c>
      <c r="G718" s="17" t="n">
        <v>17505336</v>
      </c>
      <c r="H718" s="18" t="n">
        <f aca="false">G718*$B$1/1000000</f>
        <v>38.5926597486852</v>
      </c>
    </row>
    <row r="719" customFormat="false" ht="15" hidden="false" customHeight="false" outlineLevel="0" collapsed="false">
      <c r="A719" s="4" t="s">
        <v>205</v>
      </c>
      <c r="B719" s="4" t="s">
        <v>206</v>
      </c>
      <c r="C719" s="4" t="s">
        <v>35</v>
      </c>
      <c r="D719" s="16" t="n">
        <v>43952</v>
      </c>
      <c r="E719" s="4" t="n">
        <v>2020</v>
      </c>
      <c r="F719" s="4" t="n">
        <v>5</v>
      </c>
      <c r="G719" s="17" t="n">
        <v>17741145</v>
      </c>
      <c r="H719" s="18" t="n">
        <f aca="false">G719*$B$1/1000000</f>
        <v>39.112529604521</v>
      </c>
    </row>
    <row r="720" customFormat="false" ht="15" hidden="false" customHeight="false" outlineLevel="0" collapsed="false">
      <c r="A720" s="4" t="s">
        <v>205</v>
      </c>
      <c r="B720" s="4" t="s">
        <v>206</v>
      </c>
      <c r="C720" s="4" t="s">
        <v>35</v>
      </c>
      <c r="D720" s="16" t="n">
        <v>43983</v>
      </c>
      <c r="E720" s="4" t="n">
        <v>2020</v>
      </c>
      <c r="F720" s="4" t="n">
        <v>6</v>
      </c>
      <c r="G720" s="17" t="n">
        <v>15874138</v>
      </c>
      <c r="H720" s="18" t="n">
        <f aca="false">G720*$B$1/1000000</f>
        <v>34.9964837371687</v>
      </c>
    </row>
    <row r="721" customFormat="false" ht="15" hidden="false" customHeight="false" outlineLevel="0" collapsed="false">
      <c r="A721" s="4" t="s">
        <v>205</v>
      </c>
      <c r="B721" s="4" t="s">
        <v>206</v>
      </c>
      <c r="C721" s="4" t="s">
        <v>35</v>
      </c>
      <c r="D721" s="16" t="n">
        <v>44013</v>
      </c>
      <c r="E721" s="4" t="n">
        <v>2020</v>
      </c>
      <c r="F721" s="4" t="n">
        <v>7</v>
      </c>
      <c r="G721" s="17" t="n">
        <v>20770200</v>
      </c>
      <c r="H721" s="18" t="n">
        <f aca="false">G721*$B$1/1000000</f>
        <v>45.7904527803489</v>
      </c>
    </row>
    <row r="722" customFormat="false" ht="15" hidden="false" customHeight="false" outlineLevel="0" collapsed="false">
      <c r="A722" s="4" t="s">
        <v>205</v>
      </c>
      <c r="B722" s="4" t="s">
        <v>206</v>
      </c>
      <c r="C722" s="4" t="s">
        <v>35</v>
      </c>
      <c r="D722" s="16" t="n">
        <v>44044</v>
      </c>
      <c r="E722" s="4" t="n">
        <v>2020</v>
      </c>
      <c r="F722" s="4" t="n">
        <v>8</v>
      </c>
      <c r="G722" s="17" t="n">
        <v>17482644</v>
      </c>
      <c r="H722" s="18" t="n">
        <f aca="false">G722*$B$1/1000000</f>
        <v>38.5426324521502</v>
      </c>
    </row>
    <row r="723" customFormat="false" ht="15" hidden="false" customHeight="false" outlineLevel="0" collapsed="false">
      <c r="A723" s="4" t="s">
        <v>205</v>
      </c>
      <c r="B723" s="4" t="s">
        <v>206</v>
      </c>
      <c r="C723" s="4" t="s">
        <v>35</v>
      </c>
      <c r="D723" s="16" t="n">
        <v>44075</v>
      </c>
      <c r="E723" s="4" t="n">
        <v>2020</v>
      </c>
      <c r="F723" s="4" t="n">
        <v>9</v>
      </c>
      <c r="G723" s="17" t="n">
        <v>38367972</v>
      </c>
      <c r="H723" s="18" t="n">
        <f aca="false">G723*$B$1/1000000</f>
        <v>84.5868990257074</v>
      </c>
    </row>
    <row r="724" customFormat="false" ht="15" hidden="false" customHeight="false" outlineLevel="0" collapsed="false">
      <c r="A724" s="4" t="s">
        <v>205</v>
      </c>
      <c r="B724" s="4" t="s">
        <v>206</v>
      </c>
      <c r="C724" s="4" t="s">
        <v>35</v>
      </c>
      <c r="D724" s="16" t="n">
        <v>44105</v>
      </c>
      <c r="E724" s="4" t="n">
        <v>2020</v>
      </c>
      <c r="F724" s="4" t="n">
        <v>10</v>
      </c>
      <c r="G724" s="17" t="n">
        <v>18125918</v>
      </c>
      <c r="H724" s="18" t="n">
        <f aca="false">G724*$B$1/1000000</f>
        <v>39.9608088645981</v>
      </c>
    </row>
    <row r="725" customFormat="false" ht="15" hidden="false" customHeight="false" outlineLevel="0" collapsed="false">
      <c r="A725" s="4" t="s">
        <v>205</v>
      </c>
      <c r="B725" s="4" t="s">
        <v>206</v>
      </c>
      <c r="C725" s="4" t="s">
        <v>35</v>
      </c>
      <c r="D725" s="16" t="n">
        <v>44136</v>
      </c>
      <c r="E725" s="4" t="n">
        <v>2020</v>
      </c>
      <c r="F725" s="4" t="n">
        <v>11</v>
      </c>
      <c r="G725" s="17" t="n">
        <v>19620418</v>
      </c>
      <c r="H725" s="18" t="n">
        <f aca="false">G725*$B$1/1000000</f>
        <v>43.2556173729529</v>
      </c>
    </row>
    <row r="726" customFormat="false" ht="15" hidden="false" customHeight="false" outlineLevel="0" collapsed="false">
      <c r="A726" s="4" t="s">
        <v>205</v>
      </c>
      <c r="B726" s="4" t="s">
        <v>206</v>
      </c>
      <c r="C726" s="4" t="s">
        <v>35</v>
      </c>
      <c r="D726" s="16" t="n">
        <v>44166</v>
      </c>
      <c r="E726" s="4" t="n">
        <v>2020</v>
      </c>
      <c r="F726" s="4" t="n">
        <v>12</v>
      </c>
      <c r="G726" s="17" t="n">
        <v>18298244</v>
      </c>
      <c r="H726" s="18" t="n">
        <f aca="false">G726*$B$1/1000000</f>
        <v>40.340722662531</v>
      </c>
    </row>
    <row r="727" customFormat="false" ht="15" hidden="false" customHeight="false" outlineLevel="0" collapsed="false">
      <c r="A727" s="4" t="s">
        <v>205</v>
      </c>
      <c r="B727" s="4" t="s">
        <v>206</v>
      </c>
      <c r="C727" s="4" t="s">
        <v>35</v>
      </c>
      <c r="D727" s="16" t="n">
        <v>44197</v>
      </c>
      <c r="E727" s="4" t="n">
        <v>2021</v>
      </c>
      <c r="F727" s="4" t="n">
        <v>1</v>
      </c>
      <c r="G727" s="17" t="n">
        <v>16232583</v>
      </c>
      <c r="H727" s="18" t="n">
        <f aca="false">G727*$B$1/1000000</f>
        <v>35.7867196928577</v>
      </c>
    </row>
    <row r="728" customFormat="false" ht="15" hidden="false" customHeight="false" outlineLevel="0" collapsed="false">
      <c r="A728" s="4" t="s">
        <v>205</v>
      </c>
      <c r="B728" s="4" t="s">
        <v>206</v>
      </c>
      <c r="C728" s="4" t="s">
        <v>35</v>
      </c>
      <c r="D728" s="16" t="n">
        <v>44228</v>
      </c>
      <c r="E728" s="4" t="n">
        <v>2021</v>
      </c>
      <c r="F728" s="4" t="n">
        <v>2</v>
      </c>
      <c r="G728" s="17" t="n">
        <v>14054280</v>
      </c>
      <c r="H728" s="18" t="n">
        <f aca="false">G728*$B$1/1000000</f>
        <v>30.984383621814</v>
      </c>
    </row>
    <row r="729" customFormat="false" ht="15" hidden="false" customHeight="false" outlineLevel="0" collapsed="false">
      <c r="A729" s="4" t="s">
        <v>205</v>
      </c>
      <c r="B729" s="4" t="s">
        <v>206</v>
      </c>
      <c r="C729" s="4" t="s">
        <v>35</v>
      </c>
      <c r="D729" s="16" t="n">
        <v>44256</v>
      </c>
      <c r="E729" s="4" t="n">
        <v>2021</v>
      </c>
      <c r="F729" s="4" t="n">
        <v>3</v>
      </c>
      <c r="G729" s="17" t="n">
        <v>15939007</v>
      </c>
      <c r="H729" s="18" t="n">
        <f aca="false">G729*$B$1/1000000</f>
        <v>35.1394954020255</v>
      </c>
    </row>
    <row r="730" customFormat="false" ht="15" hidden="false" customHeight="false" outlineLevel="0" collapsed="false">
      <c r="A730" s="4" t="s">
        <v>205</v>
      </c>
      <c r="B730" s="4" t="s">
        <v>206</v>
      </c>
      <c r="C730" s="4" t="s">
        <v>35</v>
      </c>
      <c r="D730" s="16" t="n">
        <v>44287</v>
      </c>
      <c r="E730" s="4" t="n">
        <v>2021</v>
      </c>
      <c r="F730" s="4" t="n">
        <v>4</v>
      </c>
      <c r="G730" s="17" t="n">
        <v>19849987</v>
      </c>
      <c r="H730" s="18" t="n">
        <f aca="false">G730*$B$1/1000000</f>
        <v>43.7617303836284</v>
      </c>
    </row>
    <row r="731" customFormat="false" ht="15" hidden="false" customHeight="false" outlineLevel="0" collapsed="false">
      <c r="A731" s="4" t="s">
        <v>205</v>
      </c>
      <c r="B731" s="4" t="s">
        <v>206</v>
      </c>
      <c r="C731" s="4" t="s">
        <v>35</v>
      </c>
      <c r="D731" s="16" t="n">
        <v>44317</v>
      </c>
      <c r="E731" s="4" t="n">
        <v>2021</v>
      </c>
      <c r="F731" s="4" t="n">
        <v>5</v>
      </c>
      <c r="G731" s="17" t="n">
        <v>24612271</v>
      </c>
      <c r="H731" s="18" t="n">
        <f aca="false">G731*$B$1/1000000</f>
        <v>54.2607694217027</v>
      </c>
    </row>
    <row r="732" customFormat="false" ht="15" hidden="false" customHeight="false" outlineLevel="0" collapsed="false">
      <c r="A732" s="4" t="s">
        <v>205</v>
      </c>
      <c r="B732" s="4" t="s">
        <v>206</v>
      </c>
      <c r="C732" s="4" t="s">
        <v>35</v>
      </c>
      <c r="D732" s="16" t="n">
        <v>44348</v>
      </c>
      <c r="E732" s="4" t="n">
        <v>2021</v>
      </c>
      <c r="F732" s="4" t="n">
        <v>6</v>
      </c>
      <c r="G732" s="17" t="n">
        <v>32612606</v>
      </c>
      <c r="H732" s="18" t="n">
        <f aca="false">G732*$B$1/1000000</f>
        <v>71.898488945081</v>
      </c>
    </row>
    <row r="733" customFormat="false" ht="15" hidden="false" customHeight="false" outlineLevel="0" collapsed="false">
      <c r="A733" s="4" t="s">
        <v>205</v>
      </c>
      <c r="B733" s="4" t="s">
        <v>206</v>
      </c>
      <c r="C733" s="4" t="s">
        <v>35</v>
      </c>
      <c r="D733" s="16" t="n">
        <v>44378</v>
      </c>
      <c r="E733" s="4" t="n">
        <v>2021</v>
      </c>
      <c r="F733" s="4" t="n">
        <v>7</v>
      </c>
      <c r="G733" s="17" t="n">
        <v>19526389</v>
      </c>
      <c r="H733" s="18" t="n">
        <f aca="false">G733*$B$1/1000000</f>
        <v>43.048318912443</v>
      </c>
    </row>
    <row r="734" customFormat="false" ht="15" hidden="false" customHeight="false" outlineLevel="0" collapsed="false">
      <c r="A734" s="4" t="s">
        <v>205</v>
      </c>
      <c r="B734" s="4" t="s">
        <v>206</v>
      </c>
      <c r="C734" s="4" t="s">
        <v>35</v>
      </c>
      <c r="D734" s="16" t="n">
        <v>44409</v>
      </c>
      <c r="E734" s="4" t="n">
        <v>2021</v>
      </c>
      <c r="F734" s="4" t="n">
        <v>8</v>
      </c>
      <c r="G734" s="17" t="n">
        <v>30583337</v>
      </c>
      <c r="H734" s="18" t="n">
        <f aca="false">G734*$B$1/1000000</f>
        <v>67.4247166018621</v>
      </c>
    </row>
    <row r="735" customFormat="false" ht="15" hidden="false" customHeight="false" outlineLevel="0" collapsed="false">
      <c r="A735" s="4" t="s">
        <v>205</v>
      </c>
      <c r="B735" s="4" t="s">
        <v>206</v>
      </c>
      <c r="C735" s="4" t="s">
        <v>35</v>
      </c>
      <c r="D735" s="16" t="n">
        <v>44440</v>
      </c>
      <c r="E735" s="4" t="n">
        <v>2021</v>
      </c>
      <c r="F735" s="4" t="n">
        <v>9</v>
      </c>
      <c r="G735" s="17" t="n">
        <v>50762599</v>
      </c>
      <c r="H735" s="18" t="n">
        <f aca="false">G735*$B$1/1000000</f>
        <v>111.9123740993</v>
      </c>
    </row>
    <row r="736" customFormat="false" ht="15" hidden="false" customHeight="false" outlineLevel="0" collapsed="false">
      <c r="A736" s="4" t="s">
        <v>205</v>
      </c>
      <c r="B736" s="4" t="s">
        <v>206</v>
      </c>
      <c r="C736" s="4" t="s">
        <v>35</v>
      </c>
      <c r="D736" s="16" t="n">
        <v>44470</v>
      </c>
      <c r="E736" s="4" t="n">
        <v>2021</v>
      </c>
      <c r="F736" s="4" t="n">
        <v>10</v>
      </c>
      <c r="G736" s="17" t="n">
        <v>28882719</v>
      </c>
      <c r="H736" s="18" t="n">
        <f aca="false">G736*$B$1/1000000</f>
        <v>63.6754956879368</v>
      </c>
    </row>
    <row r="737" customFormat="false" ht="15" hidden="false" customHeight="false" outlineLevel="0" collapsed="false">
      <c r="A737" s="4" t="s">
        <v>205</v>
      </c>
      <c r="B737" s="4" t="s">
        <v>206</v>
      </c>
      <c r="C737" s="4" t="s">
        <v>35</v>
      </c>
      <c r="D737" s="16" t="n">
        <v>44501</v>
      </c>
      <c r="E737" s="4" t="n">
        <v>2021</v>
      </c>
      <c r="F737" s="4" t="n">
        <v>11</v>
      </c>
      <c r="G737" s="17" t="n">
        <v>30523788</v>
      </c>
      <c r="H737" s="18" t="n">
        <f aca="false">G737*$B$1/1000000</f>
        <v>67.2934335293536</v>
      </c>
    </row>
    <row r="738" customFormat="false" ht="15" hidden="false" customHeight="false" outlineLevel="0" collapsed="false">
      <c r="A738" s="4" t="s">
        <v>205</v>
      </c>
      <c r="B738" s="4" t="s">
        <v>206</v>
      </c>
      <c r="C738" s="4" t="s">
        <v>35</v>
      </c>
      <c r="D738" s="16" t="n">
        <v>44531</v>
      </c>
      <c r="E738" s="4" t="n">
        <v>2021</v>
      </c>
      <c r="F738" s="4" t="n">
        <v>12</v>
      </c>
      <c r="G738" s="17" t="n">
        <v>35042540</v>
      </c>
      <c r="H738" s="18" t="n">
        <f aca="false">G738*$B$1/1000000</f>
        <v>77.2555764110835</v>
      </c>
    </row>
    <row r="739" customFormat="false" ht="15" hidden="false" customHeight="false" outlineLevel="0" collapsed="false">
      <c r="A739" s="4" t="s">
        <v>205</v>
      </c>
      <c r="B739" s="4" t="s">
        <v>206</v>
      </c>
      <c r="C739" s="4" t="s">
        <v>35</v>
      </c>
      <c r="D739" s="16" t="n">
        <v>44562</v>
      </c>
      <c r="E739" s="4" t="n">
        <v>2022</v>
      </c>
      <c r="F739" s="4" t="n">
        <v>1</v>
      </c>
      <c r="G739" s="17" t="n">
        <v>32595553</v>
      </c>
      <c r="H739" s="18" t="n">
        <f aca="false">G739*$B$1/1000000</f>
        <v>71.8608935155106</v>
      </c>
    </row>
    <row r="740" customFormat="false" ht="15" hidden="false" customHeight="false" outlineLevel="0" collapsed="false">
      <c r="A740" s="4" t="s">
        <v>205</v>
      </c>
      <c r="B740" s="4" t="s">
        <v>206</v>
      </c>
      <c r="C740" s="4" t="s">
        <v>35</v>
      </c>
      <c r="D740" s="16" t="n">
        <v>44593</v>
      </c>
      <c r="E740" s="4" t="n">
        <v>2022</v>
      </c>
      <c r="F740" s="4" t="n">
        <v>2</v>
      </c>
      <c r="G740" s="17" t="n">
        <v>13948446</v>
      </c>
      <c r="H740" s="18" t="n">
        <f aca="false">G740*$B$1/1000000</f>
        <v>30.7510595912531</v>
      </c>
    </row>
    <row r="741" customFormat="false" ht="15" hidden="false" customHeight="false" outlineLevel="0" collapsed="false">
      <c r="A741" s="4" t="s">
        <v>205</v>
      </c>
      <c r="B741" s="4" t="s">
        <v>206</v>
      </c>
      <c r="C741" s="4" t="s">
        <v>35</v>
      </c>
      <c r="D741" s="16" t="n">
        <v>44621</v>
      </c>
      <c r="E741" s="4" t="n">
        <v>2022</v>
      </c>
      <c r="F741" s="4" t="n">
        <v>3</v>
      </c>
      <c r="G741" s="17" t="n">
        <v>34617261</v>
      </c>
      <c r="H741" s="18" t="n">
        <f aca="false">G741*$B$1/1000000</f>
        <v>76.3179967070858</v>
      </c>
    </row>
    <row r="742" customFormat="false" ht="15" hidden="false" customHeight="false" outlineLevel="0" collapsed="false">
      <c r="A742" s="4" t="s">
        <v>205</v>
      </c>
      <c r="B742" s="4" t="s">
        <v>206</v>
      </c>
      <c r="C742" s="4" t="s">
        <v>35</v>
      </c>
      <c r="D742" s="16" t="n">
        <v>44652</v>
      </c>
      <c r="E742" s="4" t="n">
        <v>2022</v>
      </c>
      <c r="F742" s="4" t="n">
        <v>4</v>
      </c>
      <c r="G742" s="17" t="n">
        <v>52924553</v>
      </c>
      <c r="H742" s="18" t="n">
        <f aca="false">G742*$B$1/1000000</f>
        <v>116.678666795099</v>
      </c>
    </row>
    <row r="743" customFormat="false" ht="15" hidden="false" customHeight="false" outlineLevel="0" collapsed="false">
      <c r="A743" s="4" t="s">
        <v>205</v>
      </c>
      <c r="B743" s="4" t="s">
        <v>206</v>
      </c>
      <c r="C743" s="4" t="s">
        <v>35</v>
      </c>
      <c r="D743" s="16" t="n">
        <v>44682</v>
      </c>
      <c r="E743" s="4" t="n">
        <v>2022</v>
      </c>
      <c r="F743" s="4" t="n">
        <v>5</v>
      </c>
      <c r="G743" s="17" t="n">
        <v>31619568</v>
      </c>
      <c r="H743" s="18" t="n">
        <f aca="false">G743*$B$1/1000000</f>
        <v>69.7092149059244</v>
      </c>
    </row>
    <row r="744" customFormat="false" ht="15" hidden="false" customHeight="false" outlineLevel="0" collapsed="false">
      <c r="A744" s="4" t="s">
        <v>205</v>
      </c>
      <c r="B744" s="4" t="s">
        <v>206</v>
      </c>
      <c r="C744" s="4" t="s">
        <v>35</v>
      </c>
      <c r="D744" s="16" t="n">
        <v>44713</v>
      </c>
      <c r="E744" s="4" t="n">
        <v>2022</v>
      </c>
      <c r="F744" s="4" t="n">
        <v>6</v>
      </c>
      <c r="G744" s="17" t="n">
        <v>48958685</v>
      </c>
      <c r="H744" s="18" t="n">
        <f aca="false">G744*$B$1/1000000</f>
        <v>107.935424487028</v>
      </c>
    </row>
    <row r="745" customFormat="false" ht="15" hidden="false" customHeight="false" outlineLevel="0" collapsed="false">
      <c r="A745" s="4" t="s">
        <v>205</v>
      </c>
      <c r="B745" s="4" t="s">
        <v>206</v>
      </c>
      <c r="C745" s="4" t="s">
        <v>35</v>
      </c>
      <c r="D745" s="16" t="n">
        <v>44743</v>
      </c>
      <c r="E745" s="4" t="n">
        <v>2022</v>
      </c>
      <c r="F745" s="4" t="n">
        <v>7</v>
      </c>
      <c r="G745" s="17" t="n">
        <v>34340818</v>
      </c>
      <c r="H745" s="18" t="n">
        <f aca="false">G745*$B$1/1000000</f>
        <v>75.7085442156337</v>
      </c>
    </row>
    <row r="746" customFormat="false" ht="15" hidden="false" customHeight="false" outlineLevel="0" collapsed="false">
      <c r="A746" s="4" t="s">
        <v>205</v>
      </c>
      <c r="B746" s="4" t="s">
        <v>206</v>
      </c>
      <c r="C746" s="4" t="s">
        <v>35</v>
      </c>
      <c r="D746" s="16" t="n">
        <v>44774</v>
      </c>
      <c r="E746" s="4" t="n">
        <v>2022</v>
      </c>
      <c r="F746" s="4" t="n">
        <v>8</v>
      </c>
      <c r="G746" s="17" t="n">
        <v>33279410</v>
      </c>
      <c r="H746" s="18" t="n">
        <f aca="false">G746*$B$1/1000000</f>
        <v>73.3685401278211</v>
      </c>
    </row>
    <row r="747" customFormat="false" ht="15" hidden="false" customHeight="false" outlineLevel="0" collapsed="false">
      <c r="A747" s="4" t="s">
        <v>205</v>
      </c>
      <c r="B747" s="4" t="s">
        <v>206</v>
      </c>
      <c r="C747" s="4" t="s">
        <v>35</v>
      </c>
      <c r="D747" s="16" t="n">
        <v>44805</v>
      </c>
      <c r="E747" s="4" t="n">
        <v>2022</v>
      </c>
      <c r="F747" s="4" t="n">
        <v>9</v>
      </c>
      <c r="G747" s="17" t="n">
        <v>50144584</v>
      </c>
      <c r="H747" s="18" t="n">
        <f aca="false">G747*$B$1/1000000</f>
        <v>110.549884249658</v>
      </c>
    </row>
    <row r="748" customFormat="false" ht="15" hidden="false" customHeight="false" outlineLevel="0" collapsed="false">
      <c r="A748" s="4" t="s">
        <v>205</v>
      </c>
      <c r="B748" s="4" t="s">
        <v>206</v>
      </c>
      <c r="C748" s="4" t="s">
        <v>35</v>
      </c>
      <c r="D748" s="16" t="n">
        <v>44835</v>
      </c>
      <c r="E748" s="4" t="n">
        <v>2022</v>
      </c>
      <c r="F748" s="4" t="n">
        <v>10</v>
      </c>
      <c r="G748" s="17" t="n">
        <v>54987535</v>
      </c>
      <c r="H748" s="18" t="n">
        <f aca="false">G748*$B$1/1000000</f>
        <v>121.226763580769</v>
      </c>
    </row>
    <row r="749" customFormat="false" ht="15" hidden="false" customHeight="false" outlineLevel="0" collapsed="false">
      <c r="A749" s="4" t="s">
        <v>205</v>
      </c>
      <c r="B749" s="4" t="s">
        <v>206</v>
      </c>
      <c r="C749" s="4" t="s">
        <v>35</v>
      </c>
      <c r="D749" s="16" t="n">
        <v>44866</v>
      </c>
      <c r="E749" s="4" t="n">
        <v>2022</v>
      </c>
      <c r="F749" s="4" t="n">
        <v>11</v>
      </c>
      <c r="G749" s="17" t="n">
        <v>71979787</v>
      </c>
      <c r="H749" s="18" t="n">
        <f aca="false">G749*$B$1/1000000</f>
        <v>158.688266736145</v>
      </c>
    </row>
    <row r="750" customFormat="false" ht="15" hidden="false" customHeight="false" outlineLevel="0" collapsed="false">
      <c r="A750" s="4" t="s">
        <v>205</v>
      </c>
      <c r="B750" s="4" t="s">
        <v>206</v>
      </c>
      <c r="C750" s="4" t="s">
        <v>35</v>
      </c>
      <c r="D750" s="16" t="n">
        <v>44896</v>
      </c>
      <c r="E750" s="4" t="n">
        <v>2022</v>
      </c>
      <c r="F750" s="4" t="n">
        <v>12</v>
      </c>
      <c r="G750" s="17" t="n">
        <v>61637493</v>
      </c>
      <c r="H750" s="18" t="n">
        <f aca="false">G750*$B$1/1000000</f>
        <v>135.887411421921</v>
      </c>
    </row>
    <row r="751" customFormat="false" ht="15" hidden="false" customHeight="false" outlineLevel="0" collapsed="false">
      <c r="A751" s="4" t="s">
        <v>205</v>
      </c>
      <c r="B751" s="4" t="s">
        <v>206</v>
      </c>
      <c r="C751" s="4" t="s">
        <v>35</v>
      </c>
      <c r="D751" s="16" t="n">
        <v>44927</v>
      </c>
      <c r="E751" s="4" t="n">
        <v>2023</v>
      </c>
      <c r="F751" s="4" t="n">
        <v>1</v>
      </c>
      <c r="G751" s="17" t="n">
        <v>47158353</v>
      </c>
      <c r="H751" s="18" t="n">
        <f aca="false">G751*$B$1/1000000</f>
        <v>103.966371832988</v>
      </c>
    </row>
    <row r="752" customFormat="false" ht="15" hidden="false" customHeight="false" outlineLevel="0" collapsed="false">
      <c r="A752" s="4" t="s">
        <v>205</v>
      </c>
      <c r="B752" s="4" t="s">
        <v>206</v>
      </c>
      <c r="C752" s="4" t="s">
        <v>35</v>
      </c>
      <c r="D752" s="16" t="n">
        <v>44958</v>
      </c>
      <c r="E752" s="4" t="n">
        <v>2023</v>
      </c>
      <c r="F752" s="4" t="n">
        <v>2</v>
      </c>
      <c r="G752" s="17" t="n">
        <v>28478748</v>
      </c>
      <c r="H752" s="18" t="n">
        <f aca="false">G752*$B$1/1000000</f>
        <v>62.7848920827654</v>
      </c>
    </row>
    <row r="753" customFormat="false" ht="15" hidden="false" customHeight="false" outlineLevel="0" collapsed="false">
      <c r="A753" s="4" t="s">
        <v>205</v>
      </c>
      <c r="B753" s="4" t="s">
        <v>206</v>
      </c>
      <c r="C753" s="4" t="s">
        <v>35</v>
      </c>
      <c r="D753" s="16" t="n">
        <v>44986</v>
      </c>
      <c r="E753" s="4" t="n">
        <v>2023</v>
      </c>
      <c r="F753" s="4" t="n">
        <v>3</v>
      </c>
      <c r="G753" s="17" t="n">
        <v>63761131</v>
      </c>
      <c r="H753" s="18" t="n">
        <f aca="false">G753*$B$1/1000000</f>
        <v>140.569231797341</v>
      </c>
    </row>
    <row r="754" customFormat="false" ht="15" hidden="false" customHeight="false" outlineLevel="0" collapsed="false">
      <c r="A754" s="4" t="s">
        <v>205</v>
      </c>
      <c r="B754" s="4" t="s">
        <v>206</v>
      </c>
      <c r="C754" s="4" t="s">
        <v>35</v>
      </c>
      <c r="D754" s="16" t="n">
        <v>45017</v>
      </c>
      <c r="E754" s="4" t="n">
        <v>2023</v>
      </c>
      <c r="F754" s="4" t="n">
        <v>4</v>
      </c>
      <c r="G754" s="17" t="n">
        <v>61552766</v>
      </c>
      <c r="H754" s="18" t="n">
        <f aca="false">G754*$B$1/1000000</f>
        <v>135.70062036104</v>
      </c>
    </row>
    <row r="755" customFormat="false" ht="15" hidden="false" customHeight="false" outlineLevel="0" collapsed="false">
      <c r="A755" s="4" t="s">
        <v>205</v>
      </c>
      <c r="B755" s="4" t="s">
        <v>206</v>
      </c>
      <c r="C755" s="4" t="s">
        <v>35</v>
      </c>
      <c r="D755" s="16" t="n">
        <v>45047</v>
      </c>
      <c r="E755" s="4" t="n">
        <v>2023</v>
      </c>
      <c r="F755" s="4" t="n">
        <v>5</v>
      </c>
      <c r="G755" s="17" t="n">
        <v>42278811</v>
      </c>
      <c r="H755" s="18" t="n">
        <f aca="false">G755*$B$1/1000000</f>
        <v>93.2088231555206</v>
      </c>
    </row>
    <row r="756" customFormat="false" ht="15" hidden="false" customHeight="false" outlineLevel="0" collapsed="false">
      <c r="A756" s="4" t="s">
        <v>205</v>
      </c>
      <c r="B756" s="4" t="s">
        <v>206</v>
      </c>
      <c r="C756" s="4" t="s">
        <v>35</v>
      </c>
      <c r="D756" s="16" t="n">
        <v>45078</v>
      </c>
      <c r="E756" s="4" t="n">
        <v>2023</v>
      </c>
      <c r="F756" s="4" t="n">
        <v>6</v>
      </c>
      <c r="G756" s="17" t="n">
        <v>60200002</v>
      </c>
      <c r="H756" s="18" t="n">
        <f aca="false">G756*$B$1/1000000</f>
        <v>132.718286244615</v>
      </c>
    </row>
    <row r="757" customFormat="false" ht="15" hidden="false" customHeight="false" outlineLevel="0" collapsed="false">
      <c r="A757" s="4" t="s">
        <v>205</v>
      </c>
      <c r="B757" s="4" t="s">
        <v>206</v>
      </c>
      <c r="C757" s="4" t="s">
        <v>35</v>
      </c>
      <c r="D757" s="16" t="n">
        <v>45108</v>
      </c>
      <c r="E757" s="4" t="n">
        <v>2023</v>
      </c>
      <c r="F757" s="4" t="n">
        <v>7</v>
      </c>
      <c r="G757" s="17" t="n">
        <v>60190175</v>
      </c>
      <c r="H757" s="18" t="n">
        <f aca="false">G757*$B$1/1000000</f>
        <v>132.69662141811</v>
      </c>
    </row>
    <row r="758" customFormat="false" ht="15" hidden="false" customHeight="false" outlineLevel="0" collapsed="false">
      <c r="A758" s="4" t="s">
        <v>205</v>
      </c>
      <c r="B758" s="4" t="s">
        <v>206</v>
      </c>
      <c r="C758" s="4" t="s">
        <v>35</v>
      </c>
      <c r="D758" s="16" t="n">
        <v>45139</v>
      </c>
      <c r="E758" s="4" t="n">
        <v>2023</v>
      </c>
      <c r="F758" s="4" t="n">
        <v>8</v>
      </c>
      <c r="G758" s="17" t="n">
        <v>52659614</v>
      </c>
      <c r="H758" s="18" t="n">
        <f aca="false">G758*$B$1/1000000</f>
        <v>116.094576282289</v>
      </c>
    </row>
    <row r="759" customFormat="false" ht="15" hidden="false" customHeight="false" outlineLevel="0" collapsed="false">
      <c r="A759" s="4" t="s">
        <v>205</v>
      </c>
      <c r="B759" s="4" t="s">
        <v>206</v>
      </c>
      <c r="C759" s="4" t="s">
        <v>35</v>
      </c>
      <c r="D759" s="16" t="n">
        <v>45170</v>
      </c>
      <c r="E759" s="4" t="n">
        <v>2023</v>
      </c>
      <c r="F759" s="4" t="n">
        <v>9</v>
      </c>
      <c r="G759" s="17" t="n">
        <v>69445975</v>
      </c>
      <c r="H759" s="18" t="n">
        <f aca="false">G759*$B$1/1000000</f>
        <v>153.10216748143</v>
      </c>
    </row>
    <row r="760" customFormat="false" ht="15" hidden="false" customHeight="false" outlineLevel="0" collapsed="false">
      <c r="A760" s="4" t="s">
        <v>205</v>
      </c>
      <c r="B760" s="4" t="s">
        <v>206</v>
      </c>
      <c r="C760" s="4" t="s">
        <v>35</v>
      </c>
      <c r="D760" s="16" t="n">
        <v>45200</v>
      </c>
      <c r="E760" s="4" t="n">
        <v>2023</v>
      </c>
      <c r="F760" s="4" t="n">
        <v>10</v>
      </c>
      <c r="G760" s="17" t="n">
        <v>75411815</v>
      </c>
      <c r="H760" s="18" t="n">
        <f aca="false">G760*$B$1/1000000</f>
        <v>166.254593303767</v>
      </c>
    </row>
    <row r="761" customFormat="false" ht="15" hidden="false" customHeight="false" outlineLevel="0" collapsed="false">
      <c r="A761" s="4" t="s">
        <v>205</v>
      </c>
      <c r="B761" s="4" t="s">
        <v>206</v>
      </c>
      <c r="C761" s="4" t="s">
        <v>35</v>
      </c>
      <c r="D761" s="16" t="n">
        <v>45231</v>
      </c>
      <c r="E761" s="4" t="n">
        <v>2023</v>
      </c>
      <c r="F761" s="4" t="n">
        <v>11</v>
      </c>
      <c r="G761" s="17" t="n">
        <v>119756182</v>
      </c>
      <c r="H761" s="18" t="n">
        <f aca="false">G761*$B$1/1000000</f>
        <v>264.017187943586</v>
      </c>
    </row>
    <row r="762" customFormat="false" ht="15" hidden="false" customHeight="false" outlineLevel="0" collapsed="false">
      <c r="A762" s="4" t="s">
        <v>205</v>
      </c>
      <c r="B762" s="4" t="s">
        <v>206</v>
      </c>
      <c r="C762" s="4" t="s">
        <v>35</v>
      </c>
      <c r="D762" s="16" t="n">
        <v>45261</v>
      </c>
      <c r="E762" s="4" t="n">
        <v>2023</v>
      </c>
      <c r="F762" s="4" t="n">
        <v>12</v>
      </c>
      <c r="G762" s="17" t="n">
        <v>89467954</v>
      </c>
      <c r="H762" s="18" t="n">
        <f aca="false">G762*$B$1/1000000</f>
        <v>197.243075319035</v>
      </c>
    </row>
    <row r="763" customFormat="false" ht="15" hidden="false" customHeight="false" outlineLevel="0" collapsed="false">
      <c r="A763" s="4" t="s">
        <v>205</v>
      </c>
      <c r="B763" s="4" t="s">
        <v>206</v>
      </c>
      <c r="C763" s="4" t="s">
        <v>35</v>
      </c>
      <c r="D763" s="16" t="n">
        <v>45292</v>
      </c>
      <c r="E763" s="4" t="n">
        <v>2024</v>
      </c>
      <c r="F763" s="4" t="n">
        <v>1</v>
      </c>
      <c r="G763" s="17" t="n">
        <v>98230020</v>
      </c>
      <c r="H763" s="18" t="n">
        <f aca="false">G763*$B$1/1000000</f>
        <v>216.560124236778</v>
      </c>
    </row>
    <row r="764" customFormat="false" ht="15" hidden="false" customHeight="false" outlineLevel="0" collapsed="false">
      <c r="A764" s="4" t="s">
        <v>205</v>
      </c>
      <c r="B764" s="4" t="s">
        <v>206</v>
      </c>
      <c r="C764" s="4" t="s">
        <v>35</v>
      </c>
      <c r="D764" s="16" t="n">
        <v>45323</v>
      </c>
      <c r="E764" s="4" t="n">
        <v>2024</v>
      </c>
      <c r="F764" s="4" t="n">
        <v>2</v>
      </c>
      <c r="G764" s="17" t="n">
        <v>74422048</v>
      </c>
      <c r="H764" s="18" t="n">
        <f aca="false">G764*$B$1/1000000</f>
        <v>164.072530585207</v>
      </c>
    </row>
    <row r="765" customFormat="false" ht="15" hidden="false" customHeight="false" outlineLevel="0" collapsed="false">
      <c r="A765" s="4" t="s">
        <v>205</v>
      </c>
      <c r="B765" s="4" t="s">
        <v>206</v>
      </c>
      <c r="C765" s="4" t="s">
        <v>35</v>
      </c>
      <c r="D765" s="16" t="n">
        <v>45352</v>
      </c>
      <c r="E765" s="4" t="n">
        <v>2024</v>
      </c>
      <c r="F765" s="4" t="n">
        <v>3</v>
      </c>
      <c r="G765" s="17" t="n">
        <v>59671972</v>
      </c>
      <c r="H765" s="18" t="n">
        <f aca="false">G765*$B$1/1000000</f>
        <v>131.5541793616</v>
      </c>
    </row>
    <row r="766" customFormat="false" ht="15" hidden="false" customHeight="false" outlineLevel="0" collapsed="false">
      <c r="A766" s="4" t="s">
        <v>205</v>
      </c>
      <c r="B766" s="4" t="s">
        <v>206</v>
      </c>
      <c r="C766" s="4" t="s">
        <v>35</v>
      </c>
      <c r="D766" s="16" t="n">
        <v>45383</v>
      </c>
      <c r="E766" s="4" t="n">
        <v>2024</v>
      </c>
      <c r="F766" s="4" t="n">
        <v>4</v>
      </c>
      <c r="G766" s="17" t="n">
        <v>53485534</v>
      </c>
      <c r="H766" s="18" t="n">
        <f aca="false">G766*$B$1/1000000</f>
        <v>117.915418198127</v>
      </c>
    </row>
    <row r="767" customFormat="false" ht="15" hidden="false" customHeight="false" outlineLevel="0" collapsed="false">
      <c r="A767" s="4" t="s">
        <v>205</v>
      </c>
      <c r="B767" s="4" t="s">
        <v>206</v>
      </c>
      <c r="C767" s="4" t="s">
        <v>35</v>
      </c>
      <c r="D767" s="16" t="n">
        <v>45413</v>
      </c>
      <c r="E767" s="4" t="n">
        <v>2024</v>
      </c>
      <c r="F767" s="4" t="n">
        <v>5</v>
      </c>
      <c r="G767" s="17" t="n">
        <v>85949538</v>
      </c>
      <c r="H767" s="18" t="n">
        <f aca="false">G767*$B$1/1000000</f>
        <v>189.486295812356</v>
      </c>
    </row>
    <row r="768" customFormat="false" ht="15" hidden="false" customHeight="false" outlineLevel="0" collapsed="false">
      <c r="A768" s="4" t="s">
        <v>205</v>
      </c>
      <c r="B768" s="4" t="s">
        <v>206</v>
      </c>
      <c r="C768" s="4" t="s">
        <v>35</v>
      </c>
      <c r="D768" s="16" t="n">
        <v>45444</v>
      </c>
      <c r="E768" s="4" t="n">
        <v>2024</v>
      </c>
      <c r="F768" s="4" t="n">
        <v>6</v>
      </c>
      <c r="G768" s="17" t="n">
        <v>36941613</v>
      </c>
      <c r="H768" s="18" t="n">
        <f aca="false">G768*$B$1/1000000</f>
        <v>81.442315707428</v>
      </c>
    </row>
    <row r="769" customFormat="false" ht="15" hidden="false" customHeight="false" outlineLevel="0" collapsed="false">
      <c r="A769" s="4" t="s">
        <v>205</v>
      </c>
      <c r="B769" s="4" t="s">
        <v>206</v>
      </c>
      <c r="C769" s="4" t="s">
        <v>35</v>
      </c>
      <c r="D769" s="16" t="n">
        <v>45474</v>
      </c>
      <c r="E769" s="4" t="n">
        <v>2024</v>
      </c>
      <c r="F769" s="4" t="n">
        <v>7</v>
      </c>
      <c r="G769" s="17" t="n">
        <v>86076928</v>
      </c>
      <c r="H769" s="18" t="n">
        <f aca="false">G769*$B$1/1000000</f>
        <v>189.767142688154</v>
      </c>
    </row>
    <row r="770" customFormat="false" ht="15" hidden="false" customHeight="false" outlineLevel="0" collapsed="false">
      <c r="A770" s="4" t="s">
        <v>205</v>
      </c>
      <c r="B770" s="4" t="s">
        <v>206</v>
      </c>
      <c r="C770" s="4" t="s">
        <v>35</v>
      </c>
      <c r="D770" s="16" t="n">
        <v>45505</v>
      </c>
      <c r="E770" s="4" t="n">
        <v>2024</v>
      </c>
      <c r="F770" s="4" t="n">
        <v>8</v>
      </c>
      <c r="G770" s="17" t="n">
        <v>56531770</v>
      </c>
      <c r="H770" s="18" t="n">
        <f aca="false">G770*$B$1/1000000</f>
        <v>124.631218995221</v>
      </c>
    </row>
    <row r="771" customFormat="false" ht="15" hidden="false" customHeight="false" outlineLevel="0" collapsed="false">
      <c r="A771" s="4" t="s">
        <v>205</v>
      </c>
      <c r="B771" s="4" t="s">
        <v>206</v>
      </c>
      <c r="C771" s="4" t="s">
        <v>35</v>
      </c>
      <c r="D771" s="16" t="n">
        <v>45536</v>
      </c>
      <c r="E771" s="4" t="n">
        <v>2024</v>
      </c>
      <c r="F771" s="4" t="n">
        <v>9</v>
      </c>
      <c r="G771" s="17" t="n">
        <v>93025980</v>
      </c>
      <c r="H771" s="18" t="n">
        <f aca="false">G771*$B$1/1000000</f>
        <v>205.087179927766</v>
      </c>
    </row>
    <row r="772" customFormat="false" ht="15" hidden="false" customHeight="false" outlineLevel="0" collapsed="false">
      <c r="A772" s="4" t="s">
        <v>205</v>
      </c>
      <c r="B772" s="4" t="s">
        <v>206</v>
      </c>
      <c r="C772" s="4" t="s">
        <v>35</v>
      </c>
      <c r="D772" s="16" t="n">
        <v>45566</v>
      </c>
      <c r="E772" s="4" t="n">
        <v>2024</v>
      </c>
      <c r="F772" s="4" t="n">
        <v>10</v>
      </c>
      <c r="G772" s="17" t="n">
        <v>46696711</v>
      </c>
      <c r="H772" s="18" t="n">
        <f aca="false">G772*$B$1/1000000</f>
        <v>102.948625436592</v>
      </c>
    </row>
    <row r="773" customFormat="false" ht="15" hidden="false" customHeight="false" outlineLevel="0" collapsed="false">
      <c r="A773" s="4" t="s">
        <v>205</v>
      </c>
      <c r="B773" s="4" t="s">
        <v>206</v>
      </c>
      <c r="C773" s="4" t="s">
        <v>35</v>
      </c>
      <c r="D773" s="16" t="n">
        <v>45597</v>
      </c>
      <c r="E773" s="4" t="n">
        <v>2024</v>
      </c>
      <c r="F773" s="4" t="n">
        <v>11</v>
      </c>
      <c r="G773" s="17" t="n">
        <v>103722686</v>
      </c>
      <c r="H773" s="18" t="n">
        <f aca="false">G773*$B$1/1000000</f>
        <v>228.669379954644</v>
      </c>
    </row>
    <row r="774" customFormat="false" ht="15" hidden="false" customHeight="false" outlineLevel="0" collapsed="false">
      <c r="A774" s="4" t="s">
        <v>205</v>
      </c>
      <c r="B774" s="4" t="s">
        <v>206</v>
      </c>
      <c r="C774" s="4" t="s">
        <v>35</v>
      </c>
      <c r="D774" s="16" t="n">
        <v>45627</v>
      </c>
      <c r="E774" s="4" t="n">
        <v>2024</v>
      </c>
      <c r="F774" s="4" t="n">
        <v>12</v>
      </c>
      <c r="G774" s="17" t="n">
        <v>80922828</v>
      </c>
      <c r="H774" s="18" t="n">
        <f aca="false">G774*$B$1/1000000</f>
        <v>178.404297232877</v>
      </c>
    </row>
    <row r="775" customFormat="false" ht="15" hidden="false" customHeight="false" outlineLevel="0" collapsed="false">
      <c r="A775" s="4" t="s">
        <v>205</v>
      </c>
      <c r="B775" s="4" t="s">
        <v>206</v>
      </c>
      <c r="C775" s="4" t="s">
        <v>35</v>
      </c>
      <c r="D775" s="16" t="n">
        <v>45658</v>
      </c>
      <c r="E775" s="4" t="n">
        <v>2025</v>
      </c>
      <c r="F775" s="4" t="n">
        <v>1</v>
      </c>
      <c r="G775" s="17" t="n">
        <v>79671083</v>
      </c>
      <c r="H775" s="18" t="n">
        <f aca="false">G775*$B$1/1000000</f>
        <v>175.644671889089</v>
      </c>
    </row>
    <row r="776" customFormat="false" ht="15" hidden="false" customHeight="false" outlineLevel="0" collapsed="false">
      <c r="A776" s="4" t="s">
        <v>205</v>
      </c>
      <c r="B776" s="4" t="s">
        <v>206</v>
      </c>
      <c r="C776" s="4" t="s">
        <v>35</v>
      </c>
      <c r="D776" s="16" t="n">
        <v>45689</v>
      </c>
      <c r="E776" s="4" t="n">
        <v>2025</v>
      </c>
      <c r="F776" s="4" t="n">
        <v>2</v>
      </c>
      <c r="G776" s="17" t="n">
        <v>59572776</v>
      </c>
      <c r="H776" s="18" t="n">
        <f aca="false">G776*$B$1/1000000</f>
        <v>131.335489616003</v>
      </c>
    </row>
    <row r="777" customFormat="false" ht="15" hidden="false" customHeight="false" outlineLevel="0" collapsed="false">
      <c r="A777" s="4" t="s">
        <v>205</v>
      </c>
      <c r="B777" s="4" t="s">
        <v>206</v>
      </c>
      <c r="C777" s="4" t="s">
        <v>35</v>
      </c>
      <c r="D777" s="16" t="n">
        <v>45717</v>
      </c>
      <c r="E777" s="4" t="n">
        <v>2025</v>
      </c>
      <c r="F777" s="4" t="n">
        <v>3</v>
      </c>
      <c r="G777" s="17" t="n">
        <v>75020017</v>
      </c>
      <c r="H777" s="18" t="n">
        <f aca="false">G777*$B$1/1000000</f>
        <v>165.390826569772</v>
      </c>
    </row>
    <row r="778" customFormat="false" ht="15" hidden="false" customHeight="false" outlineLevel="0" collapsed="false">
      <c r="A778" s="4" t="s">
        <v>205</v>
      </c>
      <c r="B778" s="4" t="s">
        <v>206</v>
      </c>
      <c r="C778" s="4" t="s">
        <v>35</v>
      </c>
      <c r="D778" s="16" t="n">
        <v>45748</v>
      </c>
      <c r="E778" s="4" t="n">
        <v>2025</v>
      </c>
      <c r="F778" s="4" t="n">
        <v>4</v>
      </c>
      <c r="G778" s="17" t="n">
        <v>111382940</v>
      </c>
      <c r="H778" s="18" t="n">
        <f aca="false">G778*$B$1/1000000</f>
        <v>245.557349212161</v>
      </c>
    </row>
    <row r="779" customFormat="false" ht="15" hidden="false" customHeight="false" outlineLevel="0" collapsed="false">
      <c r="A779" s="4" t="s">
        <v>205</v>
      </c>
      <c r="B779" s="4" t="s">
        <v>206</v>
      </c>
      <c r="C779" s="4" t="s">
        <v>35</v>
      </c>
      <c r="D779" s="16" t="n">
        <v>45778</v>
      </c>
      <c r="E779" s="4" t="n">
        <v>2025</v>
      </c>
      <c r="F779" s="4" t="n">
        <v>5</v>
      </c>
      <c r="G779" s="17" t="n">
        <v>95033616</v>
      </c>
      <c r="H779" s="18" t="n">
        <f aca="false">G779*$B$1/1000000</f>
        <v>209.513259669806</v>
      </c>
    </row>
    <row r="780" customFormat="false" ht="15" hidden="false" customHeight="false" outlineLevel="0" collapsed="false">
      <c r="A780" s="4" t="s">
        <v>205</v>
      </c>
      <c r="B780" s="4" t="s">
        <v>206</v>
      </c>
      <c r="C780" s="4" t="s">
        <v>35</v>
      </c>
      <c r="D780" s="16" t="n">
        <v>45809</v>
      </c>
      <c r="E780" s="4" t="n">
        <v>2025</v>
      </c>
      <c r="F780" s="4" t="n">
        <v>6</v>
      </c>
      <c r="G780" s="17" t="n">
        <v>65225229</v>
      </c>
      <c r="H780" s="18" t="n">
        <f aca="false">G780*$B$1/1000000</f>
        <v>143.797015368747</v>
      </c>
    </row>
    <row r="781" customFormat="false" ht="15" hidden="false" customHeight="false" outlineLevel="0" collapsed="false">
      <c r="A781" s="4" t="s">
        <v>205</v>
      </c>
      <c r="B781" s="4" t="s">
        <v>206</v>
      </c>
      <c r="C781" s="4" t="s">
        <v>35</v>
      </c>
      <c r="D781" s="16" t="n">
        <v>45839</v>
      </c>
      <c r="E781" s="4" t="n">
        <v>2025</v>
      </c>
      <c r="F781" s="4" t="n">
        <v>7</v>
      </c>
      <c r="G781" s="17" t="n">
        <v>160783727</v>
      </c>
      <c r="H781" s="18" t="n">
        <f aca="false">G781*$B$1/1000000</f>
        <v>354.467441769555</v>
      </c>
    </row>
    <row r="782" customFormat="false" ht="15" hidden="false" customHeight="false" outlineLevel="0" collapsed="false">
      <c r="A782" s="4" t="s">
        <v>205</v>
      </c>
      <c r="B782" s="4" t="s">
        <v>206</v>
      </c>
      <c r="C782" s="4" t="s">
        <v>35</v>
      </c>
      <c r="D782" s="16" t="n">
        <v>45870</v>
      </c>
      <c r="E782" s="4" t="n">
        <v>2025</v>
      </c>
      <c r="F782" s="4" t="n">
        <v>8</v>
      </c>
      <c r="G782" s="17" t="n">
        <v>17635166</v>
      </c>
      <c r="H782" s="18" t="n">
        <f aca="false">G782*$B$1/1000000</f>
        <v>38.87888590368</v>
      </c>
    </row>
    <row r="783" customFormat="false" ht="15" hidden="false" customHeight="false" outlineLevel="0" collapsed="false">
      <c r="A783" s="4" t="s">
        <v>205</v>
      </c>
      <c r="B783" s="4" t="s">
        <v>206</v>
      </c>
      <c r="C783" s="4" t="s">
        <v>35</v>
      </c>
      <c r="D783" s="16" t="n">
        <v>45901</v>
      </c>
      <c r="E783" s="4" t="n">
        <v>2025</v>
      </c>
      <c r="F783" s="4" t="n">
        <v>9</v>
      </c>
      <c r="G783" s="17" t="n">
        <v>98889481</v>
      </c>
      <c r="H783" s="18" t="n">
        <f aca="false">G783*$B$1/1000000</f>
        <v>218.013986875606</v>
      </c>
    </row>
    <row r="784" customFormat="false" ht="15" hidden="false" customHeight="false" outlineLevel="0" collapsed="false">
      <c r="A784" s="4" t="s">
        <v>205</v>
      </c>
      <c r="B784" s="4" t="s">
        <v>206</v>
      </c>
      <c r="C784" s="4" t="s">
        <v>35</v>
      </c>
      <c r="D784" s="16" t="n">
        <v>45931</v>
      </c>
      <c r="E784" s="4" t="n">
        <v>2025</v>
      </c>
      <c r="F784" s="4" t="n">
        <v>10</v>
      </c>
      <c r="G784" s="17" t="n">
        <v>99395597</v>
      </c>
      <c r="H784" s="18" t="n">
        <f aca="false">G784*$B$1/1000000</f>
        <v>219.129781658486</v>
      </c>
    </row>
    <row r="785" customFormat="false" ht="15" hidden="false" customHeight="false" outlineLevel="0" collapsed="false">
      <c r="A785" s="4" t="s">
        <v>205</v>
      </c>
      <c r="B785" s="4" t="s">
        <v>206</v>
      </c>
      <c r="C785" s="4" t="s">
        <v>35</v>
      </c>
      <c r="D785" s="16" t="n">
        <v>45962</v>
      </c>
      <c r="E785" s="4" t="n">
        <v>2025</v>
      </c>
      <c r="F785" s="4" t="n">
        <v>11</v>
      </c>
      <c r="G785" s="17" t="n">
        <v>56018232</v>
      </c>
      <c r="H785" s="18" t="n">
        <f aca="false">G785*$B$1/1000000</f>
        <v>123.499061503242</v>
      </c>
    </row>
    <row r="786" customFormat="false" ht="15" hidden="false" customHeight="false" outlineLevel="0" collapsed="false">
      <c r="A786" s="4" t="s">
        <v>205</v>
      </c>
      <c r="B786" s="4" t="s">
        <v>206</v>
      </c>
      <c r="C786" s="4" t="s">
        <v>35</v>
      </c>
      <c r="D786" s="16" t="n">
        <v>45992</v>
      </c>
      <c r="E786" s="4" t="n">
        <v>2025</v>
      </c>
      <c r="F786" s="4" t="n">
        <v>12</v>
      </c>
      <c r="G786" s="17" t="n">
        <v>97994879</v>
      </c>
      <c r="H786" s="18" t="n">
        <f aca="false">G786*$B$1/1000000</f>
        <v>216.041727068854</v>
      </c>
    </row>
    <row r="787" customFormat="false" ht="15" hidden="false" customHeight="false" outlineLevel="0" collapsed="false">
      <c r="A787" s="4" t="s">
        <v>205</v>
      </c>
      <c r="B787" s="4" t="s">
        <v>206</v>
      </c>
      <c r="C787" s="4" t="s">
        <v>35</v>
      </c>
      <c r="D787" s="16" t="n">
        <v>46023</v>
      </c>
      <c r="E787" s="4" t="n">
        <v>2026</v>
      </c>
      <c r="F787" s="4" t="n">
        <v>1</v>
      </c>
      <c r="G787" s="17" t="n">
        <v>45396982</v>
      </c>
      <c r="H787" s="18" t="n">
        <f aca="false">G787*$B$1/1000000</f>
        <v>100.083213480917</v>
      </c>
    </row>
    <row r="788" customFormat="false" ht="15" hidden="false" customHeight="false" outlineLevel="0" collapsed="false">
      <c r="A788" s="4" t="s">
        <v>205</v>
      </c>
      <c r="B788" s="4" t="s">
        <v>206</v>
      </c>
      <c r="C788" s="4" t="s">
        <v>35</v>
      </c>
      <c r="D788" s="16" t="n">
        <v>46054</v>
      </c>
      <c r="E788" s="4" t="n">
        <v>2026</v>
      </c>
      <c r="F788" s="4" t="n">
        <v>2</v>
      </c>
      <c r="G788" s="17" t="n">
        <v>65396201</v>
      </c>
      <c r="H788" s="18" t="n">
        <f aca="false">G788*$B$1/1000000</f>
        <v>144.17394410765</v>
      </c>
    </row>
    <row r="789" customFormat="false" ht="15" hidden="false" customHeight="false" outlineLevel="0" collapsed="false">
      <c r="A789" s="4" t="s">
        <v>205</v>
      </c>
      <c r="B789" s="4" t="s">
        <v>206</v>
      </c>
      <c r="C789" s="4" t="s">
        <v>35</v>
      </c>
      <c r="D789" s="16" t="n">
        <v>46082</v>
      </c>
      <c r="E789" s="4" t="n">
        <v>2026</v>
      </c>
      <c r="F789" s="4" t="n">
        <v>3</v>
      </c>
      <c r="G789" s="17" t="n">
        <v>45307003</v>
      </c>
      <c r="H789" s="18" t="n">
        <f aca="false">G789*$B$1/1000000</f>
        <v>99.8848437420258</v>
      </c>
    </row>
    <row r="790" customFormat="false" ht="15" hidden="false" customHeight="false" outlineLevel="0" collapsed="false">
      <c r="A790" s="4" t="s">
        <v>205</v>
      </c>
      <c r="B790" s="4" t="s">
        <v>206</v>
      </c>
      <c r="C790" s="4" t="s">
        <v>35</v>
      </c>
      <c r="D790" s="16" t="n">
        <v>46113</v>
      </c>
      <c r="E790" s="4" t="n">
        <v>2026</v>
      </c>
      <c r="F790" s="4" t="n">
        <v>4</v>
      </c>
      <c r="G790" s="17" t="n">
        <v>90026741</v>
      </c>
      <c r="H790" s="18" t="n">
        <f aca="false">G790*$B$1/1000000</f>
        <v>198.474989780031</v>
      </c>
    </row>
    <row r="791" customFormat="false" ht="15" hidden="false" customHeight="false" outlineLevel="0" collapsed="false">
      <c r="A791" s="4" t="s">
        <v>205</v>
      </c>
      <c r="B791" s="4" t="s">
        <v>206</v>
      </c>
      <c r="C791" s="4" t="s">
        <v>35</v>
      </c>
      <c r="D791" s="16" t="n">
        <v>46143</v>
      </c>
      <c r="E791" s="4" t="n">
        <v>2026</v>
      </c>
      <c r="F791" s="4" t="n">
        <v>5</v>
      </c>
      <c r="G791" s="17" t="n">
        <v>92116076</v>
      </c>
      <c r="H791" s="18" t="n">
        <f aca="false">G791*$B$1/1000000</f>
        <v>203.081184985654</v>
      </c>
    </row>
    <row r="792" customFormat="false" ht="15" hidden="false" customHeight="false" outlineLevel="0" collapsed="false">
      <c r="A792" s="4" t="s">
        <v>205</v>
      </c>
      <c r="B792" s="4" t="s">
        <v>206</v>
      </c>
      <c r="C792" s="4" t="s">
        <v>35</v>
      </c>
      <c r="D792" s="16" t="n">
        <v>46174</v>
      </c>
      <c r="E792" s="4" t="n">
        <v>2026</v>
      </c>
      <c r="F792" s="4" t="n">
        <v>6</v>
      </c>
      <c r="G792" s="17" t="n">
        <v>69846672</v>
      </c>
      <c r="H792" s="18" t="n">
        <f aca="false">G792*$B$1/1000000</f>
        <v>153.985553152137</v>
      </c>
    </row>
    <row r="793" customFormat="false" ht="15" hidden="false" customHeight="false" outlineLevel="0" collapsed="false">
      <c r="A793" s="4" t="s">
        <v>205</v>
      </c>
      <c r="B793" s="4" t="s">
        <v>206</v>
      </c>
      <c r="C793" s="4" t="s">
        <v>35</v>
      </c>
      <c r="D793" s="16" t="n">
        <v>46204</v>
      </c>
      <c r="E793" s="4" t="n">
        <v>2026</v>
      </c>
      <c r="F793" s="4" t="n">
        <v>7</v>
      </c>
      <c r="G793" s="17" t="n">
        <v>122725228</v>
      </c>
      <c r="H793" s="18" t="n">
        <f aca="false">G793*$B$1/1000000</f>
        <v>270.562813920499</v>
      </c>
    </row>
    <row r="794" customFormat="false" ht="15" hidden="false" customHeight="false" outlineLevel="0" collapsed="false">
      <c r="A794" s="4" t="s">
        <v>205</v>
      </c>
      <c r="B794" s="4" t="s">
        <v>206</v>
      </c>
      <c r="C794" s="4" t="s">
        <v>35</v>
      </c>
      <c r="D794" s="16" t="n">
        <v>46235</v>
      </c>
      <c r="E794" s="4" t="n">
        <v>2026</v>
      </c>
      <c r="F794" s="4" t="n">
        <v>8</v>
      </c>
      <c r="G794" s="17" t="n">
        <v>113271421</v>
      </c>
      <c r="H794" s="18" t="n">
        <f aca="false">G794*$B$1/1000000</f>
        <v>249.720737145695</v>
      </c>
    </row>
    <row r="795" customFormat="false" ht="15" hidden="false" customHeight="false" outlineLevel="0" collapsed="false">
      <c r="A795" s="4" t="s">
        <v>207</v>
      </c>
      <c r="B795" s="4" t="s">
        <v>208</v>
      </c>
      <c r="C795" s="4" t="s">
        <v>68</v>
      </c>
      <c r="D795" s="16" t="n">
        <v>44075</v>
      </c>
      <c r="E795" s="4" t="n">
        <v>2020</v>
      </c>
      <c r="F795" s="4" t="n">
        <v>9</v>
      </c>
      <c r="G795" s="17" t="n">
        <v>18000</v>
      </c>
      <c r="H795" s="18" t="n">
        <f aca="false">G795*$B$1/1000000</f>
        <v>0.0396832071933</v>
      </c>
    </row>
    <row r="796" customFormat="false" ht="15" hidden="false" customHeight="false" outlineLevel="0" collapsed="false">
      <c r="A796" s="4" t="s">
        <v>207</v>
      </c>
      <c r="B796" s="4" t="s">
        <v>208</v>
      </c>
      <c r="C796" s="4" t="s">
        <v>68</v>
      </c>
      <c r="D796" s="16" t="n">
        <v>44228</v>
      </c>
      <c r="E796" s="4" t="n">
        <v>2021</v>
      </c>
      <c r="F796" s="4" t="n">
        <v>2</v>
      </c>
      <c r="G796" s="17" t="n">
        <v>19000</v>
      </c>
      <c r="H796" s="18" t="n">
        <f aca="false">G796*$B$1/1000000</f>
        <v>0.04188782981515</v>
      </c>
    </row>
    <row r="797" customFormat="false" ht="15" hidden="false" customHeight="false" outlineLevel="0" collapsed="false">
      <c r="A797" s="4" t="s">
        <v>207</v>
      </c>
      <c r="B797" s="4" t="s">
        <v>208</v>
      </c>
      <c r="C797" s="4" t="s">
        <v>68</v>
      </c>
      <c r="D797" s="16" t="n">
        <v>44317</v>
      </c>
      <c r="E797" s="4" t="n">
        <v>2021</v>
      </c>
      <c r="F797" s="4" t="n">
        <v>5</v>
      </c>
      <c r="G797" s="17" t="n">
        <v>19000</v>
      </c>
      <c r="H797" s="18" t="n">
        <f aca="false">G797*$B$1/1000000</f>
        <v>0.04188782981515</v>
      </c>
    </row>
    <row r="798" customFormat="false" ht="15" hidden="false" customHeight="false" outlineLevel="0" collapsed="false">
      <c r="A798" s="4" t="s">
        <v>207</v>
      </c>
      <c r="B798" s="4" t="s">
        <v>208</v>
      </c>
      <c r="C798" s="4" t="s">
        <v>68</v>
      </c>
      <c r="D798" s="16" t="n">
        <v>44440</v>
      </c>
      <c r="E798" s="4" t="n">
        <v>2021</v>
      </c>
      <c r="F798" s="4" t="n">
        <v>9</v>
      </c>
      <c r="G798" s="17" t="n">
        <v>36000</v>
      </c>
      <c r="H798" s="18" t="n">
        <f aca="false">G798*$B$1/1000000</f>
        <v>0.0793664143866</v>
      </c>
    </row>
    <row r="799" customFormat="false" ht="15" hidden="false" customHeight="false" outlineLevel="0" collapsed="false">
      <c r="A799" s="4" t="s">
        <v>207</v>
      </c>
      <c r="B799" s="4" t="s">
        <v>208</v>
      </c>
      <c r="C799" s="4" t="s">
        <v>68</v>
      </c>
      <c r="D799" s="16" t="n">
        <v>44621</v>
      </c>
      <c r="E799" s="4" t="n">
        <v>2022</v>
      </c>
      <c r="F799" s="4" t="n">
        <v>3</v>
      </c>
      <c r="G799" s="17" t="n">
        <v>18000</v>
      </c>
      <c r="H799" s="18" t="n">
        <f aca="false">G799*$B$1/1000000</f>
        <v>0.0396832071933</v>
      </c>
    </row>
    <row r="800" customFormat="false" ht="15" hidden="false" customHeight="false" outlineLevel="0" collapsed="false">
      <c r="A800" s="4" t="s">
        <v>207</v>
      </c>
      <c r="B800" s="4" t="s">
        <v>208</v>
      </c>
      <c r="C800" s="4" t="s">
        <v>68</v>
      </c>
      <c r="D800" s="16" t="n">
        <v>44682</v>
      </c>
      <c r="E800" s="4" t="n">
        <v>2022</v>
      </c>
      <c r="F800" s="4" t="n">
        <v>5</v>
      </c>
      <c r="G800" s="17" t="n">
        <v>18000</v>
      </c>
      <c r="H800" s="18" t="n">
        <f aca="false">G800*$B$1/1000000</f>
        <v>0.0396832071933</v>
      </c>
    </row>
    <row r="801" customFormat="false" ht="15" hidden="false" customHeight="false" outlineLevel="0" collapsed="false">
      <c r="A801" s="4" t="s">
        <v>207</v>
      </c>
      <c r="B801" s="4" t="s">
        <v>208</v>
      </c>
      <c r="C801" s="4" t="s">
        <v>68</v>
      </c>
      <c r="D801" s="16" t="n">
        <v>44743</v>
      </c>
      <c r="E801" s="4" t="n">
        <v>2022</v>
      </c>
      <c r="F801" s="4" t="n">
        <v>7</v>
      </c>
      <c r="G801" s="17" t="n">
        <v>36000</v>
      </c>
      <c r="H801" s="18" t="n">
        <f aca="false">G801*$B$1/1000000</f>
        <v>0.0793664143866</v>
      </c>
    </row>
    <row r="802" customFormat="false" ht="15" hidden="false" customHeight="false" outlineLevel="0" collapsed="false">
      <c r="A802" s="4" t="s">
        <v>207</v>
      </c>
      <c r="B802" s="4" t="s">
        <v>208</v>
      </c>
      <c r="C802" s="4" t="s">
        <v>68</v>
      </c>
      <c r="D802" s="16" t="n">
        <v>44927</v>
      </c>
      <c r="E802" s="4" t="n">
        <v>2023</v>
      </c>
      <c r="F802" s="4" t="n">
        <v>1</v>
      </c>
      <c r="G802" s="17" t="n">
        <v>38000</v>
      </c>
      <c r="H802" s="18" t="n">
        <f aca="false">G802*$B$1/1000000</f>
        <v>0.0837756596303</v>
      </c>
    </row>
    <row r="803" customFormat="false" ht="15" hidden="false" customHeight="false" outlineLevel="0" collapsed="false">
      <c r="A803" s="4" t="s">
        <v>207</v>
      </c>
      <c r="B803" s="4" t="s">
        <v>208</v>
      </c>
      <c r="C803" s="4" t="s">
        <v>68</v>
      </c>
      <c r="D803" s="16" t="n">
        <v>44986</v>
      </c>
      <c r="E803" s="4" t="n">
        <v>2023</v>
      </c>
      <c r="F803" s="4" t="n">
        <v>3</v>
      </c>
      <c r="G803" s="17" t="n">
        <v>1000</v>
      </c>
      <c r="H803" s="18" t="n">
        <f aca="false">G803*$B$1/1000000</f>
        <v>0.00220462262185</v>
      </c>
    </row>
    <row r="804" customFormat="false" ht="15" hidden="false" customHeight="false" outlineLevel="0" collapsed="false">
      <c r="A804" s="4" t="s">
        <v>207</v>
      </c>
      <c r="B804" s="4" t="s">
        <v>208</v>
      </c>
      <c r="C804" s="4" t="s">
        <v>68</v>
      </c>
      <c r="D804" s="16" t="n">
        <v>45078</v>
      </c>
      <c r="E804" s="4" t="n">
        <v>2023</v>
      </c>
      <c r="F804" s="4" t="n">
        <v>6</v>
      </c>
      <c r="G804" s="17" t="n">
        <v>57000</v>
      </c>
      <c r="H804" s="18" t="n">
        <f aca="false">G804*$B$1/1000000</f>
        <v>0.12566348944545</v>
      </c>
    </row>
    <row r="805" customFormat="false" ht="15" hidden="false" customHeight="false" outlineLevel="0" collapsed="false">
      <c r="A805" s="4" t="s">
        <v>207</v>
      </c>
      <c r="B805" s="4" t="s">
        <v>208</v>
      </c>
      <c r="C805" s="4" t="s">
        <v>68</v>
      </c>
      <c r="D805" s="16" t="n">
        <v>45139</v>
      </c>
      <c r="E805" s="4" t="n">
        <v>2023</v>
      </c>
      <c r="F805" s="4" t="n">
        <v>8</v>
      </c>
      <c r="G805" s="17" t="n">
        <v>80000</v>
      </c>
      <c r="H805" s="18" t="n">
        <f aca="false">G805*$B$1/1000000</f>
        <v>0.176369809748</v>
      </c>
    </row>
    <row r="806" customFormat="false" ht="15" hidden="false" customHeight="false" outlineLevel="0" collapsed="false">
      <c r="A806" s="4" t="s">
        <v>207</v>
      </c>
      <c r="B806" s="4" t="s">
        <v>208</v>
      </c>
      <c r="C806" s="4" t="s">
        <v>68</v>
      </c>
      <c r="D806" s="16" t="n">
        <v>45170</v>
      </c>
      <c r="E806" s="4" t="n">
        <v>2023</v>
      </c>
      <c r="F806" s="4" t="n">
        <v>9</v>
      </c>
      <c r="G806" s="17" t="n">
        <v>36000</v>
      </c>
      <c r="H806" s="18" t="n">
        <f aca="false">G806*$B$1/1000000</f>
        <v>0.0793664143866</v>
      </c>
    </row>
    <row r="807" customFormat="false" ht="15" hidden="false" customHeight="false" outlineLevel="0" collapsed="false">
      <c r="A807" s="4" t="s">
        <v>207</v>
      </c>
      <c r="B807" s="4" t="s">
        <v>208</v>
      </c>
      <c r="C807" s="4" t="s">
        <v>68</v>
      </c>
      <c r="D807" s="16" t="n">
        <v>45200</v>
      </c>
      <c r="E807" s="4" t="n">
        <v>2023</v>
      </c>
      <c r="F807" s="4" t="n">
        <v>10</v>
      </c>
      <c r="G807" s="17" t="n">
        <v>80000</v>
      </c>
      <c r="H807" s="18" t="n">
        <f aca="false">G807*$B$1/1000000</f>
        <v>0.176369809748</v>
      </c>
    </row>
    <row r="808" customFormat="false" ht="15" hidden="false" customHeight="false" outlineLevel="0" collapsed="false">
      <c r="A808" s="4" t="s">
        <v>207</v>
      </c>
      <c r="B808" s="4" t="s">
        <v>208</v>
      </c>
      <c r="C808" s="4" t="s">
        <v>68</v>
      </c>
      <c r="D808" s="16" t="n">
        <v>45231</v>
      </c>
      <c r="E808" s="4" t="n">
        <v>2023</v>
      </c>
      <c r="F808" s="4" t="n">
        <v>11</v>
      </c>
      <c r="G808" s="17" t="n">
        <v>80000</v>
      </c>
      <c r="H808" s="18" t="n">
        <f aca="false">G808*$B$1/1000000</f>
        <v>0.176369809748</v>
      </c>
    </row>
    <row r="809" customFormat="false" ht="15" hidden="false" customHeight="false" outlineLevel="0" collapsed="false">
      <c r="A809" s="4" t="s">
        <v>207</v>
      </c>
      <c r="B809" s="4" t="s">
        <v>208</v>
      </c>
      <c r="C809" s="4" t="s">
        <v>68</v>
      </c>
      <c r="D809" s="16" t="n">
        <v>45689</v>
      </c>
      <c r="E809" s="4" t="n">
        <v>2025</v>
      </c>
      <c r="F809" s="4" t="n">
        <v>2</v>
      </c>
      <c r="G809" s="17" t="n">
        <v>20000</v>
      </c>
      <c r="H809" s="18" t="n">
        <f aca="false">G809*$B$1/1000000</f>
        <v>0.044092452437</v>
      </c>
    </row>
    <row r="810" customFormat="false" ht="15" hidden="false" customHeight="false" outlineLevel="0" collapsed="false">
      <c r="A810" s="4" t="s">
        <v>207</v>
      </c>
      <c r="B810" s="4" t="s">
        <v>208</v>
      </c>
      <c r="C810" s="4" t="s">
        <v>68</v>
      </c>
      <c r="D810" s="16" t="n">
        <v>45748</v>
      </c>
      <c r="E810" s="4" t="n">
        <v>2025</v>
      </c>
      <c r="F810" s="4" t="n">
        <v>4</v>
      </c>
      <c r="G810" s="17" t="n">
        <v>20000</v>
      </c>
      <c r="H810" s="18" t="n">
        <f aca="false">G810*$B$1/1000000</f>
        <v>0.044092452437</v>
      </c>
    </row>
    <row r="811" customFormat="false" ht="15" hidden="false" customHeight="false" outlineLevel="0" collapsed="false">
      <c r="A811" s="4" t="s">
        <v>207</v>
      </c>
      <c r="B811" s="4" t="s">
        <v>208</v>
      </c>
      <c r="C811" s="4" t="s">
        <v>68</v>
      </c>
      <c r="D811" s="16" t="n">
        <v>46143</v>
      </c>
      <c r="E811" s="4" t="n">
        <v>2026</v>
      </c>
      <c r="F811" s="4" t="n">
        <v>5</v>
      </c>
      <c r="G811" s="17" t="n">
        <v>17946</v>
      </c>
      <c r="H811" s="18" t="n">
        <f aca="false">G811*$B$1/1000000</f>
        <v>0.0395641575717201</v>
      </c>
    </row>
    <row r="812" customFormat="false" ht="15" hidden="false" customHeight="false" outlineLevel="0" collapsed="false">
      <c r="A812" s="4" t="s">
        <v>207</v>
      </c>
      <c r="B812" s="4" t="s">
        <v>208</v>
      </c>
      <c r="C812" s="4" t="s">
        <v>55</v>
      </c>
      <c r="D812" s="16" t="n">
        <v>43831</v>
      </c>
      <c r="E812" s="4" t="n">
        <v>2020</v>
      </c>
      <c r="F812" s="4" t="n">
        <v>1</v>
      </c>
      <c r="G812" s="17" t="n">
        <v>22000</v>
      </c>
      <c r="H812" s="18" t="n">
        <f aca="false">G812*$B$1/1000000</f>
        <v>0.0485016976807</v>
      </c>
    </row>
    <row r="813" customFormat="false" ht="15" hidden="false" customHeight="false" outlineLevel="0" collapsed="false">
      <c r="A813" s="4" t="s">
        <v>207</v>
      </c>
      <c r="B813" s="4" t="s">
        <v>208</v>
      </c>
      <c r="C813" s="4" t="s">
        <v>55</v>
      </c>
      <c r="D813" s="16" t="n">
        <v>43862</v>
      </c>
      <c r="E813" s="4" t="n">
        <v>2020</v>
      </c>
      <c r="F813" s="4" t="n">
        <v>2</v>
      </c>
      <c r="G813" s="17" t="n">
        <v>22000</v>
      </c>
      <c r="H813" s="18" t="n">
        <f aca="false">G813*$B$1/1000000</f>
        <v>0.0485016976807</v>
      </c>
    </row>
    <row r="814" customFormat="false" ht="15" hidden="false" customHeight="false" outlineLevel="0" collapsed="false">
      <c r="A814" s="4" t="s">
        <v>207</v>
      </c>
      <c r="B814" s="4" t="s">
        <v>208</v>
      </c>
      <c r="C814" s="4" t="s">
        <v>55</v>
      </c>
      <c r="D814" s="16" t="n">
        <v>43891</v>
      </c>
      <c r="E814" s="4" t="n">
        <v>2020</v>
      </c>
      <c r="F814" s="4" t="n">
        <v>3</v>
      </c>
      <c r="G814" s="17" t="n">
        <v>22680</v>
      </c>
      <c r="H814" s="18" t="n">
        <f aca="false">G814*$B$1/1000000</f>
        <v>0.050000841063558</v>
      </c>
    </row>
    <row r="815" customFormat="false" ht="15" hidden="false" customHeight="false" outlineLevel="0" collapsed="false">
      <c r="A815" s="4" t="s">
        <v>207</v>
      </c>
      <c r="B815" s="4" t="s">
        <v>208</v>
      </c>
      <c r="C815" s="4" t="s">
        <v>55</v>
      </c>
      <c r="D815" s="16" t="n">
        <v>44136</v>
      </c>
      <c r="E815" s="4" t="n">
        <v>2020</v>
      </c>
      <c r="F815" s="4" t="n">
        <v>11</v>
      </c>
      <c r="G815" s="17" t="n">
        <v>22080</v>
      </c>
      <c r="H815" s="18" t="n">
        <f aca="false">G815*$B$1/1000000</f>
        <v>0.048678067490448</v>
      </c>
    </row>
    <row r="816" customFormat="false" ht="15" hidden="false" customHeight="false" outlineLevel="0" collapsed="false">
      <c r="A816" s="4" t="s">
        <v>207</v>
      </c>
      <c r="B816" s="4" t="s">
        <v>208</v>
      </c>
      <c r="C816" s="4" t="s">
        <v>55</v>
      </c>
      <c r="D816" s="16" t="n">
        <v>44166</v>
      </c>
      <c r="E816" s="4" t="n">
        <v>2020</v>
      </c>
      <c r="F816" s="4" t="n">
        <v>12</v>
      </c>
      <c r="G816" s="17" t="n">
        <v>44740</v>
      </c>
      <c r="H816" s="18" t="n">
        <f aca="false">G816*$B$1/1000000</f>
        <v>0.098634816101569</v>
      </c>
    </row>
    <row r="817" customFormat="false" ht="15" hidden="false" customHeight="false" outlineLevel="0" collapsed="false">
      <c r="A817" s="4" t="s">
        <v>207</v>
      </c>
      <c r="B817" s="4" t="s">
        <v>208</v>
      </c>
      <c r="C817" s="4" t="s">
        <v>55</v>
      </c>
      <c r="D817" s="16" t="n">
        <v>44409</v>
      </c>
      <c r="E817" s="4" t="n">
        <v>2021</v>
      </c>
      <c r="F817" s="4" t="n">
        <v>8</v>
      </c>
      <c r="G817" s="17" t="n">
        <v>44420</v>
      </c>
      <c r="H817" s="18" t="n">
        <f aca="false">G817*$B$1/1000000</f>
        <v>0.097929336862577</v>
      </c>
    </row>
    <row r="818" customFormat="false" ht="15" hidden="false" customHeight="false" outlineLevel="0" collapsed="false">
      <c r="A818" s="4" t="s">
        <v>207</v>
      </c>
      <c r="B818" s="4" t="s">
        <v>208</v>
      </c>
      <c r="C818" s="4" t="s">
        <v>55</v>
      </c>
      <c r="D818" s="16" t="n">
        <v>44531</v>
      </c>
      <c r="E818" s="4" t="n">
        <v>2021</v>
      </c>
      <c r="F818" s="4" t="n">
        <v>12</v>
      </c>
      <c r="G818" s="17" t="n">
        <v>44000</v>
      </c>
      <c r="H818" s="18" t="n">
        <f aca="false">G818*$B$1/1000000</f>
        <v>0.0970033953614</v>
      </c>
    </row>
    <row r="819" customFormat="false" ht="15" hidden="false" customHeight="false" outlineLevel="0" collapsed="false">
      <c r="A819" s="4" t="s">
        <v>207</v>
      </c>
      <c r="B819" s="4" t="s">
        <v>208</v>
      </c>
      <c r="C819" s="4" t="s">
        <v>55</v>
      </c>
      <c r="D819" s="16" t="n">
        <v>44652</v>
      </c>
      <c r="E819" s="4" t="n">
        <v>2022</v>
      </c>
      <c r="F819" s="4" t="n">
        <v>4</v>
      </c>
      <c r="G819" s="17" t="n">
        <v>42176</v>
      </c>
      <c r="H819" s="18" t="n">
        <f aca="false">G819*$B$1/1000000</f>
        <v>0.0929821636991456</v>
      </c>
    </row>
    <row r="820" customFormat="false" ht="15" hidden="false" customHeight="false" outlineLevel="0" collapsed="false">
      <c r="A820" s="4" t="s">
        <v>207</v>
      </c>
      <c r="B820" s="4" t="s">
        <v>208</v>
      </c>
      <c r="C820" s="4" t="s">
        <v>55</v>
      </c>
      <c r="D820" s="16" t="n">
        <v>44682</v>
      </c>
      <c r="E820" s="4" t="n">
        <v>2022</v>
      </c>
      <c r="F820" s="4" t="n">
        <v>5</v>
      </c>
      <c r="G820" s="17" t="n">
        <v>45748</v>
      </c>
      <c r="H820" s="18" t="n">
        <f aca="false">G820*$B$1/1000000</f>
        <v>0.100857075704394</v>
      </c>
    </row>
    <row r="821" customFormat="false" ht="15" hidden="false" customHeight="false" outlineLevel="0" collapsed="false">
      <c r="A821" s="4" t="s">
        <v>207</v>
      </c>
      <c r="B821" s="4" t="s">
        <v>208</v>
      </c>
      <c r="C821" s="4" t="s">
        <v>55</v>
      </c>
      <c r="D821" s="16" t="n">
        <v>44743</v>
      </c>
      <c r="E821" s="4" t="n">
        <v>2022</v>
      </c>
      <c r="F821" s="4" t="n">
        <v>7</v>
      </c>
      <c r="G821" s="17" t="n">
        <v>42832</v>
      </c>
      <c r="H821" s="18" t="n">
        <f aca="false">G821*$B$1/1000000</f>
        <v>0.0944283961390792</v>
      </c>
    </row>
    <row r="822" customFormat="false" ht="15" hidden="false" customHeight="false" outlineLevel="0" collapsed="false">
      <c r="A822" s="4" t="s">
        <v>207</v>
      </c>
      <c r="B822" s="4" t="s">
        <v>208</v>
      </c>
      <c r="C822" s="4" t="s">
        <v>55</v>
      </c>
      <c r="D822" s="16" t="n">
        <v>44774</v>
      </c>
      <c r="E822" s="4" t="n">
        <v>2022</v>
      </c>
      <c r="F822" s="4" t="n">
        <v>8</v>
      </c>
      <c r="G822" s="17" t="n">
        <v>42832</v>
      </c>
      <c r="H822" s="18" t="n">
        <f aca="false">G822*$B$1/1000000</f>
        <v>0.0944283961390792</v>
      </c>
    </row>
    <row r="823" customFormat="false" ht="15" hidden="false" customHeight="false" outlineLevel="0" collapsed="false">
      <c r="A823" s="4" t="s">
        <v>207</v>
      </c>
      <c r="B823" s="4" t="s">
        <v>208</v>
      </c>
      <c r="C823" s="4" t="s">
        <v>55</v>
      </c>
      <c r="D823" s="16" t="n">
        <v>44805</v>
      </c>
      <c r="E823" s="4" t="n">
        <v>2022</v>
      </c>
      <c r="F823" s="4" t="n">
        <v>9</v>
      </c>
      <c r="G823" s="17" t="n">
        <v>20412</v>
      </c>
      <c r="H823" s="18" t="n">
        <f aca="false">G823*$B$1/1000000</f>
        <v>0.0450007569572022</v>
      </c>
    </row>
    <row r="824" customFormat="false" ht="15" hidden="false" customHeight="false" outlineLevel="0" collapsed="false">
      <c r="A824" s="4" t="s">
        <v>207</v>
      </c>
      <c r="B824" s="4" t="s">
        <v>208</v>
      </c>
      <c r="C824" s="4" t="s">
        <v>55</v>
      </c>
      <c r="D824" s="16" t="n">
        <v>44866</v>
      </c>
      <c r="E824" s="4" t="n">
        <v>2022</v>
      </c>
      <c r="F824" s="4" t="n">
        <v>11</v>
      </c>
      <c r="G824" s="17" t="n">
        <v>43032</v>
      </c>
      <c r="H824" s="18" t="n">
        <f aca="false">G824*$B$1/1000000</f>
        <v>0.0948693206634492</v>
      </c>
    </row>
    <row r="825" customFormat="false" ht="15" hidden="false" customHeight="false" outlineLevel="0" collapsed="false">
      <c r="A825" s="4" t="s">
        <v>207</v>
      </c>
      <c r="B825" s="4" t="s">
        <v>208</v>
      </c>
      <c r="C825" s="4" t="s">
        <v>55</v>
      </c>
      <c r="D825" s="16" t="n">
        <v>44896</v>
      </c>
      <c r="E825" s="4" t="n">
        <v>2022</v>
      </c>
      <c r="F825" s="4" t="n">
        <v>12</v>
      </c>
      <c r="G825" s="17" t="n">
        <v>21800</v>
      </c>
      <c r="H825" s="18" t="n">
        <f aca="false">G825*$B$1/1000000</f>
        <v>0.04806077315633</v>
      </c>
    </row>
    <row r="826" customFormat="false" ht="15" hidden="false" customHeight="false" outlineLevel="0" collapsed="false">
      <c r="A826" s="4" t="s">
        <v>207</v>
      </c>
      <c r="B826" s="4" t="s">
        <v>208</v>
      </c>
      <c r="C826" s="4" t="s">
        <v>55</v>
      </c>
      <c r="D826" s="16" t="n">
        <v>44958</v>
      </c>
      <c r="E826" s="4" t="n">
        <v>2023</v>
      </c>
      <c r="F826" s="4" t="n">
        <v>2</v>
      </c>
      <c r="G826" s="17" t="n">
        <v>22000</v>
      </c>
      <c r="H826" s="18" t="n">
        <f aca="false">G826*$B$1/1000000</f>
        <v>0.0485016976807</v>
      </c>
    </row>
    <row r="827" customFormat="false" ht="15" hidden="false" customHeight="false" outlineLevel="0" collapsed="false">
      <c r="A827" s="4" t="s">
        <v>207</v>
      </c>
      <c r="B827" s="4" t="s">
        <v>208</v>
      </c>
      <c r="C827" s="4" t="s">
        <v>55</v>
      </c>
      <c r="D827" s="16" t="n">
        <v>45078</v>
      </c>
      <c r="E827" s="4" t="n">
        <v>2023</v>
      </c>
      <c r="F827" s="4" t="n">
        <v>6</v>
      </c>
      <c r="G827" s="17" t="n">
        <v>22620</v>
      </c>
      <c r="H827" s="18" t="n">
        <f aca="false">G827*$B$1/1000000</f>
        <v>0.049868563706247</v>
      </c>
    </row>
    <row r="828" customFormat="false" ht="15" hidden="false" customHeight="false" outlineLevel="0" collapsed="false">
      <c r="A828" s="4" t="s">
        <v>207</v>
      </c>
      <c r="B828" s="4" t="s">
        <v>208</v>
      </c>
      <c r="C828" s="4" t="s">
        <v>55</v>
      </c>
      <c r="D828" s="16" t="n">
        <v>45809</v>
      </c>
      <c r="E828" s="4" t="n">
        <v>2025</v>
      </c>
      <c r="F828" s="4" t="n">
        <v>6</v>
      </c>
      <c r="G828" s="17" t="n">
        <v>79917</v>
      </c>
      <c r="H828" s="18" t="n">
        <f aca="false">G828*$B$1/1000000</f>
        <v>0.176186826070386</v>
      </c>
    </row>
    <row r="829" customFormat="false" ht="15" hidden="false" customHeight="false" outlineLevel="0" collapsed="false">
      <c r="A829" s="4" t="s">
        <v>207</v>
      </c>
      <c r="B829" s="4" t="s">
        <v>208</v>
      </c>
      <c r="C829" s="4" t="s">
        <v>55</v>
      </c>
      <c r="D829" s="16" t="n">
        <v>45870</v>
      </c>
      <c r="E829" s="4" t="n">
        <v>2025</v>
      </c>
      <c r="F829" s="4" t="n">
        <v>8</v>
      </c>
      <c r="G829" s="17" t="n">
        <v>42250</v>
      </c>
      <c r="H829" s="18" t="n">
        <f aca="false">G829*$B$1/1000000</f>
        <v>0.0931453057731625</v>
      </c>
    </row>
    <row r="830" customFormat="false" ht="15" hidden="false" customHeight="false" outlineLevel="0" collapsed="false">
      <c r="A830" s="4" t="s">
        <v>207</v>
      </c>
      <c r="B830" s="4" t="s">
        <v>208</v>
      </c>
      <c r="C830" s="4" t="s">
        <v>55</v>
      </c>
      <c r="D830" s="16" t="n">
        <v>45931</v>
      </c>
      <c r="E830" s="4" t="n">
        <v>2025</v>
      </c>
      <c r="F830" s="4" t="n">
        <v>10</v>
      </c>
      <c r="G830" s="17" t="n">
        <v>19000</v>
      </c>
      <c r="H830" s="18" t="n">
        <f aca="false">G830*$B$1/1000000</f>
        <v>0.04188782981515</v>
      </c>
    </row>
    <row r="831" customFormat="false" ht="15" hidden="false" customHeight="false" outlineLevel="0" collapsed="false">
      <c r="A831" s="4" t="s">
        <v>207</v>
      </c>
      <c r="B831" s="4" t="s">
        <v>208</v>
      </c>
      <c r="C831" s="4" t="s">
        <v>55</v>
      </c>
      <c r="D831" s="16" t="n">
        <v>46023</v>
      </c>
      <c r="E831" s="4" t="n">
        <v>2026</v>
      </c>
      <c r="F831" s="4" t="n">
        <v>1</v>
      </c>
      <c r="G831" s="17" t="n">
        <v>19000</v>
      </c>
      <c r="H831" s="18" t="n">
        <f aca="false">G831*$B$1/1000000</f>
        <v>0.04188782981515</v>
      </c>
    </row>
    <row r="832" customFormat="false" ht="15" hidden="false" customHeight="false" outlineLevel="0" collapsed="false">
      <c r="A832" s="4" t="s">
        <v>207</v>
      </c>
      <c r="B832" s="4" t="s">
        <v>208</v>
      </c>
      <c r="C832" s="4" t="s">
        <v>55</v>
      </c>
      <c r="D832" s="16" t="n">
        <v>46054</v>
      </c>
      <c r="E832" s="4" t="n">
        <v>2026</v>
      </c>
      <c r="F832" s="4" t="n">
        <v>2</v>
      </c>
      <c r="G832" s="17" t="n">
        <v>19000</v>
      </c>
      <c r="H832" s="18" t="n">
        <f aca="false">G832*$B$1/1000000</f>
        <v>0.04188782981515</v>
      </c>
    </row>
    <row r="833" customFormat="false" ht="15" hidden="false" customHeight="false" outlineLevel="0" collapsed="false">
      <c r="A833" s="4" t="s">
        <v>207</v>
      </c>
      <c r="B833" s="4" t="s">
        <v>208</v>
      </c>
      <c r="C833" s="4" t="s">
        <v>55</v>
      </c>
      <c r="D833" s="16" t="n">
        <v>46082</v>
      </c>
      <c r="E833" s="4" t="n">
        <v>2026</v>
      </c>
      <c r="F833" s="4" t="n">
        <v>3</v>
      </c>
      <c r="G833" s="17" t="n">
        <v>1900</v>
      </c>
      <c r="H833" s="18" t="n">
        <f aca="false">G833*$B$1/1000000</f>
        <v>0.004188782981515</v>
      </c>
    </row>
    <row r="834" customFormat="false" ht="15" hidden="false" customHeight="false" outlineLevel="0" collapsed="false">
      <c r="A834" s="4" t="s">
        <v>207</v>
      </c>
      <c r="B834" s="4" t="s">
        <v>208</v>
      </c>
      <c r="C834" s="4" t="s">
        <v>55</v>
      </c>
      <c r="D834" s="16" t="n">
        <v>46113</v>
      </c>
      <c r="E834" s="4" t="n">
        <v>2026</v>
      </c>
      <c r="F834" s="4" t="n">
        <v>4</v>
      </c>
      <c r="G834" s="17" t="n">
        <v>20885</v>
      </c>
      <c r="H834" s="18" t="n">
        <f aca="false">G834*$B$1/1000000</f>
        <v>0.0460435434573373</v>
      </c>
    </row>
    <row r="835" customFormat="false" ht="15" hidden="false" customHeight="false" outlineLevel="0" collapsed="false">
      <c r="A835" s="4" t="s">
        <v>207</v>
      </c>
      <c r="B835" s="4" t="s">
        <v>208</v>
      </c>
      <c r="C835" s="4" t="s">
        <v>55</v>
      </c>
      <c r="D835" s="16" t="n">
        <v>46174</v>
      </c>
      <c r="E835" s="4" t="n">
        <v>2026</v>
      </c>
      <c r="F835" s="4" t="n">
        <v>6</v>
      </c>
      <c r="G835" s="17" t="n">
        <v>55000</v>
      </c>
      <c r="H835" s="18" t="n">
        <f aca="false">G835*$B$1/1000000</f>
        <v>0.12125424420175</v>
      </c>
    </row>
    <row r="836" customFormat="false" ht="15" hidden="false" customHeight="false" outlineLevel="0" collapsed="false">
      <c r="A836" s="4" t="s">
        <v>207</v>
      </c>
      <c r="B836" s="4" t="s">
        <v>208</v>
      </c>
      <c r="C836" s="4" t="s">
        <v>55</v>
      </c>
      <c r="D836" s="16" t="n">
        <v>46204</v>
      </c>
      <c r="E836" s="4" t="n">
        <v>2026</v>
      </c>
      <c r="F836" s="4" t="n">
        <v>7</v>
      </c>
      <c r="G836" s="17" t="n">
        <v>38000</v>
      </c>
      <c r="H836" s="18" t="n">
        <f aca="false">G836*$B$1/1000000</f>
        <v>0.0837756596303</v>
      </c>
    </row>
    <row r="837" customFormat="false" ht="15" hidden="false" customHeight="false" outlineLevel="0" collapsed="false">
      <c r="A837" s="4" t="s">
        <v>207</v>
      </c>
      <c r="B837" s="4" t="s">
        <v>208</v>
      </c>
      <c r="C837" s="4" t="s">
        <v>55</v>
      </c>
      <c r="D837" s="16" t="n">
        <v>46235</v>
      </c>
      <c r="E837" s="4" t="n">
        <v>2026</v>
      </c>
      <c r="F837" s="4" t="n">
        <v>8</v>
      </c>
      <c r="G837" s="17" t="n">
        <v>60730</v>
      </c>
      <c r="H837" s="18" t="n">
        <f aca="false">G837*$B$1/1000000</f>
        <v>0.13388673182495</v>
      </c>
    </row>
    <row r="838" customFormat="false" ht="15" hidden="false" customHeight="false" outlineLevel="0" collapsed="false">
      <c r="A838" s="4" t="s">
        <v>207</v>
      </c>
      <c r="B838" s="4" t="s">
        <v>208</v>
      </c>
      <c r="C838" s="4" t="s">
        <v>109</v>
      </c>
      <c r="D838" s="16" t="n">
        <v>44562</v>
      </c>
      <c r="E838" s="4" t="n">
        <v>2022</v>
      </c>
      <c r="F838" s="4" t="n">
        <v>1</v>
      </c>
      <c r="G838" s="17" t="n">
        <v>3996328</v>
      </c>
      <c r="H838" s="18" t="n">
        <f aca="false">G838*$B$1/1000000</f>
        <v>8.81039511313257</v>
      </c>
    </row>
    <row r="839" customFormat="false" ht="15" hidden="false" customHeight="false" outlineLevel="0" collapsed="false">
      <c r="A839" s="4" t="s">
        <v>207</v>
      </c>
      <c r="B839" s="4" t="s">
        <v>208</v>
      </c>
      <c r="C839" s="4" t="s">
        <v>109</v>
      </c>
      <c r="D839" s="16" t="n">
        <v>44652</v>
      </c>
      <c r="E839" s="4" t="n">
        <v>2022</v>
      </c>
      <c r="F839" s="4" t="n">
        <v>4</v>
      </c>
      <c r="G839" s="17" t="n">
        <v>4088891</v>
      </c>
      <c r="H839" s="18" t="n">
        <f aca="false">G839*$B$1/1000000</f>
        <v>9.01446159687887</v>
      </c>
    </row>
    <row r="840" customFormat="false" ht="15" hidden="false" customHeight="false" outlineLevel="0" collapsed="false">
      <c r="A840" s="4" t="s">
        <v>207</v>
      </c>
      <c r="B840" s="4" t="s">
        <v>208</v>
      </c>
      <c r="C840" s="4" t="s">
        <v>109</v>
      </c>
      <c r="D840" s="16" t="n">
        <v>44713</v>
      </c>
      <c r="E840" s="4" t="n">
        <v>2022</v>
      </c>
      <c r="F840" s="4" t="n">
        <v>6</v>
      </c>
      <c r="G840" s="17" t="n">
        <v>9634458</v>
      </c>
      <c r="H840" s="18" t="n">
        <f aca="false">G840*$B$1/1000000</f>
        <v>21.2403440560637</v>
      </c>
    </row>
    <row r="841" customFormat="false" ht="15" hidden="false" customHeight="false" outlineLevel="0" collapsed="false">
      <c r="A841" s="4" t="s">
        <v>207</v>
      </c>
      <c r="B841" s="4" t="s">
        <v>208</v>
      </c>
      <c r="C841" s="4" t="s">
        <v>109</v>
      </c>
      <c r="D841" s="16" t="n">
        <v>44774</v>
      </c>
      <c r="E841" s="4" t="n">
        <v>2022</v>
      </c>
      <c r="F841" s="4" t="n">
        <v>8</v>
      </c>
      <c r="G841" s="17" t="n">
        <v>25622275</v>
      </c>
      <c r="H841" s="18" t="n">
        <f aca="false">G841*$B$1/1000000</f>
        <v>56.4874470882617</v>
      </c>
    </row>
    <row r="842" customFormat="false" ht="15" hidden="false" customHeight="false" outlineLevel="0" collapsed="false">
      <c r="A842" s="4" t="s">
        <v>207</v>
      </c>
      <c r="B842" s="4" t="s">
        <v>208</v>
      </c>
      <c r="C842" s="4" t="s">
        <v>109</v>
      </c>
      <c r="D842" s="16" t="n">
        <v>44805</v>
      </c>
      <c r="E842" s="4" t="n">
        <v>2022</v>
      </c>
      <c r="F842" s="4" t="n">
        <v>9</v>
      </c>
      <c r="G842" s="17" t="n">
        <v>1145584</v>
      </c>
      <c r="H842" s="18" t="n">
        <f aca="false">G842*$B$1/1000000</f>
        <v>2.52558040162941</v>
      </c>
    </row>
    <row r="843" customFormat="false" ht="15" hidden="false" customHeight="false" outlineLevel="0" collapsed="false">
      <c r="A843" s="4" t="s">
        <v>207</v>
      </c>
      <c r="B843" s="4" t="s">
        <v>208</v>
      </c>
      <c r="C843" s="4" t="s">
        <v>109</v>
      </c>
      <c r="D843" s="16" t="n">
        <v>44835</v>
      </c>
      <c r="E843" s="4" t="n">
        <v>2022</v>
      </c>
      <c r="F843" s="4" t="n">
        <v>10</v>
      </c>
      <c r="G843" s="17" t="n">
        <v>25708897</v>
      </c>
      <c r="H843" s="18" t="n">
        <f aca="false">G843*$B$1/1000000</f>
        <v>56.6784159090116</v>
      </c>
    </row>
    <row r="844" customFormat="false" ht="15" hidden="false" customHeight="false" outlineLevel="0" collapsed="false">
      <c r="A844" s="4" t="s">
        <v>207</v>
      </c>
      <c r="B844" s="4" t="s">
        <v>208</v>
      </c>
      <c r="C844" s="4" t="s">
        <v>109</v>
      </c>
      <c r="D844" s="16" t="n">
        <v>44866</v>
      </c>
      <c r="E844" s="4" t="n">
        <v>2022</v>
      </c>
      <c r="F844" s="4" t="n">
        <v>11</v>
      </c>
      <c r="G844" s="17" t="n">
        <v>10772982</v>
      </c>
      <c r="H844" s="18" t="n">
        <f aca="false">G844*$B$1/1000000</f>
        <v>23.7503598219829</v>
      </c>
    </row>
    <row r="845" customFormat="false" ht="15" hidden="false" customHeight="false" outlineLevel="0" collapsed="false">
      <c r="A845" s="4" t="s">
        <v>207</v>
      </c>
      <c r="B845" s="4" t="s">
        <v>208</v>
      </c>
      <c r="C845" s="4" t="s">
        <v>109</v>
      </c>
      <c r="D845" s="16" t="n">
        <v>44896</v>
      </c>
      <c r="E845" s="4" t="n">
        <v>2022</v>
      </c>
      <c r="F845" s="4" t="n">
        <v>12</v>
      </c>
      <c r="G845" s="17" t="n">
        <v>15773746</v>
      </c>
      <c r="H845" s="18" t="n">
        <f aca="false">G845*$B$1/1000000</f>
        <v>34.775157262916</v>
      </c>
    </row>
    <row r="846" customFormat="false" ht="15" hidden="false" customHeight="false" outlineLevel="0" collapsed="false">
      <c r="A846" s="4" t="s">
        <v>207</v>
      </c>
      <c r="B846" s="4" t="s">
        <v>208</v>
      </c>
      <c r="C846" s="4" t="s">
        <v>109</v>
      </c>
      <c r="D846" s="16" t="n">
        <v>44958</v>
      </c>
      <c r="E846" s="4" t="n">
        <v>2023</v>
      </c>
      <c r="F846" s="4" t="n">
        <v>2</v>
      </c>
      <c r="G846" s="17" t="n">
        <v>7188096</v>
      </c>
      <c r="H846" s="18" t="n">
        <f aca="false">G846*$B$1/1000000</f>
        <v>15.8470390496295</v>
      </c>
    </row>
    <row r="847" customFormat="false" ht="15" hidden="false" customHeight="false" outlineLevel="0" collapsed="false">
      <c r="A847" s="4" t="s">
        <v>207</v>
      </c>
      <c r="B847" s="4" t="s">
        <v>208</v>
      </c>
      <c r="C847" s="4" t="s">
        <v>109</v>
      </c>
      <c r="D847" s="16" t="n">
        <v>44986</v>
      </c>
      <c r="E847" s="4" t="n">
        <v>2023</v>
      </c>
      <c r="F847" s="4" t="n">
        <v>3</v>
      </c>
      <c r="G847" s="17" t="n">
        <v>7628794</v>
      </c>
      <c r="H847" s="18" t="n">
        <f aca="false">G847*$B$1/1000000</f>
        <v>16.8186118298336</v>
      </c>
    </row>
    <row r="848" customFormat="false" ht="15" hidden="false" customHeight="false" outlineLevel="0" collapsed="false">
      <c r="A848" s="4" t="s">
        <v>207</v>
      </c>
      <c r="B848" s="4" t="s">
        <v>208</v>
      </c>
      <c r="C848" s="4" t="s">
        <v>109</v>
      </c>
      <c r="D848" s="16" t="n">
        <v>45017</v>
      </c>
      <c r="E848" s="4" t="n">
        <v>2023</v>
      </c>
      <c r="F848" s="4" t="n">
        <v>4</v>
      </c>
      <c r="G848" s="17" t="n">
        <v>21307152</v>
      </c>
      <c r="H848" s="18" t="n">
        <f aca="false">G848*$B$1/1000000</f>
        <v>46.9742293063965</v>
      </c>
    </row>
    <row r="849" customFormat="false" ht="15" hidden="false" customHeight="false" outlineLevel="0" collapsed="false">
      <c r="A849" s="4" t="s">
        <v>207</v>
      </c>
      <c r="B849" s="4" t="s">
        <v>208</v>
      </c>
      <c r="C849" s="4" t="s">
        <v>109</v>
      </c>
      <c r="D849" s="16" t="n">
        <v>45047</v>
      </c>
      <c r="E849" s="4" t="n">
        <v>2023</v>
      </c>
      <c r="F849" s="4" t="n">
        <v>5</v>
      </c>
      <c r="G849" s="17" t="n">
        <v>2150267</v>
      </c>
      <c r="H849" s="18" t="n">
        <f aca="false">G849*$B$1/1000000</f>
        <v>4.74052727121753</v>
      </c>
    </row>
    <row r="850" customFormat="false" ht="15" hidden="false" customHeight="false" outlineLevel="0" collapsed="false">
      <c r="A850" s="4" t="s">
        <v>207</v>
      </c>
      <c r="B850" s="4" t="s">
        <v>208</v>
      </c>
      <c r="C850" s="4" t="s">
        <v>109</v>
      </c>
      <c r="D850" s="16" t="n">
        <v>45078</v>
      </c>
      <c r="E850" s="4" t="n">
        <v>2023</v>
      </c>
      <c r="F850" s="4" t="n">
        <v>6</v>
      </c>
      <c r="G850" s="17" t="n">
        <v>4604884</v>
      </c>
      <c r="H850" s="18" t="n">
        <f aca="false">G850*$B$1/1000000</f>
        <v>10.1520314373951</v>
      </c>
    </row>
    <row r="851" customFormat="false" ht="15" hidden="false" customHeight="false" outlineLevel="0" collapsed="false">
      <c r="A851" s="4" t="s">
        <v>207</v>
      </c>
      <c r="B851" s="4" t="s">
        <v>208</v>
      </c>
      <c r="C851" s="4" t="s">
        <v>109</v>
      </c>
      <c r="D851" s="16" t="n">
        <v>45170</v>
      </c>
      <c r="E851" s="4" t="n">
        <v>2023</v>
      </c>
      <c r="F851" s="4" t="n">
        <v>9</v>
      </c>
      <c r="G851" s="17" t="n">
        <v>21857926</v>
      </c>
      <c r="H851" s="18" t="n">
        <f aca="false">G851*$B$1/1000000</f>
        <v>48.1884781263233</v>
      </c>
    </row>
    <row r="852" customFormat="false" ht="15" hidden="false" customHeight="false" outlineLevel="0" collapsed="false">
      <c r="A852" s="4" t="s">
        <v>207</v>
      </c>
      <c r="B852" s="4" t="s">
        <v>208</v>
      </c>
      <c r="C852" s="4" t="s">
        <v>109</v>
      </c>
      <c r="D852" s="16" t="n">
        <v>45200</v>
      </c>
      <c r="E852" s="4" t="n">
        <v>2023</v>
      </c>
      <c r="F852" s="4" t="n">
        <v>10</v>
      </c>
      <c r="G852" s="17" t="n">
        <v>15192672</v>
      </c>
      <c r="H852" s="18" t="n">
        <f aca="false">G852*$B$1/1000000</f>
        <v>33.4941083775471</v>
      </c>
    </row>
    <row r="853" customFormat="false" ht="15" hidden="false" customHeight="false" outlineLevel="0" collapsed="false">
      <c r="A853" s="4" t="s">
        <v>207</v>
      </c>
      <c r="B853" s="4" t="s">
        <v>208</v>
      </c>
      <c r="C853" s="4" t="s">
        <v>109</v>
      </c>
      <c r="D853" s="16" t="n">
        <v>45261</v>
      </c>
      <c r="E853" s="4" t="n">
        <v>2023</v>
      </c>
      <c r="F853" s="4" t="n">
        <v>12</v>
      </c>
      <c r="G853" s="17" t="n">
        <v>12705109</v>
      </c>
      <c r="H853" s="18" t="n">
        <f aca="false">G853*$B$1/1000000</f>
        <v>28.00997071447</v>
      </c>
    </row>
    <row r="854" customFormat="false" ht="15" hidden="false" customHeight="false" outlineLevel="0" collapsed="false">
      <c r="A854" s="4" t="s">
        <v>207</v>
      </c>
      <c r="B854" s="4" t="s">
        <v>208</v>
      </c>
      <c r="C854" s="4" t="s">
        <v>109</v>
      </c>
      <c r="D854" s="16" t="n">
        <v>45323</v>
      </c>
      <c r="E854" s="4" t="n">
        <v>2024</v>
      </c>
      <c r="F854" s="4" t="n">
        <v>2</v>
      </c>
      <c r="G854" s="17" t="n">
        <v>2175590</v>
      </c>
      <c r="H854" s="18" t="n">
        <f aca="false">G854*$B$1/1000000</f>
        <v>4.79635492987064</v>
      </c>
    </row>
    <row r="855" customFormat="false" ht="15" hidden="false" customHeight="false" outlineLevel="0" collapsed="false">
      <c r="A855" s="4" t="s">
        <v>207</v>
      </c>
      <c r="B855" s="4" t="s">
        <v>208</v>
      </c>
      <c r="C855" s="4" t="s">
        <v>109</v>
      </c>
      <c r="D855" s="16" t="n">
        <v>45352</v>
      </c>
      <c r="E855" s="4" t="n">
        <v>2024</v>
      </c>
      <c r="F855" s="4" t="n">
        <v>3</v>
      </c>
      <c r="G855" s="17" t="n">
        <v>9831780</v>
      </c>
      <c r="H855" s="18" t="n">
        <f aca="false">G855*$B$1/1000000</f>
        <v>21.6753646010524</v>
      </c>
    </row>
    <row r="856" customFormat="false" ht="15" hidden="false" customHeight="false" outlineLevel="0" collapsed="false">
      <c r="A856" s="4" t="s">
        <v>207</v>
      </c>
      <c r="B856" s="4" t="s">
        <v>208</v>
      </c>
      <c r="C856" s="4" t="s">
        <v>109</v>
      </c>
      <c r="D856" s="16" t="n">
        <v>45383</v>
      </c>
      <c r="E856" s="4" t="n">
        <v>2024</v>
      </c>
      <c r="F856" s="4" t="n">
        <v>4</v>
      </c>
      <c r="G856" s="17" t="n">
        <v>10500</v>
      </c>
      <c r="H856" s="18" t="n">
        <f aca="false">G856*$B$1/1000000</f>
        <v>0.023148537529425</v>
      </c>
    </row>
    <row r="857" customFormat="false" ht="15" hidden="false" customHeight="false" outlineLevel="0" collapsed="false">
      <c r="A857" s="4" t="s">
        <v>207</v>
      </c>
      <c r="B857" s="4" t="s">
        <v>208</v>
      </c>
      <c r="C857" s="4" t="s">
        <v>109</v>
      </c>
      <c r="D857" s="16" t="n">
        <v>45444</v>
      </c>
      <c r="E857" s="4" t="n">
        <v>2024</v>
      </c>
      <c r="F857" s="4" t="n">
        <v>6</v>
      </c>
      <c r="G857" s="17" t="n">
        <v>10022529</v>
      </c>
      <c r="H857" s="18" t="n">
        <f aca="false">G857*$B$1/1000000</f>
        <v>22.0958941615477</v>
      </c>
    </row>
    <row r="858" customFormat="false" ht="15" hidden="false" customHeight="false" outlineLevel="0" collapsed="false">
      <c r="A858" s="4" t="s">
        <v>207</v>
      </c>
      <c r="B858" s="4" t="s">
        <v>208</v>
      </c>
      <c r="C858" s="4" t="s">
        <v>109</v>
      </c>
      <c r="D858" s="16" t="n">
        <v>45474</v>
      </c>
      <c r="E858" s="4" t="n">
        <v>2024</v>
      </c>
      <c r="F858" s="4" t="n">
        <v>7</v>
      </c>
      <c r="G858" s="17" t="n">
        <v>3014985</v>
      </c>
      <c r="H858" s="18" t="n">
        <f aca="false">G858*$B$1/1000000</f>
        <v>6.64690413553842</v>
      </c>
    </row>
    <row r="859" customFormat="false" ht="15" hidden="false" customHeight="false" outlineLevel="0" collapsed="false">
      <c r="A859" s="4" t="s">
        <v>207</v>
      </c>
      <c r="B859" s="4" t="s">
        <v>208</v>
      </c>
      <c r="C859" s="4" t="s">
        <v>109</v>
      </c>
      <c r="D859" s="16" t="n">
        <v>45536</v>
      </c>
      <c r="E859" s="4" t="n">
        <v>2024</v>
      </c>
      <c r="F859" s="4" t="n">
        <v>9</v>
      </c>
      <c r="G859" s="17" t="n">
        <v>11466259</v>
      </c>
      <c r="H859" s="18" t="n">
        <f aca="false">G859*$B$1/1000000</f>
        <v>25.2787739793912</v>
      </c>
    </row>
    <row r="860" customFormat="false" ht="15" hidden="false" customHeight="false" outlineLevel="0" collapsed="false">
      <c r="A860" s="4" t="s">
        <v>207</v>
      </c>
      <c r="B860" s="4" t="s">
        <v>208</v>
      </c>
      <c r="C860" s="4" t="s">
        <v>109</v>
      </c>
      <c r="D860" s="16" t="n">
        <v>45566</v>
      </c>
      <c r="E860" s="4" t="n">
        <v>2024</v>
      </c>
      <c r="F860" s="4" t="n">
        <v>10</v>
      </c>
      <c r="G860" s="17" t="n">
        <v>2001916</v>
      </c>
      <c r="H860" s="18" t="n">
        <f aca="false">G860*$B$1/1000000</f>
        <v>4.41346930064347</v>
      </c>
    </row>
    <row r="861" customFormat="false" ht="15" hidden="false" customHeight="false" outlineLevel="0" collapsed="false">
      <c r="A861" s="4" t="s">
        <v>207</v>
      </c>
      <c r="B861" s="4" t="s">
        <v>208</v>
      </c>
      <c r="C861" s="4" t="s">
        <v>109</v>
      </c>
      <c r="D861" s="16" t="n">
        <v>45597</v>
      </c>
      <c r="E861" s="4" t="n">
        <v>2024</v>
      </c>
      <c r="F861" s="4" t="n">
        <v>11</v>
      </c>
      <c r="G861" s="17" t="n">
        <v>23228754</v>
      </c>
      <c r="H861" s="18" t="n">
        <f aca="false">G861*$B$1/1000000</f>
        <v>51.2106365457887</v>
      </c>
    </row>
    <row r="862" customFormat="false" ht="15" hidden="false" customHeight="false" outlineLevel="0" collapsed="false">
      <c r="A862" s="4" t="s">
        <v>207</v>
      </c>
      <c r="B862" s="4" t="s">
        <v>208</v>
      </c>
      <c r="C862" s="4" t="s">
        <v>109</v>
      </c>
      <c r="D862" s="16" t="n">
        <v>45627</v>
      </c>
      <c r="E862" s="4" t="n">
        <v>2024</v>
      </c>
      <c r="F862" s="4" t="n">
        <v>12</v>
      </c>
      <c r="G862" s="17" t="n">
        <v>17516629</v>
      </c>
      <c r="H862" s="18" t="n">
        <f aca="false">G862*$B$1/1000000</f>
        <v>38.6175565519537</v>
      </c>
    </row>
    <row r="863" customFormat="false" ht="15" hidden="false" customHeight="false" outlineLevel="0" collapsed="false">
      <c r="A863" s="4" t="s">
        <v>207</v>
      </c>
      <c r="B863" s="4" t="s">
        <v>208</v>
      </c>
      <c r="C863" s="4" t="s">
        <v>109</v>
      </c>
      <c r="D863" s="16" t="n">
        <v>45658</v>
      </c>
      <c r="E863" s="4" t="n">
        <v>2025</v>
      </c>
      <c r="F863" s="4" t="n">
        <v>1</v>
      </c>
      <c r="G863" s="17" t="n">
        <v>55215966</v>
      </c>
      <c r="H863" s="18" t="n">
        <f aca="false">G863*$B$1/1000000</f>
        <v>121.7303677309</v>
      </c>
    </row>
    <row r="864" customFormat="false" ht="15" hidden="false" customHeight="false" outlineLevel="0" collapsed="false">
      <c r="A864" s="4" t="s">
        <v>207</v>
      </c>
      <c r="B864" s="4" t="s">
        <v>208</v>
      </c>
      <c r="C864" s="4" t="s">
        <v>109</v>
      </c>
      <c r="D864" s="16" t="n">
        <v>45689</v>
      </c>
      <c r="E864" s="4" t="n">
        <v>2025</v>
      </c>
      <c r="F864" s="4" t="n">
        <v>2</v>
      </c>
      <c r="G864" s="17" t="n">
        <v>220956</v>
      </c>
      <c r="H864" s="18" t="n">
        <f aca="false">G864*$B$1/1000000</f>
        <v>0.487124596033489</v>
      </c>
    </row>
    <row r="865" customFormat="false" ht="15" hidden="false" customHeight="false" outlineLevel="0" collapsed="false">
      <c r="A865" s="4" t="s">
        <v>207</v>
      </c>
      <c r="B865" s="4" t="s">
        <v>208</v>
      </c>
      <c r="C865" s="4" t="s">
        <v>109</v>
      </c>
      <c r="D865" s="16" t="n">
        <v>45717</v>
      </c>
      <c r="E865" s="4" t="n">
        <v>2025</v>
      </c>
      <c r="F865" s="4" t="n">
        <v>3</v>
      </c>
      <c r="G865" s="17" t="n">
        <v>28221787</v>
      </c>
      <c r="H865" s="18" t="n">
        <f aca="false">G865*$B$1/1000000</f>
        <v>62.2183900492323</v>
      </c>
    </row>
    <row r="866" customFormat="false" ht="15" hidden="false" customHeight="false" outlineLevel="0" collapsed="false">
      <c r="A866" s="4" t="s">
        <v>207</v>
      </c>
      <c r="B866" s="4" t="s">
        <v>208</v>
      </c>
      <c r="C866" s="4" t="s">
        <v>109</v>
      </c>
      <c r="D866" s="16" t="n">
        <v>45748</v>
      </c>
      <c r="E866" s="4" t="n">
        <v>2025</v>
      </c>
      <c r="F866" s="4" t="n">
        <v>4</v>
      </c>
      <c r="G866" s="17" t="n">
        <v>47466886</v>
      </c>
      <c r="H866" s="18" t="n">
        <f aca="false">G866*$B$1/1000000</f>
        <v>104.646570664375</v>
      </c>
    </row>
    <row r="867" customFormat="false" ht="15" hidden="false" customHeight="false" outlineLevel="0" collapsed="false">
      <c r="A867" s="4" t="s">
        <v>207</v>
      </c>
      <c r="B867" s="4" t="s">
        <v>208</v>
      </c>
      <c r="C867" s="4" t="s">
        <v>109</v>
      </c>
      <c r="D867" s="16" t="n">
        <v>45778</v>
      </c>
      <c r="E867" s="4" t="n">
        <v>2025</v>
      </c>
      <c r="F867" s="4" t="n">
        <v>5</v>
      </c>
      <c r="G867" s="17" t="n">
        <v>24619116</v>
      </c>
      <c r="H867" s="18" t="n">
        <f aca="false">G867*$B$1/1000000</f>
        <v>54.2758600635493</v>
      </c>
    </row>
    <row r="868" customFormat="false" ht="15" hidden="false" customHeight="false" outlineLevel="0" collapsed="false">
      <c r="A868" s="4" t="s">
        <v>207</v>
      </c>
      <c r="B868" s="4" t="s">
        <v>208</v>
      </c>
      <c r="C868" s="4" t="s">
        <v>109</v>
      </c>
      <c r="D868" s="16" t="n">
        <v>45839</v>
      </c>
      <c r="E868" s="4" t="n">
        <v>2025</v>
      </c>
      <c r="F868" s="4" t="n">
        <v>7</v>
      </c>
      <c r="G868" s="17" t="n">
        <v>37776004</v>
      </c>
      <c r="H868" s="18" t="n">
        <f aca="false">G868*$B$1/1000000</f>
        <v>83.2818329814961</v>
      </c>
    </row>
    <row r="869" customFormat="false" ht="15" hidden="false" customHeight="false" outlineLevel="0" collapsed="false">
      <c r="A869" s="4" t="s">
        <v>207</v>
      </c>
      <c r="B869" s="4" t="s">
        <v>208</v>
      </c>
      <c r="C869" s="4" t="s">
        <v>109</v>
      </c>
      <c r="D869" s="16" t="n">
        <v>45870</v>
      </c>
      <c r="E869" s="4" t="n">
        <v>2025</v>
      </c>
      <c r="F869" s="4" t="n">
        <v>8</v>
      </c>
      <c r="G869" s="17" t="n">
        <v>15609719</v>
      </c>
      <c r="H869" s="18" t="n">
        <f aca="false">G869*$B$1/1000000</f>
        <v>34.4135396281218</v>
      </c>
    </row>
    <row r="870" customFormat="false" ht="15" hidden="false" customHeight="false" outlineLevel="0" collapsed="false">
      <c r="A870" s="4" t="s">
        <v>207</v>
      </c>
      <c r="B870" s="4" t="s">
        <v>208</v>
      </c>
      <c r="C870" s="4" t="s">
        <v>109</v>
      </c>
      <c r="D870" s="16" t="n">
        <v>45901</v>
      </c>
      <c r="E870" s="4" t="n">
        <v>2025</v>
      </c>
      <c r="F870" s="4" t="n">
        <v>9</v>
      </c>
      <c r="G870" s="17" t="n">
        <v>58124894</v>
      </c>
      <c r="H870" s="18" t="n">
        <f aca="false">G870*$B$1/1000000</f>
        <v>128.143456205033</v>
      </c>
    </row>
    <row r="871" customFormat="false" ht="15" hidden="false" customHeight="false" outlineLevel="0" collapsed="false">
      <c r="A871" s="4" t="s">
        <v>207</v>
      </c>
      <c r="B871" s="4" t="s">
        <v>208</v>
      </c>
      <c r="C871" s="4" t="s">
        <v>109</v>
      </c>
      <c r="D871" s="16" t="n">
        <v>45931</v>
      </c>
      <c r="E871" s="4" t="n">
        <v>2025</v>
      </c>
      <c r="F871" s="4" t="n">
        <v>10</v>
      </c>
      <c r="G871" s="17" t="n">
        <v>44498965</v>
      </c>
      <c r="H871" s="18" t="n">
        <f aca="false">G871*$B$1/1000000</f>
        <v>98.1034248879114</v>
      </c>
    </row>
    <row r="872" customFormat="false" ht="15" hidden="false" customHeight="false" outlineLevel="0" collapsed="false">
      <c r="A872" s="4" t="s">
        <v>207</v>
      </c>
      <c r="B872" s="4" t="s">
        <v>208</v>
      </c>
      <c r="C872" s="4" t="s">
        <v>109</v>
      </c>
      <c r="D872" s="16" t="n">
        <v>45962</v>
      </c>
      <c r="E872" s="4" t="n">
        <v>2025</v>
      </c>
      <c r="F872" s="4" t="n">
        <v>11</v>
      </c>
      <c r="G872" s="17" t="n">
        <v>4348961</v>
      </c>
      <c r="H872" s="18" t="n">
        <f aca="false">G872*$B$1/1000000</f>
        <v>9.5878178021434</v>
      </c>
    </row>
    <row r="873" customFormat="false" ht="15" hidden="false" customHeight="false" outlineLevel="0" collapsed="false">
      <c r="A873" s="4" t="s">
        <v>207</v>
      </c>
      <c r="B873" s="4" t="s">
        <v>208</v>
      </c>
      <c r="C873" s="4" t="s">
        <v>109</v>
      </c>
      <c r="D873" s="16" t="n">
        <v>45992</v>
      </c>
      <c r="E873" s="4" t="n">
        <v>2025</v>
      </c>
      <c r="F873" s="4" t="n">
        <v>12</v>
      </c>
      <c r="G873" s="17" t="n">
        <v>14484998</v>
      </c>
      <c r="H873" s="18" t="n">
        <f aca="false">G873*$B$1/1000000</f>
        <v>31.933954268252</v>
      </c>
    </row>
    <row r="874" customFormat="false" ht="15" hidden="false" customHeight="false" outlineLevel="0" collapsed="false">
      <c r="A874" s="4" t="s">
        <v>207</v>
      </c>
      <c r="B874" s="4" t="s">
        <v>208</v>
      </c>
      <c r="C874" s="4" t="s">
        <v>109</v>
      </c>
      <c r="D874" s="16" t="n">
        <v>46082</v>
      </c>
      <c r="E874" s="4" t="n">
        <v>2026</v>
      </c>
      <c r="F874" s="4" t="n">
        <v>3</v>
      </c>
      <c r="G874" s="17" t="n">
        <v>14735517</v>
      </c>
      <c r="H874" s="18" t="n">
        <f aca="false">G874*$B$1/1000000</f>
        <v>32.4862541228552</v>
      </c>
    </row>
    <row r="875" customFormat="false" ht="15" hidden="false" customHeight="false" outlineLevel="0" collapsed="false">
      <c r="A875" s="4" t="s">
        <v>207</v>
      </c>
      <c r="B875" s="4" t="s">
        <v>208</v>
      </c>
      <c r="C875" s="4" t="s">
        <v>109</v>
      </c>
      <c r="D875" s="16" t="n">
        <v>46143</v>
      </c>
      <c r="E875" s="4" t="n">
        <v>2026</v>
      </c>
      <c r="F875" s="4" t="n">
        <v>5</v>
      </c>
      <c r="G875" s="17" t="n">
        <v>12533998</v>
      </c>
      <c r="H875" s="18" t="n">
        <f aca="false">G875*$B$1/1000000</f>
        <v>27.6327355330227</v>
      </c>
    </row>
    <row r="876" customFormat="false" ht="15" hidden="false" customHeight="false" outlineLevel="0" collapsed="false">
      <c r="A876" s="4" t="s">
        <v>207</v>
      </c>
      <c r="B876" s="4" t="s">
        <v>208</v>
      </c>
      <c r="C876" s="4" t="s">
        <v>109</v>
      </c>
      <c r="D876" s="16" t="n">
        <v>46204</v>
      </c>
      <c r="E876" s="4" t="n">
        <v>2026</v>
      </c>
      <c r="F876" s="4" t="n">
        <v>7</v>
      </c>
      <c r="G876" s="17" t="n">
        <v>52481906</v>
      </c>
      <c r="H876" s="18" t="n">
        <f aca="false">G876*$B$1/1000000</f>
        <v>115.702797205405</v>
      </c>
    </row>
    <row r="877" customFormat="false" ht="15" hidden="false" customHeight="false" outlineLevel="0" collapsed="false">
      <c r="A877" s="4" t="s">
        <v>207</v>
      </c>
      <c r="B877" s="4" t="s">
        <v>208</v>
      </c>
      <c r="C877" s="4" t="s">
        <v>135</v>
      </c>
      <c r="D877" s="16" t="n">
        <v>45261</v>
      </c>
      <c r="E877" s="4" t="n">
        <v>2023</v>
      </c>
      <c r="F877" s="4" t="n">
        <v>12</v>
      </c>
      <c r="G877" s="17" t="n">
        <v>99133</v>
      </c>
      <c r="H877" s="18" t="n">
        <f aca="false">G877*$B$1/1000000</f>
        <v>0.218550854371856</v>
      </c>
    </row>
    <row r="878" customFormat="false" ht="15" hidden="false" customHeight="false" outlineLevel="0" collapsed="false">
      <c r="A878" s="4" t="s">
        <v>207</v>
      </c>
      <c r="B878" s="4" t="s">
        <v>208</v>
      </c>
      <c r="C878" s="4" t="s">
        <v>135</v>
      </c>
      <c r="D878" s="16" t="n">
        <v>45292</v>
      </c>
      <c r="E878" s="4" t="n">
        <v>2024</v>
      </c>
      <c r="F878" s="4" t="n">
        <v>1</v>
      </c>
      <c r="G878" s="17" t="n">
        <v>292136</v>
      </c>
      <c r="H878" s="18" t="n">
        <f aca="false">G878*$B$1/1000000</f>
        <v>0.644049634256772</v>
      </c>
    </row>
    <row r="879" customFormat="false" ht="15" hidden="false" customHeight="false" outlineLevel="0" collapsed="false">
      <c r="A879" s="4" t="s">
        <v>207</v>
      </c>
      <c r="B879" s="4" t="s">
        <v>208</v>
      </c>
      <c r="C879" s="4" t="s">
        <v>135</v>
      </c>
      <c r="D879" s="16" t="n">
        <v>45352</v>
      </c>
      <c r="E879" s="4" t="n">
        <v>2024</v>
      </c>
      <c r="F879" s="4" t="n">
        <v>3</v>
      </c>
      <c r="G879" s="17" t="n">
        <v>143111</v>
      </c>
      <c r="H879" s="18" t="n">
        <f aca="false">G879*$B$1/1000000</f>
        <v>0.315505748035575</v>
      </c>
    </row>
    <row r="880" customFormat="false" ht="15" hidden="false" customHeight="false" outlineLevel="0" collapsed="false">
      <c r="A880" s="4" t="s">
        <v>207</v>
      </c>
      <c r="B880" s="4" t="s">
        <v>208</v>
      </c>
      <c r="C880" s="4" t="s">
        <v>135</v>
      </c>
      <c r="D880" s="16" t="n">
        <v>45383</v>
      </c>
      <c r="E880" s="4" t="n">
        <v>2024</v>
      </c>
      <c r="F880" s="4" t="n">
        <v>4</v>
      </c>
      <c r="G880" s="17" t="n">
        <v>457941</v>
      </c>
      <c r="H880" s="18" t="n">
        <f aca="false">G880*$B$1/1000000</f>
        <v>1.00958708807261</v>
      </c>
    </row>
    <row r="881" customFormat="false" ht="15" hidden="false" customHeight="false" outlineLevel="0" collapsed="false">
      <c r="A881" s="4" t="s">
        <v>207</v>
      </c>
      <c r="B881" s="4" t="s">
        <v>208</v>
      </c>
      <c r="C881" s="4" t="s">
        <v>135</v>
      </c>
      <c r="D881" s="16" t="n">
        <v>45474</v>
      </c>
      <c r="E881" s="4" t="n">
        <v>2024</v>
      </c>
      <c r="F881" s="4" t="n">
        <v>7</v>
      </c>
      <c r="G881" s="17" t="n">
        <v>153531</v>
      </c>
      <c r="H881" s="18" t="n">
        <f aca="false">G881*$B$1/1000000</f>
        <v>0.338477915755252</v>
      </c>
    </row>
    <row r="882" customFormat="false" ht="15" hidden="false" customHeight="false" outlineLevel="0" collapsed="false">
      <c r="A882" s="4" t="s">
        <v>207</v>
      </c>
      <c r="B882" s="4" t="s">
        <v>208</v>
      </c>
      <c r="C882" s="4" t="s">
        <v>135</v>
      </c>
      <c r="D882" s="16" t="n">
        <v>45505</v>
      </c>
      <c r="E882" s="4" t="n">
        <v>2024</v>
      </c>
      <c r="F882" s="4" t="n">
        <v>8</v>
      </c>
      <c r="G882" s="17" t="n">
        <v>694440</v>
      </c>
      <c r="H882" s="18" t="n">
        <f aca="false">G882*$B$1/1000000</f>
        <v>1.53097813351751</v>
      </c>
    </row>
    <row r="883" customFormat="false" ht="15" hidden="false" customHeight="false" outlineLevel="0" collapsed="false">
      <c r="A883" s="4" t="s">
        <v>207</v>
      </c>
      <c r="B883" s="4" t="s">
        <v>208</v>
      </c>
      <c r="C883" s="4" t="s">
        <v>135</v>
      </c>
      <c r="D883" s="16" t="n">
        <v>45536</v>
      </c>
      <c r="E883" s="4" t="n">
        <v>2024</v>
      </c>
      <c r="F883" s="4" t="n">
        <v>9</v>
      </c>
      <c r="G883" s="17" t="n">
        <v>787226</v>
      </c>
      <c r="H883" s="18" t="n">
        <f aca="false">G883*$B$1/1000000</f>
        <v>1.73553624810849</v>
      </c>
    </row>
    <row r="884" customFormat="false" ht="15" hidden="false" customHeight="false" outlineLevel="0" collapsed="false">
      <c r="A884" s="4" t="s">
        <v>207</v>
      </c>
      <c r="B884" s="4" t="s">
        <v>208</v>
      </c>
      <c r="C884" s="4" t="s">
        <v>135</v>
      </c>
      <c r="D884" s="16" t="n">
        <v>45566</v>
      </c>
      <c r="E884" s="4" t="n">
        <v>2024</v>
      </c>
      <c r="F884" s="4" t="n">
        <v>10</v>
      </c>
      <c r="G884" s="17" t="n">
        <v>570127</v>
      </c>
      <c r="H884" s="18" t="n">
        <f aca="false">G884*$B$1/1000000</f>
        <v>1.25691488152747</v>
      </c>
    </row>
    <row r="885" customFormat="false" ht="15" hidden="false" customHeight="false" outlineLevel="0" collapsed="false">
      <c r="A885" s="4" t="s">
        <v>207</v>
      </c>
      <c r="B885" s="4" t="s">
        <v>208</v>
      </c>
      <c r="C885" s="4" t="s">
        <v>135</v>
      </c>
      <c r="D885" s="16" t="n">
        <v>45597</v>
      </c>
      <c r="E885" s="4" t="n">
        <v>2024</v>
      </c>
      <c r="F885" s="4" t="n">
        <v>11</v>
      </c>
      <c r="G885" s="17" t="n">
        <v>1</v>
      </c>
      <c r="H885" s="18" t="n">
        <f aca="false">G885*$B$1/1000000</f>
        <v>2.20462262185E-006</v>
      </c>
    </row>
    <row r="886" customFormat="false" ht="15" hidden="false" customHeight="false" outlineLevel="0" collapsed="false">
      <c r="A886" s="4" t="s">
        <v>207</v>
      </c>
      <c r="B886" s="4" t="s">
        <v>208</v>
      </c>
      <c r="C886" s="4" t="s">
        <v>135</v>
      </c>
      <c r="D886" s="16" t="n">
        <v>45627</v>
      </c>
      <c r="E886" s="4" t="n">
        <v>2024</v>
      </c>
      <c r="F886" s="4" t="n">
        <v>12</v>
      </c>
      <c r="G886" s="17" t="n">
        <v>220799</v>
      </c>
      <c r="H886" s="18" t="n">
        <f aca="false">G886*$B$1/1000000</f>
        <v>0.486778470281858</v>
      </c>
    </row>
    <row r="887" customFormat="false" ht="15" hidden="false" customHeight="false" outlineLevel="0" collapsed="false">
      <c r="A887" s="4" t="s">
        <v>207</v>
      </c>
      <c r="B887" s="4" t="s">
        <v>208</v>
      </c>
      <c r="C887" s="4" t="s">
        <v>135</v>
      </c>
      <c r="D887" s="16" t="n">
        <v>46054</v>
      </c>
      <c r="E887" s="4" t="n">
        <v>2026</v>
      </c>
      <c r="F887" s="4" t="n">
        <v>2</v>
      </c>
      <c r="G887" s="17" t="n">
        <v>1</v>
      </c>
      <c r="H887" s="18" t="n">
        <f aca="false">G887*$B$1/1000000</f>
        <v>2.20462262185E-006</v>
      </c>
    </row>
    <row r="888" customFormat="false" ht="15" hidden="false" customHeight="false" outlineLevel="0" collapsed="false">
      <c r="A888" s="4" t="s">
        <v>207</v>
      </c>
      <c r="B888" s="4" t="s">
        <v>208</v>
      </c>
      <c r="C888" s="4" t="s">
        <v>135</v>
      </c>
      <c r="D888" s="16" t="n">
        <v>46174</v>
      </c>
      <c r="E888" s="4" t="n">
        <v>2026</v>
      </c>
      <c r="F888" s="4" t="n">
        <v>6</v>
      </c>
      <c r="G888" s="17" t="n">
        <v>310900</v>
      </c>
      <c r="H888" s="18" t="n">
        <f aca="false">G888*$B$1/1000000</f>
        <v>0.685417173133165</v>
      </c>
    </row>
    <row r="889" customFormat="false" ht="15" hidden="false" customHeight="false" outlineLevel="0" collapsed="false">
      <c r="A889" s="4" t="s">
        <v>207</v>
      </c>
      <c r="B889" s="4" t="s">
        <v>208</v>
      </c>
      <c r="C889" s="4" t="s">
        <v>135</v>
      </c>
      <c r="D889" s="16" t="n">
        <v>46235</v>
      </c>
      <c r="E889" s="4" t="n">
        <v>2026</v>
      </c>
      <c r="F889" s="4" t="n">
        <v>8</v>
      </c>
      <c r="G889" s="17" t="n">
        <v>318360</v>
      </c>
      <c r="H889" s="18" t="n">
        <f aca="false">G889*$B$1/1000000</f>
        <v>0.701863657892166</v>
      </c>
    </row>
    <row r="890" customFormat="false" ht="15" hidden="false" customHeight="false" outlineLevel="0" collapsed="false">
      <c r="A890" s="4" t="s">
        <v>207</v>
      </c>
      <c r="B890" s="4" t="s">
        <v>208</v>
      </c>
      <c r="C890" s="4" t="s">
        <v>133</v>
      </c>
      <c r="D890" s="16" t="n">
        <v>45261</v>
      </c>
      <c r="E890" s="4" t="n">
        <v>2023</v>
      </c>
      <c r="F890" s="4" t="n">
        <v>12</v>
      </c>
      <c r="G890" s="17" t="n">
        <v>111113</v>
      </c>
      <c r="H890" s="18" t="n">
        <f aca="false">G890*$B$1/1000000</f>
        <v>0.244962233381619</v>
      </c>
    </row>
    <row r="891" customFormat="false" ht="15" hidden="false" customHeight="false" outlineLevel="0" collapsed="false">
      <c r="A891" s="4" t="s">
        <v>207</v>
      </c>
      <c r="B891" s="4" t="s">
        <v>208</v>
      </c>
      <c r="C891" s="4" t="s">
        <v>133</v>
      </c>
      <c r="D891" s="16" t="n">
        <v>45292</v>
      </c>
      <c r="E891" s="4" t="n">
        <v>2024</v>
      </c>
      <c r="F891" s="4" t="n">
        <v>1</v>
      </c>
      <c r="G891" s="17" t="n">
        <v>183728</v>
      </c>
      <c r="H891" s="18" t="n">
        <f aca="false">G891*$B$1/1000000</f>
        <v>0.405050905067257</v>
      </c>
    </row>
    <row r="892" customFormat="false" ht="15" hidden="false" customHeight="false" outlineLevel="0" collapsed="false">
      <c r="A892" s="4" t="s">
        <v>207</v>
      </c>
      <c r="B892" s="4" t="s">
        <v>208</v>
      </c>
      <c r="C892" s="4" t="s">
        <v>133</v>
      </c>
      <c r="D892" s="16" t="n">
        <v>45352</v>
      </c>
      <c r="E892" s="4" t="n">
        <v>2024</v>
      </c>
      <c r="F892" s="4" t="n">
        <v>3</v>
      </c>
      <c r="G892" s="17" t="n">
        <v>400725</v>
      </c>
      <c r="H892" s="18" t="n">
        <f aca="false">G892*$B$1/1000000</f>
        <v>0.883447400140841</v>
      </c>
    </row>
    <row r="893" customFormat="false" ht="15" hidden="false" customHeight="false" outlineLevel="0" collapsed="false">
      <c r="A893" s="4" t="s">
        <v>207</v>
      </c>
      <c r="B893" s="4" t="s">
        <v>208</v>
      </c>
      <c r="C893" s="4" t="s">
        <v>73</v>
      </c>
      <c r="D893" s="16" t="n">
        <v>43922</v>
      </c>
      <c r="E893" s="4" t="n">
        <v>2020</v>
      </c>
      <c r="F893" s="4" t="n">
        <v>4</v>
      </c>
      <c r="G893" s="17" t="n">
        <v>1050</v>
      </c>
      <c r="H893" s="18" t="n">
        <f aca="false">G893*$B$1/1000000</f>
        <v>0.0023148537529425</v>
      </c>
    </row>
    <row r="894" customFormat="false" ht="15" hidden="false" customHeight="false" outlineLevel="0" collapsed="false">
      <c r="A894" s="4" t="s">
        <v>207</v>
      </c>
      <c r="B894" s="4" t="s">
        <v>208</v>
      </c>
      <c r="C894" s="4" t="s">
        <v>73</v>
      </c>
      <c r="D894" s="16" t="n">
        <v>44136</v>
      </c>
      <c r="E894" s="4" t="n">
        <v>2020</v>
      </c>
      <c r="F894" s="4" t="n">
        <v>11</v>
      </c>
      <c r="G894" s="17" t="n">
        <v>649</v>
      </c>
      <c r="H894" s="18" t="n">
        <f aca="false">G894*$B$1/1000000</f>
        <v>0.00143080008158065</v>
      </c>
    </row>
    <row r="895" customFormat="false" ht="15" hidden="false" customHeight="false" outlineLevel="0" collapsed="false">
      <c r="A895" s="4" t="s">
        <v>207</v>
      </c>
      <c r="B895" s="4" t="s">
        <v>208</v>
      </c>
      <c r="C895" s="4" t="s">
        <v>73</v>
      </c>
      <c r="D895" s="16" t="n">
        <v>44228</v>
      </c>
      <c r="E895" s="4" t="n">
        <v>2021</v>
      </c>
      <c r="F895" s="4" t="n">
        <v>2</v>
      </c>
      <c r="G895" s="17" t="n">
        <v>5400</v>
      </c>
      <c r="H895" s="18" t="n">
        <f aca="false">G895*$B$1/1000000</f>
        <v>0.01190496215799</v>
      </c>
    </row>
    <row r="896" customFormat="false" ht="15" hidden="false" customHeight="false" outlineLevel="0" collapsed="false">
      <c r="A896" s="4" t="s">
        <v>207</v>
      </c>
      <c r="B896" s="4" t="s">
        <v>208</v>
      </c>
      <c r="C896" s="4" t="s">
        <v>73</v>
      </c>
      <c r="D896" s="16" t="n">
        <v>44317</v>
      </c>
      <c r="E896" s="4" t="n">
        <v>2021</v>
      </c>
      <c r="F896" s="4" t="n">
        <v>5</v>
      </c>
      <c r="G896" s="17" t="n">
        <v>190</v>
      </c>
      <c r="H896" s="18" t="n">
        <f aca="false">G896*$B$1/1000000</f>
        <v>0.0004188782981515</v>
      </c>
    </row>
    <row r="897" customFormat="false" ht="15" hidden="false" customHeight="false" outlineLevel="0" collapsed="false">
      <c r="A897" s="4" t="s">
        <v>207</v>
      </c>
      <c r="B897" s="4" t="s">
        <v>208</v>
      </c>
      <c r="C897" s="4" t="s">
        <v>73</v>
      </c>
      <c r="D897" s="16" t="n">
        <v>44409</v>
      </c>
      <c r="E897" s="4" t="n">
        <v>2021</v>
      </c>
      <c r="F897" s="4" t="n">
        <v>8</v>
      </c>
      <c r="G897" s="17" t="n">
        <v>3220</v>
      </c>
      <c r="H897" s="18" t="n">
        <f aca="false">G897*$B$1/1000000</f>
        <v>0.007098884842357</v>
      </c>
    </row>
    <row r="898" customFormat="false" ht="15" hidden="false" customHeight="false" outlineLevel="0" collapsed="false">
      <c r="A898" s="4" t="s">
        <v>207</v>
      </c>
      <c r="B898" s="4" t="s">
        <v>208</v>
      </c>
      <c r="C898" s="4" t="s">
        <v>73</v>
      </c>
      <c r="D898" s="16" t="n">
        <v>44531</v>
      </c>
      <c r="E898" s="4" t="n">
        <v>2021</v>
      </c>
      <c r="F898" s="4" t="n">
        <v>12</v>
      </c>
      <c r="G898" s="17" t="n">
        <v>940</v>
      </c>
      <c r="H898" s="18" t="n">
        <f aca="false">G898*$B$1/1000000</f>
        <v>0.002072345264539</v>
      </c>
    </row>
    <row r="899" customFormat="false" ht="15" hidden="false" customHeight="false" outlineLevel="0" collapsed="false">
      <c r="A899" s="4" t="s">
        <v>207</v>
      </c>
      <c r="B899" s="4" t="s">
        <v>208</v>
      </c>
      <c r="C899" s="4" t="s">
        <v>73</v>
      </c>
      <c r="D899" s="16" t="n">
        <v>44682</v>
      </c>
      <c r="E899" s="4" t="n">
        <v>2022</v>
      </c>
      <c r="F899" s="4" t="n">
        <v>5</v>
      </c>
      <c r="G899" s="17" t="n">
        <v>352</v>
      </c>
      <c r="H899" s="18" t="n">
        <f aca="false">G899*$B$1/1000000</f>
        <v>0.0007760271628912</v>
      </c>
    </row>
    <row r="900" customFormat="false" ht="15" hidden="false" customHeight="false" outlineLevel="0" collapsed="false">
      <c r="A900" s="4" t="s">
        <v>207</v>
      </c>
      <c r="B900" s="4" t="s">
        <v>208</v>
      </c>
      <c r="C900" s="4" t="s">
        <v>73</v>
      </c>
      <c r="D900" s="16" t="n">
        <v>44835</v>
      </c>
      <c r="E900" s="4" t="n">
        <v>2022</v>
      </c>
      <c r="F900" s="4" t="n">
        <v>10</v>
      </c>
      <c r="G900" s="17" t="n">
        <v>349</v>
      </c>
      <c r="H900" s="18" t="n">
        <f aca="false">G900*$B$1/1000000</f>
        <v>0.00076941329502565</v>
      </c>
    </row>
    <row r="901" customFormat="false" ht="15" hidden="false" customHeight="false" outlineLevel="0" collapsed="false">
      <c r="A901" s="4" t="s">
        <v>207</v>
      </c>
      <c r="B901" s="4" t="s">
        <v>208</v>
      </c>
      <c r="C901" s="4" t="s">
        <v>73</v>
      </c>
      <c r="D901" s="16" t="n">
        <v>45078</v>
      </c>
      <c r="E901" s="4" t="n">
        <v>2023</v>
      </c>
      <c r="F901" s="4" t="n">
        <v>6</v>
      </c>
      <c r="G901" s="17" t="n">
        <v>1720233</v>
      </c>
      <c r="H901" s="18" t="n">
        <f aca="false">G901*$B$1/1000000</f>
        <v>3.79246458665289</v>
      </c>
    </row>
    <row r="902" customFormat="false" ht="15" hidden="false" customHeight="false" outlineLevel="0" collapsed="false">
      <c r="A902" s="4" t="s">
        <v>207</v>
      </c>
      <c r="B902" s="4" t="s">
        <v>208</v>
      </c>
      <c r="C902" s="4" t="s">
        <v>73</v>
      </c>
      <c r="D902" s="16" t="n">
        <v>45139</v>
      </c>
      <c r="E902" s="4" t="n">
        <v>2023</v>
      </c>
      <c r="F902" s="4" t="n">
        <v>8</v>
      </c>
      <c r="G902" s="17" t="n">
        <v>1920320</v>
      </c>
      <c r="H902" s="18" t="n">
        <f aca="false">G902*$B$1/1000000</f>
        <v>4.23358091319099</v>
      </c>
    </row>
    <row r="903" customFormat="false" ht="15" hidden="false" customHeight="false" outlineLevel="0" collapsed="false">
      <c r="A903" s="4" t="s">
        <v>207</v>
      </c>
      <c r="B903" s="4" t="s">
        <v>208</v>
      </c>
      <c r="C903" s="4" t="s">
        <v>73</v>
      </c>
      <c r="D903" s="16" t="n">
        <v>45170</v>
      </c>
      <c r="E903" s="4" t="n">
        <v>2023</v>
      </c>
      <c r="F903" s="4" t="n">
        <v>9</v>
      </c>
      <c r="G903" s="17" t="n">
        <v>2757340</v>
      </c>
      <c r="H903" s="18" t="n">
        <f aca="false">G903*$B$1/1000000</f>
        <v>6.07889414013188</v>
      </c>
    </row>
    <row r="904" customFormat="false" ht="15" hidden="false" customHeight="false" outlineLevel="0" collapsed="false">
      <c r="A904" s="4" t="s">
        <v>207</v>
      </c>
      <c r="B904" s="4" t="s">
        <v>208</v>
      </c>
      <c r="C904" s="4" t="s">
        <v>73</v>
      </c>
      <c r="D904" s="16" t="n">
        <v>45200</v>
      </c>
      <c r="E904" s="4" t="n">
        <v>2023</v>
      </c>
      <c r="F904" s="4" t="n">
        <v>10</v>
      </c>
      <c r="G904" s="17" t="n">
        <v>2061100</v>
      </c>
      <c r="H904" s="18" t="n">
        <f aca="false">G904*$B$1/1000000</f>
        <v>4.54394768589504</v>
      </c>
    </row>
    <row r="905" customFormat="false" ht="15" hidden="false" customHeight="false" outlineLevel="0" collapsed="false">
      <c r="A905" s="4" t="s">
        <v>207</v>
      </c>
      <c r="B905" s="4" t="s">
        <v>208</v>
      </c>
      <c r="C905" s="4" t="s">
        <v>73</v>
      </c>
      <c r="D905" s="16" t="n">
        <v>45231</v>
      </c>
      <c r="E905" s="4" t="n">
        <v>2023</v>
      </c>
      <c r="F905" s="4" t="n">
        <v>11</v>
      </c>
      <c r="G905" s="17" t="n">
        <v>473</v>
      </c>
      <c r="H905" s="18" t="n">
        <f aca="false">G905*$B$1/1000000</f>
        <v>0.00104278650013505</v>
      </c>
    </row>
    <row r="906" customFormat="false" ht="15" hidden="false" customHeight="false" outlineLevel="0" collapsed="false">
      <c r="A906" s="4" t="s">
        <v>207</v>
      </c>
      <c r="B906" s="4" t="s">
        <v>208</v>
      </c>
      <c r="C906" s="4" t="s">
        <v>73</v>
      </c>
      <c r="D906" s="16" t="n">
        <v>45261</v>
      </c>
      <c r="E906" s="4" t="n">
        <v>2023</v>
      </c>
      <c r="F906" s="4" t="n">
        <v>12</v>
      </c>
      <c r="G906" s="17" t="n">
        <v>2292240</v>
      </c>
      <c r="H906" s="18" t="n">
        <f aca="false">G906*$B$1/1000000</f>
        <v>5.05352415870944</v>
      </c>
    </row>
    <row r="907" customFormat="false" ht="15" hidden="false" customHeight="false" outlineLevel="0" collapsed="false">
      <c r="A907" s="4" t="s">
        <v>207</v>
      </c>
      <c r="B907" s="4" t="s">
        <v>208</v>
      </c>
      <c r="C907" s="4" t="s">
        <v>73</v>
      </c>
      <c r="D907" s="16" t="n">
        <v>45292</v>
      </c>
      <c r="E907" s="4" t="n">
        <v>2024</v>
      </c>
      <c r="F907" s="4" t="n">
        <v>1</v>
      </c>
      <c r="G907" s="17" t="n">
        <v>6028487</v>
      </c>
      <c r="H907" s="18" t="n">
        <f aca="false">G907*$B$1/1000000</f>
        <v>13.2905388157286</v>
      </c>
    </row>
    <row r="908" customFormat="false" ht="15" hidden="false" customHeight="false" outlineLevel="0" collapsed="false">
      <c r="A908" s="4" t="s">
        <v>207</v>
      </c>
      <c r="B908" s="4" t="s">
        <v>208</v>
      </c>
      <c r="C908" s="4" t="s">
        <v>73</v>
      </c>
      <c r="D908" s="16" t="n">
        <v>45323</v>
      </c>
      <c r="E908" s="4" t="n">
        <v>2024</v>
      </c>
      <c r="F908" s="4" t="n">
        <v>2</v>
      </c>
      <c r="G908" s="17" t="n">
        <v>374</v>
      </c>
      <c r="H908" s="18" t="n">
        <f aca="false">G908*$B$1/1000000</f>
        <v>0.0008245288605719</v>
      </c>
    </row>
    <row r="909" customFormat="false" ht="15" hidden="false" customHeight="false" outlineLevel="0" collapsed="false">
      <c r="A909" s="4" t="s">
        <v>207</v>
      </c>
      <c r="B909" s="4" t="s">
        <v>208</v>
      </c>
      <c r="C909" s="4" t="s">
        <v>73</v>
      </c>
      <c r="D909" s="16" t="n">
        <v>45352</v>
      </c>
      <c r="E909" s="4" t="n">
        <v>2024</v>
      </c>
      <c r="F909" s="4" t="n">
        <v>3</v>
      </c>
      <c r="G909" s="17" t="n">
        <v>3800278</v>
      </c>
      <c r="H909" s="18" t="n">
        <f aca="false">G909*$B$1/1000000</f>
        <v>8.37817884811888</v>
      </c>
    </row>
    <row r="910" customFormat="false" ht="15" hidden="false" customHeight="false" outlineLevel="0" collapsed="false">
      <c r="A910" s="4" t="s">
        <v>207</v>
      </c>
      <c r="B910" s="4" t="s">
        <v>208</v>
      </c>
      <c r="C910" s="4" t="s">
        <v>73</v>
      </c>
      <c r="D910" s="16" t="n">
        <v>45383</v>
      </c>
      <c r="E910" s="4" t="n">
        <v>2024</v>
      </c>
      <c r="F910" s="4" t="n">
        <v>4</v>
      </c>
      <c r="G910" s="17" t="n">
        <v>4079304</v>
      </c>
      <c r="H910" s="18" t="n">
        <f aca="false">G910*$B$1/1000000</f>
        <v>8.99332587980319</v>
      </c>
    </row>
    <row r="911" customFormat="false" ht="15" hidden="false" customHeight="false" outlineLevel="0" collapsed="false">
      <c r="A911" s="4" t="s">
        <v>207</v>
      </c>
      <c r="B911" s="4" t="s">
        <v>208</v>
      </c>
      <c r="C911" s="4" t="s">
        <v>73</v>
      </c>
      <c r="D911" s="16" t="n">
        <v>45474</v>
      </c>
      <c r="E911" s="4" t="n">
        <v>2024</v>
      </c>
      <c r="F911" s="4" t="n">
        <v>7</v>
      </c>
      <c r="G911" s="17" t="n">
        <v>157269</v>
      </c>
      <c r="H911" s="18" t="n">
        <f aca="false">G911*$B$1/1000000</f>
        <v>0.346718795115728</v>
      </c>
    </row>
    <row r="912" customFormat="false" ht="15" hidden="false" customHeight="false" outlineLevel="0" collapsed="false">
      <c r="A912" s="4" t="s">
        <v>207</v>
      </c>
      <c r="B912" s="4" t="s">
        <v>208</v>
      </c>
      <c r="C912" s="4" t="s">
        <v>73</v>
      </c>
      <c r="D912" s="16" t="n">
        <v>45505</v>
      </c>
      <c r="E912" s="4" t="n">
        <v>2024</v>
      </c>
      <c r="F912" s="4" t="n">
        <v>8</v>
      </c>
      <c r="G912" s="17" t="n">
        <v>1276736</v>
      </c>
      <c r="H912" s="18" t="n">
        <f aca="false">G912*$B$1/1000000</f>
        <v>2.81472106773028</v>
      </c>
    </row>
    <row r="913" customFormat="false" ht="15" hidden="false" customHeight="false" outlineLevel="0" collapsed="false">
      <c r="A913" s="4" t="s">
        <v>207</v>
      </c>
      <c r="B913" s="4" t="s">
        <v>208</v>
      </c>
      <c r="C913" s="4" t="s">
        <v>73</v>
      </c>
      <c r="D913" s="16" t="n">
        <v>45536</v>
      </c>
      <c r="E913" s="4" t="n">
        <v>2024</v>
      </c>
      <c r="F913" s="4" t="n">
        <v>9</v>
      </c>
      <c r="G913" s="17" t="n">
        <v>3163587</v>
      </c>
      <c r="H913" s="18" t="n">
        <f aca="false">G913*$B$1/1000000</f>
        <v>6.97451546639058</v>
      </c>
    </row>
    <row r="914" customFormat="false" ht="15" hidden="false" customHeight="false" outlineLevel="0" collapsed="false">
      <c r="A914" s="4" t="s">
        <v>207</v>
      </c>
      <c r="B914" s="4" t="s">
        <v>208</v>
      </c>
      <c r="C914" s="4" t="s">
        <v>73</v>
      </c>
      <c r="D914" s="16" t="n">
        <v>45566</v>
      </c>
      <c r="E914" s="4" t="n">
        <v>2024</v>
      </c>
      <c r="F914" s="4" t="n">
        <v>10</v>
      </c>
      <c r="G914" s="17" t="n">
        <v>3581979</v>
      </c>
      <c r="H914" s="18" t="n">
        <f aca="false">G914*$B$1/1000000</f>
        <v>7.89691193439164</v>
      </c>
    </row>
    <row r="915" customFormat="false" ht="15" hidden="false" customHeight="false" outlineLevel="0" collapsed="false">
      <c r="A915" s="4" t="s">
        <v>207</v>
      </c>
      <c r="B915" s="4" t="s">
        <v>208</v>
      </c>
      <c r="C915" s="4" t="s">
        <v>73</v>
      </c>
      <c r="D915" s="16" t="n">
        <v>45597</v>
      </c>
      <c r="E915" s="4" t="n">
        <v>2024</v>
      </c>
      <c r="F915" s="4" t="n">
        <v>11</v>
      </c>
      <c r="G915" s="17" t="n">
        <v>230</v>
      </c>
      <c r="H915" s="18" t="n">
        <f aca="false">G915*$B$1/1000000</f>
        <v>0.0005070632030255</v>
      </c>
    </row>
    <row r="916" customFormat="false" ht="15" hidden="false" customHeight="false" outlineLevel="0" collapsed="false">
      <c r="A916" s="4" t="s">
        <v>207</v>
      </c>
      <c r="B916" s="4" t="s">
        <v>208</v>
      </c>
      <c r="C916" s="4" t="s">
        <v>73</v>
      </c>
      <c r="D916" s="16" t="n">
        <v>45627</v>
      </c>
      <c r="E916" s="4" t="n">
        <v>2024</v>
      </c>
      <c r="F916" s="4" t="n">
        <v>12</v>
      </c>
      <c r="G916" s="17" t="n">
        <v>10510980</v>
      </c>
      <c r="H916" s="18" t="n">
        <f aca="false">G916*$B$1/1000000</f>
        <v>23.1727442858129</v>
      </c>
    </row>
    <row r="917" customFormat="false" ht="15" hidden="false" customHeight="false" outlineLevel="0" collapsed="false">
      <c r="A917" s="4" t="s">
        <v>207</v>
      </c>
      <c r="B917" s="4" t="s">
        <v>208</v>
      </c>
      <c r="C917" s="4" t="s">
        <v>73</v>
      </c>
      <c r="D917" s="16" t="n">
        <v>45658</v>
      </c>
      <c r="E917" s="4" t="n">
        <v>2025</v>
      </c>
      <c r="F917" s="4" t="n">
        <v>1</v>
      </c>
      <c r="G917" s="17" t="n">
        <v>5247197</v>
      </c>
      <c r="H917" s="18" t="n">
        <f aca="false">G917*$B$1/1000000</f>
        <v>11.5680892075035</v>
      </c>
    </row>
    <row r="918" customFormat="false" ht="15" hidden="false" customHeight="false" outlineLevel="0" collapsed="false">
      <c r="A918" s="4" t="s">
        <v>207</v>
      </c>
      <c r="B918" s="4" t="s">
        <v>208</v>
      </c>
      <c r="C918" s="4" t="s">
        <v>73</v>
      </c>
      <c r="D918" s="16" t="n">
        <v>45689</v>
      </c>
      <c r="E918" s="4" t="n">
        <v>2025</v>
      </c>
      <c r="F918" s="4" t="n">
        <v>2</v>
      </c>
      <c r="G918" s="17" t="n">
        <v>11079094</v>
      </c>
      <c r="H918" s="18" t="n">
        <f aca="false">G918*$B$1/1000000</f>
        <v>24.4252212620026</v>
      </c>
    </row>
    <row r="919" customFormat="false" ht="15" hidden="false" customHeight="false" outlineLevel="0" collapsed="false">
      <c r="A919" s="4" t="s">
        <v>207</v>
      </c>
      <c r="B919" s="4" t="s">
        <v>208</v>
      </c>
      <c r="C919" s="4" t="s">
        <v>73</v>
      </c>
      <c r="D919" s="16" t="n">
        <v>45717</v>
      </c>
      <c r="E919" s="4" t="n">
        <v>2025</v>
      </c>
      <c r="F919" s="4" t="n">
        <v>3</v>
      </c>
      <c r="G919" s="17" t="n">
        <v>6301648</v>
      </c>
      <c r="H919" s="18" t="n">
        <f aca="false">G919*$B$1/1000000</f>
        <v>13.8927557357358</v>
      </c>
    </row>
    <row r="920" customFormat="false" ht="15" hidden="false" customHeight="false" outlineLevel="0" collapsed="false">
      <c r="A920" s="4" t="s">
        <v>207</v>
      </c>
      <c r="B920" s="4" t="s">
        <v>208</v>
      </c>
      <c r="C920" s="4" t="s">
        <v>73</v>
      </c>
      <c r="D920" s="16" t="n">
        <v>45748</v>
      </c>
      <c r="E920" s="4" t="n">
        <v>2025</v>
      </c>
      <c r="F920" s="4" t="n">
        <v>4</v>
      </c>
      <c r="G920" s="17" t="n">
        <v>1058</v>
      </c>
      <c r="H920" s="18" t="n">
        <f aca="false">G920*$B$1/1000000</f>
        <v>0.0023324907339173</v>
      </c>
    </row>
    <row r="921" customFormat="false" ht="15" hidden="false" customHeight="false" outlineLevel="0" collapsed="false">
      <c r="A921" s="4" t="s">
        <v>207</v>
      </c>
      <c r="B921" s="4" t="s">
        <v>208</v>
      </c>
      <c r="C921" s="4" t="s">
        <v>73</v>
      </c>
      <c r="D921" s="16" t="n">
        <v>45778</v>
      </c>
      <c r="E921" s="4" t="n">
        <v>2025</v>
      </c>
      <c r="F921" s="4" t="n">
        <v>5</v>
      </c>
      <c r="G921" s="17" t="n">
        <v>12008704</v>
      </c>
      <c r="H921" s="18" t="n">
        <f aca="false">G921*$B$1/1000000</f>
        <v>26.4746604975006</v>
      </c>
    </row>
    <row r="922" customFormat="false" ht="15" hidden="false" customHeight="false" outlineLevel="0" collapsed="false">
      <c r="A922" s="4" t="s">
        <v>207</v>
      </c>
      <c r="B922" s="4" t="s">
        <v>208</v>
      </c>
      <c r="C922" s="4" t="s">
        <v>73</v>
      </c>
      <c r="D922" s="16" t="n">
        <v>45809</v>
      </c>
      <c r="E922" s="4" t="n">
        <v>2025</v>
      </c>
      <c r="F922" s="4" t="n">
        <v>6</v>
      </c>
      <c r="G922" s="17" t="n">
        <v>2220945</v>
      </c>
      <c r="H922" s="18" t="n">
        <f aca="false">G922*$B$1/1000000</f>
        <v>4.89634558888465</v>
      </c>
    </row>
    <row r="923" customFormat="false" ht="15" hidden="false" customHeight="false" outlineLevel="0" collapsed="false">
      <c r="A923" s="4" t="s">
        <v>207</v>
      </c>
      <c r="B923" s="4" t="s">
        <v>208</v>
      </c>
      <c r="C923" s="4" t="s">
        <v>73</v>
      </c>
      <c r="D923" s="16" t="n">
        <v>45839</v>
      </c>
      <c r="E923" s="4" t="n">
        <v>2025</v>
      </c>
      <c r="F923" s="4" t="n">
        <v>7</v>
      </c>
      <c r="G923" s="17" t="n">
        <v>3077940</v>
      </c>
      <c r="H923" s="18" t="n">
        <f aca="false">G923*$B$1/1000000</f>
        <v>6.78569615269699</v>
      </c>
    </row>
    <row r="924" customFormat="false" ht="15" hidden="false" customHeight="false" outlineLevel="0" collapsed="false">
      <c r="A924" s="4" t="s">
        <v>207</v>
      </c>
      <c r="B924" s="4" t="s">
        <v>208</v>
      </c>
      <c r="C924" s="4" t="s">
        <v>73</v>
      </c>
      <c r="D924" s="16" t="n">
        <v>45870</v>
      </c>
      <c r="E924" s="4" t="n">
        <v>2025</v>
      </c>
      <c r="F924" s="4" t="n">
        <v>8</v>
      </c>
      <c r="G924" s="17" t="n">
        <v>2493354</v>
      </c>
      <c r="H924" s="18" t="n">
        <f aca="false">G924*$B$1/1000000</f>
        <v>5.49690463268019</v>
      </c>
    </row>
    <row r="925" customFormat="false" ht="15" hidden="false" customHeight="false" outlineLevel="0" collapsed="false">
      <c r="A925" s="4" t="s">
        <v>207</v>
      </c>
      <c r="B925" s="4" t="s">
        <v>208</v>
      </c>
      <c r="C925" s="4" t="s">
        <v>73</v>
      </c>
      <c r="D925" s="16" t="n">
        <v>45901</v>
      </c>
      <c r="E925" s="4" t="n">
        <v>2025</v>
      </c>
      <c r="F925" s="4" t="n">
        <v>9</v>
      </c>
      <c r="G925" s="17" t="n">
        <v>10429775</v>
      </c>
      <c r="H925" s="18" t="n">
        <f aca="false">G925*$B$1/1000000</f>
        <v>22.9937179058056</v>
      </c>
    </row>
    <row r="926" customFormat="false" ht="15" hidden="false" customHeight="false" outlineLevel="0" collapsed="false">
      <c r="A926" s="4" t="s">
        <v>207</v>
      </c>
      <c r="B926" s="4" t="s">
        <v>208</v>
      </c>
      <c r="C926" s="4" t="s">
        <v>73</v>
      </c>
      <c r="D926" s="16" t="n">
        <v>45931</v>
      </c>
      <c r="E926" s="4" t="n">
        <v>2025</v>
      </c>
      <c r="F926" s="4" t="n">
        <v>10</v>
      </c>
      <c r="G926" s="17" t="n">
        <v>680</v>
      </c>
      <c r="H926" s="18" t="n">
        <f aca="false">G926*$B$1/1000000</f>
        <v>0.001499143382858</v>
      </c>
    </row>
    <row r="927" customFormat="false" ht="15" hidden="false" customHeight="false" outlineLevel="0" collapsed="false">
      <c r="A927" s="4" t="s">
        <v>207</v>
      </c>
      <c r="B927" s="4" t="s">
        <v>208</v>
      </c>
      <c r="C927" s="4" t="s">
        <v>73</v>
      </c>
      <c r="D927" s="16" t="n">
        <v>45992</v>
      </c>
      <c r="E927" s="4" t="n">
        <v>2025</v>
      </c>
      <c r="F927" s="4" t="n">
        <v>12</v>
      </c>
      <c r="G927" s="17" t="n">
        <v>1110</v>
      </c>
      <c r="H927" s="18" t="n">
        <f aca="false">G927*$B$1/1000000</f>
        <v>0.0024471311102535</v>
      </c>
    </row>
    <row r="928" customFormat="false" ht="15" hidden="false" customHeight="false" outlineLevel="0" collapsed="false">
      <c r="A928" s="4" t="s">
        <v>207</v>
      </c>
      <c r="B928" s="4" t="s">
        <v>208</v>
      </c>
      <c r="C928" s="4" t="s">
        <v>73</v>
      </c>
      <c r="D928" s="16" t="n">
        <v>46023</v>
      </c>
      <c r="E928" s="4" t="n">
        <v>2026</v>
      </c>
      <c r="F928" s="4" t="n">
        <v>1</v>
      </c>
      <c r="G928" s="17" t="n">
        <v>822</v>
      </c>
      <c r="H928" s="18" t="n">
        <f aca="false">G928*$B$1/1000000</f>
        <v>0.0018121997951607</v>
      </c>
    </row>
    <row r="929" customFormat="false" ht="15" hidden="false" customHeight="false" outlineLevel="0" collapsed="false">
      <c r="A929" s="4" t="s">
        <v>207</v>
      </c>
      <c r="B929" s="4" t="s">
        <v>208</v>
      </c>
      <c r="C929" s="4" t="s">
        <v>73</v>
      </c>
      <c r="D929" s="16" t="n">
        <v>46082</v>
      </c>
      <c r="E929" s="4" t="n">
        <v>2026</v>
      </c>
      <c r="F929" s="4" t="n">
        <v>3</v>
      </c>
      <c r="G929" s="17" t="n">
        <v>760</v>
      </c>
      <c r="H929" s="18" t="n">
        <f aca="false">G929*$B$1/1000000</f>
        <v>0.001675513192606</v>
      </c>
    </row>
    <row r="930" customFormat="false" ht="15" hidden="false" customHeight="false" outlineLevel="0" collapsed="false">
      <c r="A930" s="4" t="s">
        <v>207</v>
      </c>
      <c r="B930" s="4" t="s">
        <v>208</v>
      </c>
      <c r="C930" s="4" t="s">
        <v>73</v>
      </c>
      <c r="D930" s="16" t="n">
        <v>46174</v>
      </c>
      <c r="E930" s="4" t="n">
        <v>2026</v>
      </c>
      <c r="F930" s="4" t="n">
        <v>6</v>
      </c>
      <c r="G930" s="17" t="n">
        <v>3035704</v>
      </c>
      <c r="H930" s="18" t="n">
        <f aca="false">G930*$B$1/1000000</f>
        <v>6.69258171164053</v>
      </c>
    </row>
    <row r="931" customFormat="false" ht="15" hidden="false" customHeight="false" outlineLevel="0" collapsed="false">
      <c r="A931" s="4" t="s">
        <v>207</v>
      </c>
      <c r="B931" s="4" t="s">
        <v>208</v>
      </c>
      <c r="C931" s="4" t="s">
        <v>73</v>
      </c>
      <c r="D931" s="16" t="n">
        <v>46204</v>
      </c>
      <c r="E931" s="4" t="n">
        <v>2026</v>
      </c>
      <c r="F931" s="4" t="n">
        <v>7</v>
      </c>
      <c r="G931" s="17" t="n">
        <v>9394956</v>
      </c>
      <c r="H931" s="18" t="n">
        <f aca="false">G931*$B$1/1000000</f>
        <v>20.7123325288854</v>
      </c>
    </row>
    <row r="932" customFormat="false" ht="15" hidden="false" customHeight="false" outlineLevel="0" collapsed="false">
      <c r="A932" s="4" t="s">
        <v>207</v>
      </c>
      <c r="B932" s="4" t="s">
        <v>208</v>
      </c>
      <c r="C932" s="4" t="s">
        <v>73</v>
      </c>
      <c r="D932" s="16" t="n">
        <v>46235</v>
      </c>
      <c r="E932" s="4" t="n">
        <v>2026</v>
      </c>
      <c r="F932" s="4" t="n">
        <v>8</v>
      </c>
      <c r="G932" s="17" t="n">
        <v>5165198</v>
      </c>
      <c r="H932" s="18" t="n">
        <f aca="false">G932*$B$1/1000000</f>
        <v>11.3873123571344</v>
      </c>
    </row>
    <row r="933" customFormat="false" ht="15" hidden="false" customHeight="false" outlineLevel="0" collapsed="false">
      <c r="A933" s="4" t="s">
        <v>207</v>
      </c>
      <c r="B933" s="4" t="s">
        <v>208</v>
      </c>
      <c r="C933" s="4" t="s">
        <v>49</v>
      </c>
      <c r="D933" s="16" t="n">
        <v>43831</v>
      </c>
      <c r="E933" s="4" t="n">
        <v>2020</v>
      </c>
      <c r="F933" s="4" t="n">
        <v>1</v>
      </c>
      <c r="G933" s="17" t="n">
        <v>20000</v>
      </c>
      <c r="H933" s="18" t="n">
        <f aca="false">G933*$B$1/1000000</f>
        <v>0.044092452437</v>
      </c>
    </row>
    <row r="934" customFormat="false" ht="15" hidden="false" customHeight="false" outlineLevel="0" collapsed="false">
      <c r="A934" s="4" t="s">
        <v>207</v>
      </c>
      <c r="B934" s="4" t="s">
        <v>208</v>
      </c>
      <c r="C934" s="4" t="s">
        <v>49</v>
      </c>
      <c r="D934" s="16" t="n">
        <v>43862</v>
      </c>
      <c r="E934" s="4" t="n">
        <v>2020</v>
      </c>
      <c r="F934" s="4" t="n">
        <v>2</v>
      </c>
      <c r="G934" s="17" t="n">
        <v>35240</v>
      </c>
      <c r="H934" s="18" t="n">
        <f aca="false">G934*$B$1/1000000</f>
        <v>0.077690901193994</v>
      </c>
    </row>
    <row r="935" customFormat="false" ht="15" hidden="false" customHeight="false" outlineLevel="0" collapsed="false">
      <c r="A935" s="4" t="s">
        <v>207</v>
      </c>
      <c r="B935" s="4" t="s">
        <v>208</v>
      </c>
      <c r="C935" s="4" t="s">
        <v>49</v>
      </c>
      <c r="D935" s="16" t="n">
        <v>43891</v>
      </c>
      <c r="E935" s="4" t="n">
        <v>2020</v>
      </c>
      <c r="F935" s="4" t="n">
        <v>3</v>
      </c>
      <c r="G935" s="17" t="n">
        <v>80000</v>
      </c>
      <c r="H935" s="18" t="n">
        <f aca="false">G935*$B$1/1000000</f>
        <v>0.176369809748</v>
      </c>
    </row>
    <row r="936" customFormat="false" ht="15" hidden="false" customHeight="false" outlineLevel="0" collapsed="false">
      <c r="A936" s="4" t="s">
        <v>207</v>
      </c>
      <c r="B936" s="4" t="s">
        <v>208</v>
      </c>
      <c r="C936" s="4" t="s">
        <v>49</v>
      </c>
      <c r="D936" s="16" t="n">
        <v>43922</v>
      </c>
      <c r="E936" s="4" t="n">
        <v>2020</v>
      </c>
      <c r="F936" s="4" t="n">
        <v>4</v>
      </c>
      <c r="G936" s="17" t="n">
        <v>45477</v>
      </c>
      <c r="H936" s="18" t="n">
        <f aca="false">G936*$B$1/1000000</f>
        <v>0.100259622973872</v>
      </c>
    </row>
    <row r="937" customFormat="false" ht="15" hidden="false" customHeight="false" outlineLevel="0" collapsed="false">
      <c r="A937" s="4" t="s">
        <v>207</v>
      </c>
      <c r="B937" s="4" t="s">
        <v>208</v>
      </c>
      <c r="C937" s="4" t="s">
        <v>49</v>
      </c>
      <c r="D937" s="16" t="n">
        <v>43952</v>
      </c>
      <c r="E937" s="4" t="n">
        <v>2020</v>
      </c>
      <c r="F937" s="4" t="n">
        <v>5</v>
      </c>
      <c r="G937" s="17" t="n">
        <v>75240</v>
      </c>
      <c r="H937" s="18" t="n">
        <f aca="false">G937*$B$1/1000000</f>
        <v>0.165875806067994</v>
      </c>
    </row>
    <row r="938" customFormat="false" ht="15" hidden="false" customHeight="false" outlineLevel="0" collapsed="false">
      <c r="A938" s="4" t="s">
        <v>207</v>
      </c>
      <c r="B938" s="4" t="s">
        <v>208</v>
      </c>
      <c r="C938" s="4" t="s">
        <v>49</v>
      </c>
      <c r="D938" s="16" t="n">
        <v>43983</v>
      </c>
      <c r="E938" s="4" t="n">
        <v>2020</v>
      </c>
      <c r="F938" s="4" t="n">
        <v>6</v>
      </c>
      <c r="G938" s="17" t="n">
        <v>59590</v>
      </c>
      <c r="H938" s="18" t="n">
        <f aca="false">G938*$B$1/1000000</f>
        <v>0.131373462036042</v>
      </c>
    </row>
    <row r="939" customFormat="false" ht="15" hidden="false" customHeight="false" outlineLevel="0" collapsed="false">
      <c r="A939" s="4" t="s">
        <v>207</v>
      </c>
      <c r="B939" s="4" t="s">
        <v>208</v>
      </c>
      <c r="C939" s="4" t="s">
        <v>49</v>
      </c>
      <c r="D939" s="16" t="n">
        <v>44013</v>
      </c>
      <c r="E939" s="4" t="n">
        <v>2020</v>
      </c>
      <c r="F939" s="4" t="n">
        <v>7</v>
      </c>
      <c r="G939" s="17" t="n">
        <v>25337</v>
      </c>
      <c r="H939" s="18" t="n">
        <f aca="false">G939*$B$1/1000000</f>
        <v>0.0558585233698134</v>
      </c>
    </row>
    <row r="940" customFormat="false" ht="15" hidden="false" customHeight="false" outlineLevel="0" collapsed="false">
      <c r="A940" s="4" t="s">
        <v>207</v>
      </c>
      <c r="B940" s="4" t="s">
        <v>208</v>
      </c>
      <c r="C940" s="4" t="s">
        <v>49</v>
      </c>
      <c r="D940" s="16" t="n">
        <v>44044</v>
      </c>
      <c r="E940" s="4" t="n">
        <v>2020</v>
      </c>
      <c r="F940" s="4" t="n">
        <v>8</v>
      </c>
      <c r="G940" s="17" t="n">
        <v>48126</v>
      </c>
      <c r="H940" s="18" t="n">
        <f aca="false">G940*$B$1/1000000</f>
        <v>0.106099668299153</v>
      </c>
    </row>
    <row r="941" customFormat="false" ht="15" hidden="false" customHeight="false" outlineLevel="0" collapsed="false">
      <c r="A941" s="4" t="s">
        <v>207</v>
      </c>
      <c r="B941" s="4" t="s">
        <v>208</v>
      </c>
      <c r="C941" s="4" t="s">
        <v>49</v>
      </c>
      <c r="D941" s="16" t="n">
        <v>44075</v>
      </c>
      <c r="E941" s="4" t="n">
        <v>2020</v>
      </c>
      <c r="F941" s="4" t="n">
        <v>9</v>
      </c>
      <c r="G941" s="17" t="n">
        <v>140622</v>
      </c>
      <c r="H941" s="18" t="n">
        <f aca="false">G941*$B$1/1000000</f>
        <v>0.310018442329791</v>
      </c>
    </row>
    <row r="942" customFormat="false" ht="15" hidden="false" customHeight="false" outlineLevel="0" collapsed="false">
      <c r="A942" s="4" t="s">
        <v>207</v>
      </c>
      <c r="B942" s="4" t="s">
        <v>208</v>
      </c>
      <c r="C942" s="4" t="s">
        <v>49</v>
      </c>
      <c r="D942" s="16" t="n">
        <v>44136</v>
      </c>
      <c r="E942" s="4" t="n">
        <v>2020</v>
      </c>
      <c r="F942" s="4" t="n">
        <v>11</v>
      </c>
      <c r="G942" s="17" t="n">
        <v>20126</v>
      </c>
      <c r="H942" s="18" t="n">
        <f aca="false">G942*$B$1/1000000</f>
        <v>0.0443702348873531</v>
      </c>
    </row>
    <row r="943" customFormat="false" ht="15" hidden="false" customHeight="false" outlineLevel="0" collapsed="false">
      <c r="A943" s="4" t="s">
        <v>207</v>
      </c>
      <c r="B943" s="4" t="s">
        <v>208</v>
      </c>
      <c r="C943" s="4" t="s">
        <v>49</v>
      </c>
      <c r="D943" s="16" t="n">
        <v>44166</v>
      </c>
      <c r="E943" s="4" t="n">
        <v>2020</v>
      </c>
      <c r="F943" s="4" t="n">
        <v>12</v>
      </c>
      <c r="G943" s="17" t="n">
        <v>35240</v>
      </c>
      <c r="H943" s="18" t="n">
        <f aca="false">G943*$B$1/1000000</f>
        <v>0.077690901193994</v>
      </c>
    </row>
    <row r="944" customFormat="false" ht="15" hidden="false" customHeight="false" outlineLevel="0" collapsed="false">
      <c r="A944" s="4" t="s">
        <v>207</v>
      </c>
      <c r="B944" s="4" t="s">
        <v>208</v>
      </c>
      <c r="C944" s="4" t="s">
        <v>49</v>
      </c>
      <c r="D944" s="16" t="n">
        <v>44228</v>
      </c>
      <c r="E944" s="4" t="n">
        <v>2021</v>
      </c>
      <c r="F944" s="4" t="n">
        <v>2</v>
      </c>
      <c r="G944" s="17" t="n">
        <v>77526</v>
      </c>
      <c r="H944" s="18" t="n">
        <f aca="false">G944*$B$1/1000000</f>
        <v>0.170915573381543</v>
      </c>
    </row>
    <row r="945" customFormat="false" ht="15" hidden="false" customHeight="false" outlineLevel="0" collapsed="false">
      <c r="A945" s="4" t="s">
        <v>207</v>
      </c>
      <c r="B945" s="4" t="s">
        <v>208</v>
      </c>
      <c r="C945" s="4" t="s">
        <v>49</v>
      </c>
      <c r="D945" s="16" t="n">
        <v>44256</v>
      </c>
      <c r="E945" s="4" t="n">
        <v>2021</v>
      </c>
      <c r="F945" s="4" t="n">
        <v>3</v>
      </c>
      <c r="G945" s="17" t="n">
        <v>76576</v>
      </c>
      <c r="H945" s="18" t="n">
        <f aca="false">G945*$B$1/1000000</f>
        <v>0.168821181890786</v>
      </c>
    </row>
    <row r="946" customFormat="false" ht="15" hidden="false" customHeight="false" outlineLevel="0" collapsed="false">
      <c r="A946" s="4" t="s">
        <v>207</v>
      </c>
      <c r="B946" s="4" t="s">
        <v>208</v>
      </c>
      <c r="C946" s="4" t="s">
        <v>49</v>
      </c>
      <c r="D946" s="16" t="n">
        <v>44287</v>
      </c>
      <c r="E946" s="4" t="n">
        <v>2021</v>
      </c>
      <c r="F946" s="4" t="n">
        <v>4</v>
      </c>
      <c r="G946" s="17" t="n">
        <v>15240</v>
      </c>
      <c r="H946" s="18" t="n">
        <f aca="false">G946*$B$1/1000000</f>
        <v>0.033598448756994</v>
      </c>
    </row>
    <row r="947" customFormat="false" ht="15" hidden="false" customHeight="false" outlineLevel="0" collapsed="false">
      <c r="A947" s="4" t="s">
        <v>207</v>
      </c>
      <c r="B947" s="4" t="s">
        <v>208</v>
      </c>
      <c r="C947" s="4" t="s">
        <v>49</v>
      </c>
      <c r="D947" s="16" t="n">
        <v>44317</v>
      </c>
      <c r="E947" s="4" t="n">
        <v>2021</v>
      </c>
      <c r="F947" s="4" t="n">
        <v>5</v>
      </c>
      <c r="G947" s="17" t="n">
        <v>60000</v>
      </c>
      <c r="H947" s="18" t="n">
        <f aca="false">G947*$B$1/1000000</f>
        <v>0.132277357311</v>
      </c>
    </row>
    <row r="948" customFormat="false" ht="15" hidden="false" customHeight="false" outlineLevel="0" collapsed="false">
      <c r="A948" s="4" t="s">
        <v>207</v>
      </c>
      <c r="B948" s="4" t="s">
        <v>208</v>
      </c>
      <c r="C948" s="4" t="s">
        <v>49</v>
      </c>
      <c r="D948" s="16" t="n">
        <v>44348</v>
      </c>
      <c r="E948" s="4" t="n">
        <v>2021</v>
      </c>
      <c r="F948" s="4" t="n">
        <v>6</v>
      </c>
      <c r="G948" s="17" t="n">
        <v>180180</v>
      </c>
      <c r="H948" s="18" t="n">
        <f aca="false">G948*$B$1/1000000</f>
        <v>0.397228904004933</v>
      </c>
    </row>
    <row r="949" customFormat="false" ht="15" hidden="false" customHeight="false" outlineLevel="0" collapsed="false">
      <c r="A949" s="4" t="s">
        <v>207</v>
      </c>
      <c r="B949" s="4" t="s">
        <v>208</v>
      </c>
      <c r="C949" s="4" t="s">
        <v>49</v>
      </c>
      <c r="D949" s="16" t="n">
        <v>44378</v>
      </c>
      <c r="E949" s="4" t="n">
        <v>2021</v>
      </c>
      <c r="F949" s="4" t="n">
        <v>7</v>
      </c>
      <c r="G949" s="17" t="n">
        <v>788000</v>
      </c>
      <c r="H949" s="18" t="n">
        <f aca="false">G949*$B$1/1000000</f>
        <v>1.7372426260178</v>
      </c>
    </row>
    <row r="950" customFormat="false" ht="15" hidden="false" customHeight="false" outlineLevel="0" collapsed="false">
      <c r="A950" s="4" t="s">
        <v>207</v>
      </c>
      <c r="B950" s="4" t="s">
        <v>208</v>
      </c>
      <c r="C950" s="4" t="s">
        <v>49</v>
      </c>
      <c r="D950" s="16" t="n">
        <v>44409</v>
      </c>
      <c r="E950" s="4" t="n">
        <v>2021</v>
      </c>
      <c r="F950" s="4" t="n">
        <v>8</v>
      </c>
      <c r="G950" s="17" t="n">
        <v>1577657</v>
      </c>
      <c r="H950" s="18" t="n">
        <f aca="false">G950*$B$1/1000000</f>
        <v>3.47813831172001</v>
      </c>
    </row>
    <row r="951" customFormat="false" ht="15" hidden="false" customHeight="false" outlineLevel="0" collapsed="false">
      <c r="A951" s="4" t="s">
        <v>207</v>
      </c>
      <c r="B951" s="4" t="s">
        <v>208</v>
      </c>
      <c r="C951" s="4" t="s">
        <v>49</v>
      </c>
      <c r="D951" s="16" t="n">
        <v>44440</v>
      </c>
      <c r="E951" s="4" t="n">
        <v>2021</v>
      </c>
      <c r="F951" s="4" t="n">
        <v>9</v>
      </c>
      <c r="G951" s="17" t="n">
        <v>607240</v>
      </c>
      <c r="H951" s="18" t="n">
        <f aca="false">G951*$B$1/1000000</f>
        <v>1.33873504089219</v>
      </c>
    </row>
    <row r="952" customFormat="false" ht="15" hidden="false" customHeight="false" outlineLevel="0" collapsed="false">
      <c r="A952" s="4" t="s">
        <v>207</v>
      </c>
      <c r="B952" s="4" t="s">
        <v>208</v>
      </c>
      <c r="C952" s="4" t="s">
        <v>49</v>
      </c>
      <c r="D952" s="16" t="n">
        <v>44470</v>
      </c>
      <c r="E952" s="4" t="n">
        <v>2021</v>
      </c>
      <c r="F952" s="4" t="n">
        <v>10</v>
      </c>
      <c r="G952" s="17" t="n">
        <v>1271550</v>
      </c>
      <c r="H952" s="18" t="n">
        <f aca="false">G952*$B$1/1000000</f>
        <v>2.80328789481337</v>
      </c>
    </row>
    <row r="953" customFormat="false" ht="15" hidden="false" customHeight="false" outlineLevel="0" collapsed="false">
      <c r="A953" s="4" t="s">
        <v>207</v>
      </c>
      <c r="B953" s="4" t="s">
        <v>208</v>
      </c>
      <c r="C953" s="4" t="s">
        <v>49</v>
      </c>
      <c r="D953" s="16" t="n">
        <v>44501</v>
      </c>
      <c r="E953" s="4" t="n">
        <v>2021</v>
      </c>
      <c r="F953" s="4" t="n">
        <v>11</v>
      </c>
      <c r="G953" s="17" t="n">
        <v>116000</v>
      </c>
      <c r="H953" s="18" t="n">
        <f aca="false">G953*$B$1/1000000</f>
        <v>0.2557362241346</v>
      </c>
    </row>
    <row r="954" customFormat="false" ht="15" hidden="false" customHeight="false" outlineLevel="0" collapsed="false">
      <c r="A954" s="4" t="s">
        <v>207</v>
      </c>
      <c r="B954" s="4" t="s">
        <v>208</v>
      </c>
      <c r="C954" s="4" t="s">
        <v>49</v>
      </c>
      <c r="D954" s="16" t="n">
        <v>44531</v>
      </c>
      <c r="E954" s="4" t="n">
        <v>2021</v>
      </c>
      <c r="F954" s="4" t="n">
        <v>12</v>
      </c>
      <c r="G954" s="17" t="n">
        <v>571555</v>
      </c>
      <c r="H954" s="18" t="n">
        <f aca="false">G954*$B$1/1000000</f>
        <v>1.26006308263148</v>
      </c>
    </row>
    <row r="955" customFormat="false" ht="15" hidden="false" customHeight="false" outlineLevel="0" collapsed="false">
      <c r="A955" s="4" t="s">
        <v>207</v>
      </c>
      <c r="B955" s="4" t="s">
        <v>208</v>
      </c>
      <c r="C955" s="4" t="s">
        <v>49</v>
      </c>
      <c r="D955" s="16" t="n">
        <v>44562</v>
      </c>
      <c r="E955" s="4" t="n">
        <v>2022</v>
      </c>
      <c r="F955" s="4" t="n">
        <v>1</v>
      </c>
      <c r="G955" s="17" t="n">
        <v>277065</v>
      </c>
      <c r="H955" s="18" t="n">
        <f aca="false">G955*$B$1/1000000</f>
        <v>0.61082376672287</v>
      </c>
    </row>
    <row r="956" customFormat="false" ht="15" hidden="false" customHeight="false" outlineLevel="0" collapsed="false">
      <c r="A956" s="4" t="s">
        <v>207</v>
      </c>
      <c r="B956" s="4" t="s">
        <v>208</v>
      </c>
      <c r="C956" s="4" t="s">
        <v>49</v>
      </c>
      <c r="D956" s="16" t="n">
        <v>44593</v>
      </c>
      <c r="E956" s="4" t="n">
        <v>2022</v>
      </c>
      <c r="F956" s="4" t="n">
        <v>2</v>
      </c>
      <c r="G956" s="17" t="n">
        <v>160000</v>
      </c>
      <c r="H956" s="18" t="n">
        <f aca="false">G956*$B$1/1000000</f>
        <v>0.352739619496</v>
      </c>
    </row>
    <row r="957" customFormat="false" ht="15" hidden="false" customHeight="false" outlineLevel="0" collapsed="false">
      <c r="A957" s="4" t="s">
        <v>207</v>
      </c>
      <c r="B957" s="4" t="s">
        <v>208</v>
      </c>
      <c r="C957" s="4" t="s">
        <v>49</v>
      </c>
      <c r="D957" s="16" t="n">
        <v>44621</v>
      </c>
      <c r="E957" s="4" t="n">
        <v>2022</v>
      </c>
      <c r="F957" s="4" t="n">
        <v>3</v>
      </c>
      <c r="G957" s="17" t="n">
        <v>100800</v>
      </c>
      <c r="H957" s="18" t="n">
        <f aca="false">G957*$B$1/1000000</f>
        <v>0.22222596028248</v>
      </c>
    </row>
    <row r="958" customFormat="false" ht="15" hidden="false" customHeight="false" outlineLevel="0" collapsed="false">
      <c r="A958" s="4" t="s">
        <v>207</v>
      </c>
      <c r="B958" s="4" t="s">
        <v>208</v>
      </c>
      <c r="C958" s="4" t="s">
        <v>49</v>
      </c>
      <c r="D958" s="16" t="n">
        <v>44652</v>
      </c>
      <c r="E958" s="4" t="n">
        <v>2022</v>
      </c>
      <c r="F958" s="4" t="n">
        <v>4</v>
      </c>
      <c r="G958" s="17" t="n">
        <v>1265126</v>
      </c>
      <c r="H958" s="18" t="n">
        <f aca="false">G958*$B$1/1000000</f>
        <v>2.7891253990906</v>
      </c>
    </row>
    <row r="959" customFormat="false" ht="15" hidden="false" customHeight="false" outlineLevel="0" collapsed="false">
      <c r="A959" s="4" t="s">
        <v>207</v>
      </c>
      <c r="B959" s="4" t="s">
        <v>208</v>
      </c>
      <c r="C959" s="4" t="s">
        <v>49</v>
      </c>
      <c r="D959" s="16" t="n">
        <v>44682</v>
      </c>
      <c r="E959" s="4" t="n">
        <v>2022</v>
      </c>
      <c r="F959" s="4" t="n">
        <v>5</v>
      </c>
      <c r="G959" s="17" t="n">
        <v>561277</v>
      </c>
      <c r="H959" s="18" t="n">
        <f aca="false">G959*$B$1/1000000</f>
        <v>1.2374039713241</v>
      </c>
    </row>
    <row r="960" customFormat="false" ht="15" hidden="false" customHeight="false" outlineLevel="0" collapsed="false">
      <c r="A960" s="4" t="s">
        <v>207</v>
      </c>
      <c r="B960" s="4" t="s">
        <v>208</v>
      </c>
      <c r="C960" s="4" t="s">
        <v>49</v>
      </c>
      <c r="D960" s="16" t="n">
        <v>44713</v>
      </c>
      <c r="E960" s="4" t="n">
        <v>2022</v>
      </c>
      <c r="F960" s="4" t="n">
        <v>6</v>
      </c>
      <c r="G960" s="17" t="n">
        <v>80000</v>
      </c>
      <c r="H960" s="18" t="n">
        <f aca="false">G960*$B$1/1000000</f>
        <v>0.176369809748</v>
      </c>
    </row>
    <row r="961" customFormat="false" ht="15" hidden="false" customHeight="false" outlineLevel="0" collapsed="false">
      <c r="A961" s="4" t="s">
        <v>207</v>
      </c>
      <c r="B961" s="4" t="s">
        <v>208</v>
      </c>
      <c r="C961" s="4" t="s">
        <v>49</v>
      </c>
      <c r="D961" s="16" t="n">
        <v>44743</v>
      </c>
      <c r="E961" s="4" t="n">
        <v>2022</v>
      </c>
      <c r="F961" s="4" t="n">
        <v>7</v>
      </c>
      <c r="G961" s="17" t="n">
        <v>828860</v>
      </c>
      <c r="H961" s="18" t="n">
        <f aca="false">G961*$B$1/1000000</f>
        <v>1.82732350634659</v>
      </c>
    </row>
    <row r="962" customFormat="false" ht="15" hidden="false" customHeight="false" outlineLevel="0" collapsed="false">
      <c r="A962" s="4" t="s">
        <v>207</v>
      </c>
      <c r="B962" s="4" t="s">
        <v>208</v>
      </c>
      <c r="C962" s="4" t="s">
        <v>49</v>
      </c>
      <c r="D962" s="16" t="n">
        <v>44774</v>
      </c>
      <c r="E962" s="4" t="n">
        <v>2022</v>
      </c>
      <c r="F962" s="4" t="n">
        <v>8</v>
      </c>
      <c r="G962" s="17" t="n">
        <v>24126</v>
      </c>
      <c r="H962" s="18" t="n">
        <f aca="false">G962*$B$1/1000000</f>
        <v>0.0531887253747531</v>
      </c>
    </row>
    <row r="963" customFormat="false" ht="15" hidden="false" customHeight="false" outlineLevel="0" collapsed="false">
      <c r="A963" s="4" t="s">
        <v>207</v>
      </c>
      <c r="B963" s="4" t="s">
        <v>208</v>
      </c>
      <c r="C963" s="4" t="s">
        <v>49</v>
      </c>
      <c r="D963" s="16" t="n">
        <v>44805</v>
      </c>
      <c r="E963" s="4" t="n">
        <v>2022</v>
      </c>
      <c r="F963" s="4" t="n">
        <v>9</v>
      </c>
      <c r="G963" s="17" t="n">
        <v>20000</v>
      </c>
      <c r="H963" s="18" t="n">
        <f aca="false">G963*$B$1/1000000</f>
        <v>0.044092452437</v>
      </c>
    </row>
    <row r="964" customFormat="false" ht="15" hidden="false" customHeight="false" outlineLevel="0" collapsed="false">
      <c r="A964" s="4" t="s">
        <v>207</v>
      </c>
      <c r="B964" s="4" t="s">
        <v>208</v>
      </c>
      <c r="C964" s="4" t="s">
        <v>49</v>
      </c>
      <c r="D964" s="16" t="n">
        <v>44835</v>
      </c>
      <c r="E964" s="4" t="n">
        <v>2022</v>
      </c>
      <c r="F964" s="4" t="n">
        <v>10</v>
      </c>
      <c r="G964" s="17" t="n">
        <v>120000</v>
      </c>
      <c r="H964" s="18" t="n">
        <f aca="false">G964*$B$1/1000000</f>
        <v>0.264554714622</v>
      </c>
    </row>
    <row r="965" customFormat="false" ht="15" hidden="false" customHeight="false" outlineLevel="0" collapsed="false">
      <c r="A965" s="4" t="s">
        <v>207</v>
      </c>
      <c r="B965" s="4" t="s">
        <v>208</v>
      </c>
      <c r="C965" s="4" t="s">
        <v>49</v>
      </c>
      <c r="D965" s="16" t="n">
        <v>44866</v>
      </c>
      <c r="E965" s="4" t="n">
        <v>2022</v>
      </c>
      <c r="F965" s="4" t="n">
        <v>11</v>
      </c>
      <c r="G965" s="17" t="n">
        <v>56100</v>
      </c>
      <c r="H965" s="18" t="n">
        <f aca="false">G965*$B$1/1000000</f>
        <v>0.123679329085785</v>
      </c>
    </row>
    <row r="966" customFormat="false" ht="15" hidden="false" customHeight="false" outlineLevel="0" collapsed="false">
      <c r="A966" s="4" t="s">
        <v>207</v>
      </c>
      <c r="B966" s="4" t="s">
        <v>208</v>
      </c>
      <c r="C966" s="4" t="s">
        <v>49</v>
      </c>
      <c r="D966" s="16" t="n">
        <v>44958</v>
      </c>
      <c r="E966" s="4" t="n">
        <v>2023</v>
      </c>
      <c r="F966" s="4" t="n">
        <v>2</v>
      </c>
      <c r="G966" s="17" t="n">
        <v>100000</v>
      </c>
      <c r="H966" s="18" t="n">
        <f aca="false">G966*$B$1/1000000</f>
        <v>0.220462262185</v>
      </c>
    </row>
    <row r="967" customFormat="false" ht="15" hidden="false" customHeight="false" outlineLevel="0" collapsed="false">
      <c r="A967" s="4" t="s">
        <v>207</v>
      </c>
      <c r="B967" s="4" t="s">
        <v>208</v>
      </c>
      <c r="C967" s="4" t="s">
        <v>49</v>
      </c>
      <c r="D967" s="16" t="n">
        <v>44986</v>
      </c>
      <c r="E967" s="4" t="n">
        <v>2023</v>
      </c>
      <c r="F967" s="4" t="n">
        <v>3</v>
      </c>
      <c r="G967" s="17" t="n">
        <v>36000</v>
      </c>
      <c r="H967" s="18" t="n">
        <f aca="false">G967*$B$1/1000000</f>
        <v>0.0793664143866</v>
      </c>
    </row>
    <row r="968" customFormat="false" ht="15" hidden="false" customHeight="false" outlineLevel="0" collapsed="false">
      <c r="A968" s="4" t="s">
        <v>207</v>
      </c>
      <c r="B968" s="4" t="s">
        <v>208</v>
      </c>
      <c r="C968" s="4" t="s">
        <v>49</v>
      </c>
      <c r="D968" s="16" t="n">
        <v>45017</v>
      </c>
      <c r="E968" s="4" t="n">
        <v>2023</v>
      </c>
      <c r="F968" s="4" t="n">
        <v>4</v>
      </c>
      <c r="G968" s="17" t="n">
        <v>40000</v>
      </c>
      <c r="H968" s="18" t="n">
        <f aca="false">G968*$B$1/1000000</f>
        <v>0.088184904874</v>
      </c>
    </row>
    <row r="969" customFormat="false" ht="15" hidden="false" customHeight="false" outlineLevel="0" collapsed="false">
      <c r="A969" s="4" t="s">
        <v>207</v>
      </c>
      <c r="B969" s="4" t="s">
        <v>208</v>
      </c>
      <c r="C969" s="4" t="s">
        <v>49</v>
      </c>
      <c r="D969" s="16" t="n">
        <v>45047</v>
      </c>
      <c r="E969" s="4" t="n">
        <v>2023</v>
      </c>
      <c r="F969" s="4" t="n">
        <v>5</v>
      </c>
      <c r="G969" s="17" t="n">
        <v>60000</v>
      </c>
      <c r="H969" s="18" t="n">
        <f aca="false">G969*$B$1/1000000</f>
        <v>0.132277357311</v>
      </c>
    </row>
    <row r="970" customFormat="false" ht="15" hidden="false" customHeight="false" outlineLevel="0" collapsed="false">
      <c r="A970" s="4" t="s">
        <v>207</v>
      </c>
      <c r="B970" s="4" t="s">
        <v>208</v>
      </c>
      <c r="C970" s="4" t="s">
        <v>49</v>
      </c>
      <c r="D970" s="16" t="n">
        <v>45078</v>
      </c>
      <c r="E970" s="4" t="n">
        <v>2023</v>
      </c>
      <c r="F970" s="4" t="n">
        <v>6</v>
      </c>
      <c r="G970" s="17" t="n">
        <v>15200</v>
      </c>
      <c r="H970" s="18" t="n">
        <f aca="false">G970*$B$1/1000000</f>
        <v>0.03351026385212</v>
      </c>
    </row>
    <row r="971" customFormat="false" ht="15" hidden="false" customHeight="false" outlineLevel="0" collapsed="false">
      <c r="A971" s="4" t="s">
        <v>207</v>
      </c>
      <c r="B971" s="4" t="s">
        <v>208</v>
      </c>
      <c r="C971" s="4" t="s">
        <v>49</v>
      </c>
      <c r="D971" s="16" t="n">
        <v>45139</v>
      </c>
      <c r="E971" s="4" t="n">
        <v>2023</v>
      </c>
      <c r="F971" s="4" t="n">
        <v>8</v>
      </c>
      <c r="G971" s="17" t="n">
        <v>187646</v>
      </c>
      <c r="H971" s="18" t="n">
        <f aca="false">G971*$B$1/1000000</f>
        <v>0.413688616499665</v>
      </c>
    </row>
    <row r="972" customFormat="false" ht="15" hidden="false" customHeight="false" outlineLevel="0" collapsed="false">
      <c r="A972" s="4" t="s">
        <v>207</v>
      </c>
      <c r="B972" s="4" t="s">
        <v>208</v>
      </c>
      <c r="C972" s="4" t="s">
        <v>49</v>
      </c>
      <c r="D972" s="16" t="n">
        <v>45170</v>
      </c>
      <c r="E972" s="4" t="n">
        <v>2023</v>
      </c>
      <c r="F972" s="4" t="n">
        <v>9</v>
      </c>
      <c r="G972" s="17" t="n">
        <v>650000</v>
      </c>
      <c r="H972" s="18" t="n">
        <f aca="false">G972*$B$1/1000000</f>
        <v>1.4330047042025</v>
      </c>
    </row>
    <row r="973" customFormat="false" ht="15" hidden="false" customHeight="false" outlineLevel="0" collapsed="false">
      <c r="A973" s="4" t="s">
        <v>207</v>
      </c>
      <c r="B973" s="4" t="s">
        <v>208</v>
      </c>
      <c r="C973" s="4" t="s">
        <v>49</v>
      </c>
      <c r="D973" s="16" t="n">
        <v>45200</v>
      </c>
      <c r="E973" s="4" t="n">
        <v>2023</v>
      </c>
      <c r="F973" s="4" t="n">
        <v>10</v>
      </c>
      <c r="G973" s="17" t="n">
        <v>479587</v>
      </c>
      <c r="H973" s="18" t="n">
        <f aca="false">G973*$B$1/1000000</f>
        <v>1.05730834934518</v>
      </c>
    </row>
    <row r="974" customFormat="false" ht="15" hidden="false" customHeight="false" outlineLevel="0" collapsed="false">
      <c r="A974" s="4" t="s">
        <v>207</v>
      </c>
      <c r="B974" s="4" t="s">
        <v>208</v>
      </c>
      <c r="C974" s="4" t="s">
        <v>49</v>
      </c>
      <c r="D974" s="16" t="n">
        <v>45231</v>
      </c>
      <c r="E974" s="4" t="n">
        <v>2023</v>
      </c>
      <c r="F974" s="4" t="n">
        <v>11</v>
      </c>
      <c r="G974" s="17" t="n">
        <v>718000</v>
      </c>
      <c r="H974" s="18" t="n">
        <f aca="false">G974*$B$1/1000000</f>
        <v>1.5829190424883</v>
      </c>
    </row>
    <row r="975" customFormat="false" ht="15" hidden="false" customHeight="false" outlineLevel="0" collapsed="false">
      <c r="A975" s="4" t="s">
        <v>207</v>
      </c>
      <c r="B975" s="4" t="s">
        <v>208</v>
      </c>
      <c r="C975" s="4" t="s">
        <v>49</v>
      </c>
      <c r="D975" s="16" t="n">
        <v>45261</v>
      </c>
      <c r="E975" s="4" t="n">
        <v>2023</v>
      </c>
      <c r="F975" s="4" t="n">
        <v>12</v>
      </c>
      <c r="G975" s="17" t="n">
        <v>220875</v>
      </c>
      <c r="H975" s="18" t="n">
        <f aca="false">G975*$B$1/1000000</f>
        <v>0.486946021601119</v>
      </c>
    </row>
    <row r="976" customFormat="false" ht="15" hidden="false" customHeight="false" outlineLevel="0" collapsed="false">
      <c r="A976" s="4" t="s">
        <v>207</v>
      </c>
      <c r="B976" s="4" t="s">
        <v>208</v>
      </c>
      <c r="C976" s="4" t="s">
        <v>49</v>
      </c>
      <c r="D976" s="16" t="n">
        <v>45292</v>
      </c>
      <c r="E976" s="4" t="n">
        <v>2024</v>
      </c>
      <c r="F976" s="4" t="n">
        <v>1</v>
      </c>
      <c r="G976" s="17" t="n">
        <v>155000</v>
      </c>
      <c r="H976" s="18" t="n">
        <f aca="false">G976*$B$1/1000000</f>
        <v>0.34171650638675</v>
      </c>
    </row>
    <row r="977" customFormat="false" ht="15" hidden="false" customHeight="false" outlineLevel="0" collapsed="false">
      <c r="A977" s="4" t="s">
        <v>207</v>
      </c>
      <c r="B977" s="4" t="s">
        <v>208</v>
      </c>
      <c r="C977" s="4" t="s">
        <v>49</v>
      </c>
      <c r="D977" s="16" t="n">
        <v>45323</v>
      </c>
      <c r="E977" s="4" t="n">
        <v>2024</v>
      </c>
      <c r="F977" s="4" t="n">
        <v>2</v>
      </c>
      <c r="G977" s="17" t="n">
        <v>41790</v>
      </c>
      <c r="H977" s="18" t="n">
        <f aca="false">G977*$B$1/1000000</f>
        <v>0.0921311793671115</v>
      </c>
    </row>
    <row r="978" customFormat="false" ht="15" hidden="false" customHeight="false" outlineLevel="0" collapsed="false">
      <c r="A978" s="4" t="s">
        <v>207</v>
      </c>
      <c r="B978" s="4" t="s">
        <v>208</v>
      </c>
      <c r="C978" s="4" t="s">
        <v>49</v>
      </c>
      <c r="D978" s="16" t="n">
        <v>45383</v>
      </c>
      <c r="E978" s="4" t="n">
        <v>2024</v>
      </c>
      <c r="F978" s="4" t="n">
        <v>4</v>
      </c>
      <c r="G978" s="17" t="n">
        <v>20000</v>
      </c>
      <c r="H978" s="18" t="n">
        <f aca="false">G978*$B$1/1000000</f>
        <v>0.044092452437</v>
      </c>
    </row>
    <row r="979" customFormat="false" ht="15" hidden="false" customHeight="false" outlineLevel="0" collapsed="false">
      <c r="A979" s="4" t="s">
        <v>207</v>
      </c>
      <c r="B979" s="4" t="s">
        <v>208</v>
      </c>
      <c r="C979" s="4" t="s">
        <v>49</v>
      </c>
      <c r="D979" s="16" t="n">
        <v>45413</v>
      </c>
      <c r="E979" s="4" t="n">
        <v>2024</v>
      </c>
      <c r="F979" s="4" t="n">
        <v>5</v>
      </c>
      <c r="G979" s="17" t="n">
        <v>18930</v>
      </c>
      <c r="H979" s="18" t="n">
        <f aca="false">G979*$B$1/1000000</f>
        <v>0.0417335062316205</v>
      </c>
    </row>
    <row r="980" customFormat="false" ht="15" hidden="false" customHeight="false" outlineLevel="0" collapsed="false">
      <c r="A980" s="4" t="s">
        <v>207</v>
      </c>
      <c r="B980" s="4" t="s">
        <v>208</v>
      </c>
      <c r="C980" s="4" t="s">
        <v>49</v>
      </c>
      <c r="D980" s="16" t="n">
        <v>45444</v>
      </c>
      <c r="E980" s="4" t="n">
        <v>2024</v>
      </c>
      <c r="F980" s="4" t="n">
        <v>6</v>
      </c>
      <c r="G980" s="17" t="n">
        <v>3863706</v>
      </c>
      <c r="H980" s="18" t="n">
        <f aca="false">G980*$B$1/1000000</f>
        <v>8.51801365177758</v>
      </c>
    </row>
    <row r="981" customFormat="false" ht="15" hidden="false" customHeight="false" outlineLevel="0" collapsed="false">
      <c r="A981" s="4" t="s">
        <v>207</v>
      </c>
      <c r="B981" s="4" t="s">
        <v>208</v>
      </c>
      <c r="C981" s="4" t="s">
        <v>49</v>
      </c>
      <c r="D981" s="16" t="n">
        <v>45536</v>
      </c>
      <c r="E981" s="4" t="n">
        <v>2024</v>
      </c>
      <c r="F981" s="4" t="n">
        <v>9</v>
      </c>
      <c r="G981" s="17" t="n">
        <v>16000</v>
      </c>
      <c r="H981" s="18" t="n">
        <f aca="false">G981*$B$1/1000000</f>
        <v>0.0352739619496</v>
      </c>
    </row>
    <row r="982" customFormat="false" ht="15" hidden="false" customHeight="false" outlineLevel="0" collapsed="false">
      <c r="A982" s="4" t="s">
        <v>207</v>
      </c>
      <c r="B982" s="4" t="s">
        <v>208</v>
      </c>
      <c r="C982" s="4" t="s">
        <v>49</v>
      </c>
      <c r="D982" s="16" t="n">
        <v>45658</v>
      </c>
      <c r="E982" s="4" t="n">
        <v>2025</v>
      </c>
      <c r="F982" s="4" t="n">
        <v>1</v>
      </c>
      <c r="G982" s="17" t="n">
        <v>26760</v>
      </c>
      <c r="H982" s="18" t="n">
        <f aca="false">G982*$B$1/1000000</f>
        <v>0.058995701360706</v>
      </c>
    </row>
    <row r="983" customFormat="false" ht="15" hidden="false" customHeight="false" outlineLevel="0" collapsed="false">
      <c r="A983" s="4" t="s">
        <v>207</v>
      </c>
      <c r="B983" s="4" t="s">
        <v>208</v>
      </c>
      <c r="C983" s="4" t="s">
        <v>49</v>
      </c>
      <c r="D983" s="16" t="n">
        <v>45717</v>
      </c>
      <c r="E983" s="4" t="n">
        <v>2025</v>
      </c>
      <c r="F983" s="4" t="n">
        <v>3</v>
      </c>
      <c r="G983" s="17" t="n">
        <v>1677</v>
      </c>
      <c r="H983" s="18" t="n">
        <f aca="false">G983*$B$1/1000000</f>
        <v>0.00369715213684245</v>
      </c>
    </row>
    <row r="984" customFormat="false" ht="15" hidden="false" customHeight="false" outlineLevel="0" collapsed="false">
      <c r="A984" s="4" t="s">
        <v>207</v>
      </c>
      <c r="B984" s="4" t="s">
        <v>208</v>
      </c>
      <c r="C984" s="4" t="s">
        <v>49</v>
      </c>
      <c r="D984" s="16" t="n">
        <v>45748</v>
      </c>
      <c r="E984" s="4" t="n">
        <v>2025</v>
      </c>
      <c r="F984" s="4" t="n">
        <v>4</v>
      </c>
      <c r="G984" s="17" t="n">
        <v>126</v>
      </c>
      <c r="H984" s="18" t="n">
        <f aca="false">G984*$B$1/1000000</f>
        <v>0.0002777824503531</v>
      </c>
    </row>
    <row r="985" customFormat="false" ht="15" hidden="false" customHeight="false" outlineLevel="0" collapsed="false">
      <c r="A985" s="4" t="s">
        <v>207</v>
      </c>
      <c r="B985" s="4" t="s">
        <v>208</v>
      </c>
      <c r="C985" s="4" t="s">
        <v>49</v>
      </c>
      <c r="D985" s="16" t="n">
        <v>45809</v>
      </c>
      <c r="E985" s="4" t="n">
        <v>2025</v>
      </c>
      <c r="F985" s="4" t="n">
        <v>6</v>
      </c>
      <c r="G985" s="17" t="n">
        <v>1763684</v>
      </c>
      <c r="H985" s="18" t="n">
        <f aca="false">G985*$B$1/1000000</f>
        <v>3.8882576441949</v>
      </c>
    </row>
    <row r="986" customFormat="false" ht="15" hidden="false" customHeight="false" outlineLevel="0" collapsed="false">
      <c r="A986" s="4" t="s">
        <v>207</v>
      </c>
      <c r="B986" s="4" t="s">
        <v>208</v>
      </c>
      <c r="C986" s="4" t="s">
        <v>49</v>
      </c>
      <c r="D986" s="16" t="n">
        <v>45839</v>
      </c>
      <c r="E986" s="4" t="n">
        <v>2025</v>
      </c>
      <c r="F986" s="4" t="n">
        <v>7</v>
      </c>
      <c r="G986" s="17" t="n">
        <v>144</v>
      </c>
      <c r="H986" s="18" t="n">
        <f aca="false">G986*$B$1/1000000</f>
        <v>0.0003174656575464</v>
      </c>
    </row>
    <row r="987" customFormat="false" ht="15" hidden="false" customHeight="false" outlineLevel="0" collapsed="false">
      <c r="A987" s="4" t="s">
        <v>207</v>
      </c>
      <c r="B987" s="4" t="s">
        <v>208</v>
      </c>
      <c r="C987" s="4" t="s">
        <v>49</v>
      </c>
      <c r="D987" s="16" t="n">
        <v>45870</v>
      </c>
      <c r="E987" s="4" t="n">
        <v>2025</v>
      </c>
      <c r="F987" s="4" t="n">
        <v>8</v>
      </c>
      <c r="G987" s="17" t="n">
        <v>34836</v>
      </c>
      <c r="H987" s="18" t="n">
        <f aca="false">G987*$B$1/1000000</f>
        <v>0.0768002336547666</v>
      </c>
    </row>
    <row r="988" customFormat="false" ht="15" hidden="false" customHeight="false" outlineLevel="0" collapsed="false">
      <c r="A988" s="4" t="s">
        <v>207</v>
      </c>
      <c r="B988" s="4" t="s">
        <v>208</v>
      </c>
      <c r="C988" s="4" t="s">
        <v>49</v>
      </c>
      <c r="D988" s="16" t="n">
        <v>45901</v>
      </c>
      <c r="E988" s="4" t="n">
        <v>2025</v>
      </c>
      <c r="F988" s="4" t="n">
        <v>9</v>
      </c>
      <c r="G988" s="17" t="n">
        <v>8802</v>
      </c>
      <c r="H988" s="18" t="n">
        <f aca="false">G988*$B$1/1000000</f>
        <v>0.0194050883175237</v>
      </c>
    </row>
    <row r="989" customFormat="false" ht="15" hidden="false" customHeight="false" outlineLevel="0" collapsed="false">
      <c r="A989" s="4" t="s">
        <v>207</v>
      </c>
      <c r="B989" s="4" t="s">
        <v>208</v>
      </c>
      <c r="C989" s="4" t="s">
        <v>49</v>
      </c>
      <c r="D989" s="16" t="n">
        <v>45931</v>
      </c>
      <c r="E989" s="4" t="n">
        <v>2025</v>
      </c>
      <c r="F989" s="4" t="n">
        <v>10</v>
      </c>
      <c r="G989" s="17" t="n">
        <v>2908</v>
      </c>
      <c r="H989" s="18" t="n">
        <f aca="false">G989*$B$1/1000000</f>
        <v>0.0064110425843398</v>
      </c>
    </row>
    <row r="990" customFormat="false" ht="15" hidden="false" customHeight="false" outlineLevel="0" collapsed="false">
      <c r="A990" s="4" t="s">
        <v>207</v>
      </c>
      <c r="B990" s="4" t="s">
        <v>208</v>
      </c>
      <c r="C990" s="4" t="s">
        <v>49</v>
      </c>
      <c r="D990" s="16" t="n">
        <v>45962</v>
      </c>
      <c r="E990" s="4" t="n">
        <v>2025</v>
      </c>
      <c r="F990" s="4" t="n">
        <v>11</v>
      </c>
      <c r="G990" s="17" t="n">
        <v>4080</v>
      </c>
      <c r="H990" s="18" t="n">
        <f aca="false">G990*$B$1/1000000</f>
        <v>0.008994860297148</v>
      </c>
    </row>
    <row r="991" customFormat="false" ht="15" hidden="false" customHeight="false" outlineLevel="0" collapsed="false">
      <c r="A991" s="4" t="s">
        <v>207</v>
      </c>
      <c r="B991" s="4" t="s">
        <v>208</v>
      </c>
      <c r="C991" s="4" t="s">
        <v>49</v>
      </c>
      <c r="D991" s="16" t="n">
        <v>45992</v>
      </c>
      <c r="E991" s="4" t="n">
        <v>2025</v>
      </c>
      <c r="F991" s="4" t="n">
        <v>12</v>
      </c>
      <c r="G991" s="17" t="n">
        <v>16000</v>
      </c>
      <c r="H991" s="18" t="n">
        <f aca="false">G991*$B$1/1000000</f>
        <v>0.0352739619496</v>
      </c>
    </row>
    <row r="992" customFormat="false" ht="15" hidden="false" customHeight="false" outlineLevel="0" collapsed="false">
      <c r="A992" s="4" t="s">
        <v>207</v>
      </c>
      <c r="B992" s="4" t="s">
        <v>208</v>
      </c>
      <c r="C992" s="4" t="s">
        <v>49</v>
      </c>
      <c r="D992" s="16" t="n">
        <v>46023</v>
      </c>
      <c r="E992" s="4" t="n">
        <v>2026</v>
      </c>
      <c r="F992" s="4" t="n">
        <v>1</v>
      </c>
      <c r="G992" s="17" t="n">
        <v>20240</v>
      </c>
      <c r="H992" s="18" t="n">
        <f aca="false">G992*$B$1/1000000</f>
        <v>0.044621561866244</v>
      </c>
    </row>
    <row r="993" customFormat="false" ht="15" hidden="false" customHeight="false" outlineLevel="0" collapsed="false">
      <c r="A993" s="4" t="s">
        <v>207</v>
      </c>
      <c r="B993" s="4" t="s">
        <v>208</v>
      </c>
      <c r="C993" s="4" t="s">
        <v>49</v>
      </c>
      <c r="D993" s="16" t="n">
        <v>46054</v>
      </c>
      <c r="E993" s="4" t="n">
        <v>2026</v>
      </c>
      <c r="F993" s="4" t="n">
        <v>2</v>
      </c>
      <c r="G993" s="17" t="n">
        <v>9420</v>
      </c>
      <c r="H993" s="18" t="n">
        <f aca="false">G993*$B$1/1000000</f>
        <v>0.020767545097827</v>
      </c>
    </row>
    <row r="994" customFormat="false" ht="15" hidden="false" customHeight="false" outlineLevel="0" collapsed="false">
      <c r="A994" s="4" t="s">
        <v>207</v>
      </c>
      <c r="B994" s="4" t="s">
        <v>208</v>
      </c>
      <c r="C994" s="4" t="s">
        <v>49</v>
      </c>
      <c r="D994" s="16" t="n">
        <v>46082</v>
      </c>
      <c r="E994" s="4" t="n">
        <v>2026</v>
      </c>
      <c r="F994" s="4" t="n">
        <v>3</v>
      </c>
      <c r="G994" s="17" t="n">
        <v>24140</v>
      </c>
      <c r="H994" s="18" t="n">
        <f aca="false">G994*$B$1/1000000</f>
        <v>0.053219590091459</v>
      </c>
    </row>
    <row r="995" customFormat="false" ht="15" hidden="false" customHeight="false" outlineLevel="0" collapsed="false">
      <c r="A995" s="4" t="s">
        <v>207</v>
      </c>
      <c r="B995" s="4" t="s">
        <v>208</v>
      </c>
      <c r="C995" s="4" t="s">
        <v>49</v>
      </c>
      <c r="D995" s="16" t="n">
        <v>46113</v>
      </c>
      <c r="E995" s="4" t="n">
        <v>2026</v>
      </c>
      <c r="F995" s="4" t="n">
        <v>4</v>
      </c>
      <c r="G995" s="17" t="n">
        <v>4080</v>
      </c>
      <c r="H995" s="18" t="n">
        <f aca="false">G995*$B$1/1000000</f>
        <v>0.008994860297148</v>
      </c>
    </row>
    <row r="996" customFormat="false" ht="15" hidden="false" customHeight="false" outlineLevel="0" collapsed="false">
      <c r="A996" s="4" t="s">
        <v>207</v>
      </c>
      <c r="B996" s="4" t="s">
        <v>208</v>
      </c>
      <c r="C996" s="4" t="s">
        <v>49</v>
      </c>
      <c r="D996" s="16" t="n">
        <v>46143</v>
      </c>
      <c r="E996" s="4" t="n">
        <v>2026</v>
      </c>
      <c r="F996" s="4" t="n">
        <v>5</v>
      </c>
      <c r="G996" s="17" t="n">
        <v>20571</v>
      </c>
      <c r="H996" s="18" t="n">
        <f aca="false">G996*$B$1/1000000</f>
        <v>0.0453512919540764</v>
      </c>
    </row>
    <row r="997" customFormat="false" ht="15" hidden="false" customHeight="false" outlineLevel="0" collapsed="false">
      <c r="A997" s="4" t="s">
        <v>207</v>
      </c>
      <c r="B997" s="4" t="s">
        <v>208</v>
      </c>
      <c r="C997" s="4" t="s">
        <v>49</v>
      </c>
      <c r="D997" s="16" t="n">
        <v>46174</v>
      </c>
      <c r="E997" s="4" t="n">
        <v>2026</v>
      </c>
      <c r="F997" s="4" t="n">
        <v>6</v>
      </c>
      <c r="G997" s="17" t="n">
        <v>108</v>
      </c>
      <c r="H997" s="18" t="n">
        <f aca="false">G997*$B$1/1000000</f>
        <v>0.0002380992431598</v>
      </c>
    </row>
    <row r="998" customFormat="false" ht="15" hidden="false" customHeight="false" outlineLevel="0" collapsed="false">
      <c r="A998" s="4" t="s">
        <v>207</v>
      </c>
      <c r="B998" s="4" t="s">
        <v>208</v>
      </c>
      <c r="C998" s="4" t="s">
        <v>49</v>
      </c>
      <c r="D998" s="16" t="n">
        <v>46204</v>
      </c>
      <c r="E998" s="4" t="n">
        <v>2026</v>
      </c>
      <c r="F998" s="4" t="n">
        <v>7</v>
      </c>
      <c r="G998" s="17" t="n">
        <v>318</v>
      </c>
      <c r="H998" s="18" t="n">
        <f aca="false">G998*$B$1/1000000</f>
        <v>0.0007010699937483</v>
      </c>
    </row>
    <row r="999" customFormat="false" ht="15" hidden="false" customHeight="false" outlineLevel="0" collapsed="false">
      <c r="A999" s="4" t="s">
        <v>207</v>
      </c>
      <c r="B999" s="4" t="s">
        <v>208</v>
      </c>
      <c r="C999" s="4" t="s">
        <v>49</v>
      </c>
      <c r="D999" s="16" t="n">
        <v>46235</v>
      </c>
      <c r="E999" s="4" t="n">
        <v>2026</v>
      </c>
      <c r="F999" s="4" t="n">
        <v>8</v>
      </c>
      <c r="G999" s="17" t="n">
        <v>920</v>
      </c>
      <c r="H999" s="18" t="n">
        <f aca="false">G999*$B$1/1000000</f>
        <v>0.002028252812102</v>
      </c>
    </row>
    <row r="1000" customFormat="false" ht="15" hidden="false" customHeight="false" outlineLevel="0" collapsed="false">
      <c r="A1000" s="4" t="s">
        <v>207</v>
      </c>
      <c r="B1000" s="4" t="s">
        <v>208</v>
      </c>
      <c r="C1000" s="4" t="s">
        <v>176</v>
      </c>
      <c r="D1000" s="16" t="n">
        <v>45658</v>
      </c>
      <c r="E1000" s="4" t="n">
        <v>2025</v>
      </c>
      <c r="F1000" s="4" t="n">
        <v>1</v>
      </c>
      <c r="G1000" s="17" t="n">
        <v>219955</v>
      </c>
      <c r="H1000" s="18" t="n">
        <f aca="false">G1000*$B$1/1000000</f>
        <v>0.484917768789017</v>
      </c>
    </row>
    <row r="1001" customFormat="false" ht="15" hidden="false" customHeight="false" outlineLevel="0" collapsed="false">
      <c r="A1001" s="4" t="s">
        <v>207</v>
      </c>
      <c r="B1001" s="4" t="s">
        <v>208</v>
      </c>
      <c r="C1001" s="4" t="s">
        <v>176</v>
      </c>
      <c r="D1001" s="16" t="n">
        <v>45839</v>
      </c>
      <c r="E1001" s="4" t="n">
        <v>2025</v>
      </c>
      <c r="F1001" s="4" t="n">
        <v>7</v>
      </c>
      <c r="G1001" s="17" t="n">
        <v>201291</v>
      </c>
      <c r="H1001" s="18" t="n">
        <f aca="false">G1001*$B$1/1000000</f>
        <v>0.443770692174808</v>
      </c>
    </row>
    <row r="1002" customFormat="false" ht="15" hidden="false" customHeight="false" outlineLevel="0" collapsed="false">
      <c r="A1002" s="4" t="s">
        <v>207</v>
      </c>
      <c r="B1002" s="4" t="s">
        <v>208</v>
      </c>
      <c r="C1002" s="4" t="s">
        <v>43</v>
      </c>
      <c r="D1002" s="16" t="n">
        <v>43831</v>
      </c>
      <c r="E1002" s="4" t="n">
        <v>2020</v>
      </c>
      <c r="F1002" s="4" t="n">
        <v>1</v>
      </c>
      <c r="G1002" s="17" t="n">
        <v>6777659</v>
      </c>
      <c r="H1002" s="18" t="n">
        <f aca="false">G1002*$B$1/1000000</f>
        <v>14.9421803545852</v>
      </c>
    </row>
    <row r="1003" customFormat="false" ht="15" hidden="false" customHeight="false" outlineLevel="0" collapsed="false">
      <c r="A1003" s="4" t="s">
        <v>207</v>
      </c>
      <c r="B1003" s="4" t="s">
        <v>208</v>
      </c>
      <c r="C1003" s="4" t="s">
        <v>43</v>
      </c>
      <c r="D1003" s="16" t="n">
        <v>43862</v>
      </c>
      <c r="E1003" s="4" t="n">
        <v>2020</v>
      </c>
      <c r="F1003" s="4" t="n">
        <v>2</v>
      </c>
      <c r="G1003" s="17" t="n">
        <v>4279417</v>
      </c>
      <c r="H1003" s="18" t="n">
        <f aca="false">G1003*$B$1/1000000</f>
        <v>9.43449952652946</v>
      </c>
    </row>
    <row r="1004" customFormat="false" ht="15" hidden="false" customHeight="false" outlineLevel="0" collapsed="false">
      <c r="A1004" s="4" t="s">
        <v>207</v>
      </c>
      <c r="B1004" s="4" t="s">
        <v>208</v>
      </c>
      <c r="C1004" s="4" t="s">
        <v>43</v>
      </c>
      <c r="D1004" s="16" t="n">
        <v>43891</v>
      </c>
      <c r="E1004" s="4" t="n">
        <v>2020</v>
      </c>
      <c r="F1004" s="4" t="n">
        <v>3</v>
      </c>
      <c r="G1004" s="17" t="n">
        <v>7844985</v>
      </c>
      <c r="H1004" s="18" t="n">
        <f aca="false">G1004*$B$1/1000000</f>
        <v>17.2952313990739</v>
      </c>
    </row>
    <row r="1005" customFormat="false" ht="15" hidden="false" customHeight="false" outlineLevel="0" collapsed="false">
      <c r="A1005" s="4" t="s">
        <v>207</v>
      </c>
      <c r="B1005" s="4" t="s">
        <v>208</v>
      </c>
      <c r="C1005" s="4" t="s">
        <v>43</v>
      </c>
      <c r="D1005" s="16" t="n">
        <v>43922</v>
      </c>
      <c r="E1005" s="4" t="n">
        <v>2020</v>
      </c>
      <c r="F1005" s="4" t="n">
        <v>4</v>
      </c>
      <c r="G1005" s="17" t="n">
        <v>6938252</v>
      </c>
      <c r="H1005" s="18" t="n">
        <f aca="false">G1005*$B$1/1000000</f>
        <v>15.296227315296</v>
      </c>
    </row>
    <row r="1006" customFormat="false" ht="15" hidden="false" customHeight="false" outlineLevel="0" collapsed="false">
      <c r="A1006" s="4" t="s">
        <v>207</v>
      </c>
      <c r="B1006" s="4" t="s">
        <v>208</v>
      </c>
      <c r="C1006" s="4" t="s">
        <v>43</v>
      </c>
      <c r="D1006" s="16" t="n">
        <v>43952</v>
      </c>
      <c r="E1006" s="4" t="n">
        <v>2020</v>
      </c>
      <c r="F1006" s="4" t="n">
        <v>5</v>
      </c>
      <c r="G1006" s="17" t="n">
        <v>7885552</v>
      </c>
      <c r="H1006" s="18" t="n">
        <f aca="false">G1006*$B$1/1000000</f>
        <v>17.3846663249745</v>
      </c>
    </row>
    <row r="1007" customFormat="false" ht="15" hidden="false" customHeight="false" outlineLevel="0" collapsed="false">
      <c r="A1007" s="4" t="s">
        <v>207</v>
      </c>
      <c r="B1007" s="4" t="s">
        <v>208</v>
      </c>
      <c r="C1007" s="4" t="s">
        <v>43</v>
      </c>
      <c r="D1007" s="16" t="n">
        <v>43983</v>
      </c>
      <c r="E1007" s="4" t="n">
        <v>2020</v>
      </c>
      <c r="F1007" s="4" t="n">
        <v>6</v>
      </c>
      <c r="G1007" s="17" t="n">
        <v>7053794</v>
      </c>
      <c r="H1007" s="18" t="n">
        <f aca="false">G1007*$B$1/1000000</f>
        <v>15.5509538222698</v>
      </c>
    </row>
    <row r="1008" customFormat="false" ht="15" hidden="false" customHeight="false" outlineLevel="0" collapsed="false">
      <c r="A1008" s="4" t="s">
        <v>207</v>
      </c>
      <c r="B1008" s="4" t="s">
        <v>208</v>
      </c>
      <c r="C1008" s="4" t="s">
        <v>43</v>
      </c>
      <c r="D1008" s="16" t="n">
        <v>44013</v>
      </c>
      <c r="E1008" s="4" t="n">
        <v>2020</v>
      </c>
      <c r="F1008" s="4" t="n">
        <v>7</v>
      </c>
      <c r="G1008" s="17" t="n">
        <v>5162606</v>
      </c>
      <c r="H1008" s="18" t="n">
        <f aca="false">G1008*$B$1/1000000</f>
        <v>11.3815979752985</v>
      </c>
    </row>
    <row r="1009" customFormat="false" ht="15" hidden="false" customHeight="false" outlineLevel="0" collapsed="false">
      <c r="A1009" s="4" t="s">
        <v>207</v>
      </c>
      <c r="B1009" s="4" t="s">
        <v>208</v>
      </c>
      <c r="C1009" s="4" t="s">
        <v>43</v>
      </c>
      <c r="D1009" s="16" t="n">
        <v>44044</v>
      </c>
      <c r="E1009" s="4" t="n">
        <v>2020</v>
      </c>
      <c r="F1009" s="4" t="n">
        <v>8</v>
      </c>
      <c r="G1009" s="17" t="n">
        <v>4626945</v>
      </c>
      <c r="H1009" s="18" t="n">
        <f aca="false">G1009*$B$1/1000000</f>
        <v>10.2006676170557</v>
      </c>
    </row>
    <row r="1010" customFormat="false" ht="15" hidden="false" customHeight="false" outlineLevel="0" collapsed="false">
      <c r="A1010" s="4" t="s">
        <v>207</v>
      </c>
      <c r="B1010" s="4" t="s">
        <v>208</v>
      </c>
      <c r="C1010" s="4" t="s">
        <v>43</v>
      </c>
      <c r="D1010" s="16" t="n">
        <v>44075</v>
      </c>
      <c r="E1010" s="4" t="n">
        <v>2020</v>
      </c>
      <c r="F1010" s="4" t="n">
        <v>9</v>
      </c>
      <c r="G1010" s="17" t="n">
        <v>4996463</v>
      </c>
      <c r="H1010" s="18" t="n">
        <f aca="false">G1010*$B$1/1000000</f>
        <v>11.0153153590365</v>
      </c>
    </row>
    <row r="1011" customFormat="false" ht="15" hidden="false" customHeight="false" outlineLevel="0" collapsed="false">
      <c r="A1011" s="4" t="s">
        <v>207</v>
      </c>
      <c r="B1011" s="4" t="s">
        <v>208</v>
      </c>
      <c r="C1011" s="4" t="s">
        <v>43</v>
      </c>
      <c r="D1011" s="16" t="n">
        <v>44105</v>
      </c>
      <c r="E1011" s="4" t="n">
        <v>2020</v>
      </c>
      <c r="F1011" s="4" t="n">
        <v>10</v>
      </c>
      <c r="G1011" s="17" t="n">
        <v>4724239</v>
      </c>
      <c r="H1011" s="18" t="n">
        <f aca="false">G1011*$B$1/1000000</f>
        <v>10.415164170426</v>
      </c>
    </row>
    <row r="1012" customFormat="false" ht="15" hidden="false" customHeight="false" outlineLevel="0" collapsed="false">
      <c r="A1012" s="4" t="s">
        <v>207</v>
      </c>
      <c r="B1012" s="4" t="s">
        <v>208</v>
      </c>
      <c r="C1012" s="4" t="s">
        <v>43</v>
      </c>
      <c r="D1012" s="16" t="n">
        <v>44136</v>
      </c>
      <c r="E1012" s="4" t="n">
        <v>2020</v>
      </c>
      <c r="F1012" s="4" t="n">
        <v>11</v>
      </c>
      <c r="G1012" s="17" t="n">
        <v>6432469</v>
      </c>
      <c r="H1012" s="18" t="n">
        <f aca="false">G1012*$B$1/1000000</f>
        <v>14.1811666717488</v>
      </c>
    </row>
    <row r="1013" customFormat="false" ht="15" hidden="false" customHeight="false" outlineLevel="0" collapsed="false">
      <c r="A1013" s="4" t="s">
        <v>207</v>
      </c>
      <c r="B1013" s="4" t="s">
        <v>208</v>
      </c>
      <c r="C1013" s="4" t="s">
        <v>43</v>
      </c>
      <c r="D1013" s="16" t="n">
        <v>44166</v>
      </c>
      <c r="E1013" s="4" t="n">
        <v>2020</v>
      </c>
      <c r="F1013" s="4" t="n">
        <v>12</v>
      </c>
      <c r="G1013" s="17" t="n">
        <v>5543826</v>
      </c>
      <c r="H1013" s="18" t="n">
        <f aca="false">G1013*$B$1/1000000</f>
        <v>12.2220442112002</v>
      </c>
    </row>
    <row r="1014" customFormat="false" ht="15" hidden="false" customHeight="false" outlineLevel="0" collapsed="false">
      <c r="A1014" s="4" t="s">
        <v>207</v>
      </c>
      <c r="B1014" s="4" t="s">
        <v>208</v>
      </c>
      <c r="C1014" s="4" t="s">
        <v>43</v>
      </c>
      <c r="D1014" s="16" t="n">
        <v>44197</v>
      </c>
      <c r="E1014" s="4" t="n">
        <v>2021</v>
      </c>
      <c r="F1014" s="4" t="n">
        <v>1</v>
      </c>
      <c r="G1014" s="17" t="n">
        <v>6524598</v>
      </c>
      <c r="H1014" s="18" t="n">
        <f aca="false">G1014*$B$1/1000000</f>
        <v>14.3842763492773</v>
      </c>
    </row>
    <row r="1015" customFormat="false" ht="15" hidden="false" customHeight="false" outlineLevel="0" collapsed="false">
      <c r="A1015" s="4" t="s">
        <v>207</v>
      </c>
      <c r="B1015" s="4" t="s">
        <v>208</v>
      </c>
      <c r="C1015" s="4" t="s">
        <v>43</v>
      </c>
      <c r="D1015" s="16" t="n">
        <v>44228</v>
      </c>
      <c r="E1015" s="4" t="n">
        <v>2021</v>
      </c>
      <c r="F1015" s="4" t="n">
        <v>2</v>
      </c>
      <c r="G1015" s="17" t="n">
        <v>7688248</v>
      </c>
      <c r="H1015" s="18" t="n">
        <f aca="false">G1015*$B$1/1000000</f>
        <v>16.949685463193</v>
      </c>
    </row>
    <row r="1016" customFormat="false" ht="15" hidden="false" customHeight="false" outlineLevel="0" collapsed="false">
      <c r="A1016" s="4" t="s">
        <v>207</v>
      </c>
      <c r="B1016" s="4" t="s">
        <v>208</v>
      </c>
      <c r="C1016" s="4" t="s">
        <v>43</v>
      </c>
      <c r="D1016" s="16" t="n">
        <v>44256</v>
      </c>
      <c r="E1016" s="4" t="n">
        <v>2021</v>
      </c>
      <c r="F1016" s="4" t="n">
        <v>3</v>
      </c>
      <c r="G1016" s="17" t="n">
        <v>11539916</v>
      </c>
      <c r="H1016" s="18" t="n">
        <f aca="false">G1016*$B$1/1000000</f>
        <v>25.4411598678488</v>
      </c>
    </row>
    <row r="1017" customFormat="false" ht="15" hidden="false" customHeight="false" outlineLevel="0" collapsed="false">
      <c r="A1017" s="4" t="s">
        <v>207</v>
      </c>
      <c r="B1017" s="4" t="s">
        <v>208</v>
      </c>
      <c r="C1017" s="4" t="s">
        <v>43</v>
      </c>
      <c r="D1017" s="16" t="n">
        <v>44287</v>
      </c>
      <c r="E1017" s="4" t="n">
        <v>2021</v>
      </c>
      <c r="F1017" s="4" t="n">
        <v>4</v>
      </c>
      <c r="G1017" s="17" t="n">
        <v>8300272</v>
      </c>
      <c r="H1017" s="18" t="n">
        <f aca="false">G1017*$B$1/1000000</f>
        <v>18.2989674187081</v>
      </c>
    </row>
    <row r="1018" customFormat="false" ht="15" hidden="false" customHeight="false" outlineLevel="0" collapsed="false">
      <c r="A1018" s="4" t="s">
        <v>207</v>
      </c>
      <c r="B1018" s="4" t="s">
        <v>208</v>
      </c>
      <c r="C1018" s="4" t="s">
        <v>43</v>
      </c>
      <c r="D1018" s="16" t="n">
        <v>44317</v>
      </c>
      <c r="E1018" s="4" t="n">
        <v>2021</v>
      </c>
      <c r="F1018" s="4" t="n">
        <v>5</v>
      </c>
      <c r="G1018" s="17" t="n">
        <v>9919412</v>
      </c>
      <c r="H1018" s="18" t="n">
        <f aca="false">G1018*$B$1/1000000</f>
        <v>21.8685600906504</v>
      </c>
    </row>
    <row r="1019" customFormat="false" ht="15" hidden="false" customHeight="false" outlineLevel="0" collapsed="false">
      <c r="A1019" s="4" t="s">
        <v>207</v>
      </c>
      <c r="B1019" s="4" t="s">
        <v>208</v>
      </c>
      <c r="C1019" s="4" t="s">
        <v>43</v>
      </c>
      <c r="D1019" s="16" t="n">
        <v>44348</v>
      </c>
      <c r="E1019" s="4" t="n">
        <v>2021</v>
      </c>
      <c r="F1019" s="4" t="n">
        <v>6</v>
      </c>
      <c r="G1019" s="17" t="n">
        <v>7518642</v>
      </c>
      <c r="H1019" s="18" t="n">
        <f aca="false">G1019*$B$1/1000000</f>
        <v>16.5757682387915</v>
      </c>
    </row>
    <row r="1020" customFormat="false" ht="15" hidden="false" customHeight="false" outlineLevel="0" collapsed="false">
      <c r="A1020" s="4" t="s">
        <v>207</v>
      </c>
      <c r="B1020" s="4" t="s">
        <v>208</v>
      </c>
      <c r="C1020" s="4" t="s">
        <v>43</v>
      </c>
      <c r="D1020" s="16" t="n">
        <v>44378</v>
      </c>
      <c r="E1020" s="4" t="n">
        <v>2021</v>
      </c>
      <c r="F1020" s="4" t="n">
        <v>7</v>
      </c>
      <c r="G1020" s="17" t="n">
        <v>7309998</v>
      </c>
      <c r="H1020" s="18" t="n">
        <f aca="false">G1020*$B$1/1000000</f>
        <v>16.1157869564783</v>
      </c>
    </row>
    <row r="1021" customFormat="false" ht="15" hidden="false" customHeight="false" outlineLevel="0" collapsed="false">
      <c r="A1021" s="4" t="s">
        <v>207</v>
      </c>
      <c r="B1021" s="4" t="s">
        <v>208</v>
      </c>
      <c r="C1021" s="4" t="s">
        <v>43</v>
      </c>
      <c r="D1021" s="16" t="n">
        <v>44409</v>
      </c>
      <c r="E1021" s="4" t="n">
        <v>2021</v>
      </c>
      <c r="F1021" s="4" t="n">
        <v>8</v>
      </c>
      <c r="G1021" s="17" t="n">
        <v>7585542</v>
      </c>
      <c r="H1021" s="18" t="n">
        <f aca="false">G1021*$B$1/1000000</f>
        <v>16.7232574921933</v>
      </c>
    </row>
    <row r="1022" customFormat="false" ht="15" hidden="false" customHeight="false" outlineLevel="0" collapsed="false">
      <c r="A1022" s="4" t="s">
        <v>207</v>
      </c>
      <c r="B1022" s="4" t="s">
        <v>208</v>
      </c>
      <c r="C1022" s="4" t="s">
        <v>43</v>
      </c>
      <c r="D1022" s="16" t="n">
        <v>44440</v>
      </c>
      <c r="E1022" s="4" t="n">
        <v>2021</v>
      </c>
      <c r="F1022" s="4" t="n">
        <v>9</v>
      </c>
      <c r="G1022" s="17" t="n">
        <v>6437651</v>
      </c>
      <c r="H1022" s="18" t="n">
        <f aca="false">G1022*$B$1/1000000</f>
        <v>14.1925910261753</v>
      </c>
    </row>
    <row r="1023" customFormat="false" ht="15" hidden="false" customHeight="false" outlineLevel="0" collapsed="false">
      <c r="A1023" s="4" t="s">
        <v>207</v>
      </c>
      <c r="B1023" s="4" t="s">
        <v>208</v>
      </c>
      <c r="C1023" s="4" t="s">
        <v>43</v>
      </c>
      <c r="D1023" s="16" t="n">
        <v>44470</v>
      </c>
      <c r="E1023" s="4" t="n">
        <v>2021</v>
      </c>
      <c r="F1023" s="4" t="n">
        <v>10</v>
      </c>
      <c r="G1023" s="17" t="n">
        <v>11387939</v>
      </c>
      <c r="H1023" s="18" t="n">
        <f aca="false">G1023*$B$1/1000000</f>
        <v>25.1061079356479</v>
      </c>
    </row>
    <row r="1024" customFormat="false" ht="15" hidden="false" customHeight="false" outlineLevel="0" collapsed="false">
      <c r="A1024" s="4" t="s">
        <v>207</v>
      </c>
      <c r="B1024" s="4" t="s">
        <v>208</v>
      </c>
      <c r="C1024" s="4" t="s">
        <v>43</v>
      </c>
      <c r="D1024" s="16" t="n">
        <v>44501</v>
      </c>
      <c r="E1024" s="4" t="n">
        <v>2021</v>
      </c>
      <c r="F1024" s="4" t="n">
        <v>11</v>
      </c>
      <c r="G1024" s="17" t="n">
        <v>13013969</v>
      </c>
      <c r="H1024" s="18" t="n">
        <f aca="false">G1024*$B$1/1000000</f>
        <v>28.6908904574546</v>
      </c>
    </row>
    <row r="1025" customFormat="false" ht="15" hidden="false" customHeight="false" outlineLevel="0" collapsed="false">
      <c r="A1025" s="4" t="s">
        <v>207</v>
      </c>
      <c r="B1025" s="4" t="s">
        <v>208</v>
      </c>
      <c r="C1025" s="4" t="s">
        <v>43</v>
      </c>
      <c r="D1025" s="16" t="n">
        <v>44531</v>
      </c>
      <c r="E1025" s="4" t="n">
        <v>2021</v>
      </c>
      <c r="F1025" s="4" t="n">
        <v>12</v>
      </c>
      <c r="G1025" s="17" t="n">
        <v>10458825</v>
      </c>
      <c r="H1025" s="18" t="n">
        <f aca="false">G1025*$B$1/1000000</f>
        <v>23.0577621929703</v>
      </c>
    </row>
    <row r="1026" customFormat="false" ht="15" hidden="false" customHeight="false" outlineLevel="0" collapsed="false">
      <c r="A1026" s="4" t="s">
        <v>207</v>
      </c>
      <c r="B1026" s="4" t="s">
        <v>208</v>
      </c>
      <c r="C1026" s="4" t="s">
        <v>43</v>
      </c>
      <c r="D1026" s="16" t="n">
        <v>44562</v>
      </c>
      <c r="E1026" s="4" t="n">
        <v>2022</v>
      </c>
      <c r="F1026" s="4" t="n">
        <v>1</v>
      </c>
      <c r="G1026" s="17" t="n">
        <v>15530525</v>
      </c>
      <c r="H1026" s="18" t="n">
        <f aca="false">G1026*$B$1/1000000</f>
        <v>34.238946744207</v>
      </c>
    </row>
    <row r="1027" customFormat="false" ht="15" hidden="false" customHeight="false" outlineLevel="0" collapsed="false">
      <c r="A1027" s="4" t="s">
        <v>207</v>
      </c>
      <c r="B1027" s="4" t="s">
        <v>208</v>
      </c>
      <c r="C1027" s="4" t="s">
        <v>43</v>
      </c>
      <c r="D1027" s="16" t="n">
        <v>44593</v>
      </c>
      <c r="E1027" s="4" t="n">
        <v>2022</v>
      </c>
      <c r="F1027" s="4" t="n">
        <v>2</v>
      </c>
      <c r="G1027" s="17" t="n">
        <v>11888419</v>
      </c>
      <c r="H1027" s="18" t="n">
        <f aca="false">G1027*$B$1/1000000</f>
        <v>26.2094774654314</v>
      </c>
    </row>
    <row r="1028" customFormat="false" ht="15" hidden="false" customHeight="false" outlineLevel="0" collapsed="false">
      <c r="A1028" s="4" t="s">
        <v>207</v>
      </c>
      <c r="B1028" s="4" t="s">
        <v>208</v>
      </c>
      <c r="C1028" s="4" t="s">
        <v>43</v>
      </c>
      <c r="D1028" s="16" t="n">
        <v>44621</v>
      </c>
      <c r="E1028" s="4" t="n">
        <v>2022</v>
      </c>
      <c r="F1028" s="4" t="n">
        <v>3</v>
      </c>
      <c r="G1028" s="17" t="n">
        <v>19084665</v>
      </c>
      <c r="H1028" s="18" t="n">
        <f aca="false">G1028*$B$1/1000000</f>
        <v>42.0744841894289</v>
      </c>
    </row>
    <row r="1029" customFormat="false" ht="15" hidden="false" customHeight="false" outlineLevel="0" collapsed="false">
      <c r="A1029" s="4" t="s">
        <v>207</v>
      </c>
      <c r="B1029" s="4" t="s">
        <v>208</v>
      </c>
      <c r="C1029" s="4" t="s">
        <v>43</v>
      </c>
      <c r="D1029" s="16" t="n">
        <v>44652</v>
      </c>
      <c r="E1029" s="4" t="n">
        <v>2022</v>
      </c>
      <c r="F1029" s="4" t="n">
        <v>4</v>
      </c>
      <c r="G1029" s="17" t="n">
        <v>13853364</v>
      </c>
      <c r="H1029" s="18" t="n">
        <f aca="false">G1029*$B$1/1000000</f>
        <v>30.5414396631224</v>
      </c>
    </row>
    <row r="1030" customFormat="false" ht="15" hidden="false" customHeight="false" outlineLevel="0" collapsed="false">
      <c r="A1030" s="4" t="s">
        <v>207</v>
      </c>
      <c r="B1030" s="4" t="s">
        <v>208</v>
      </c>
      <c r="C1030" s="4" t="s">
        <v>43</v>
      </c>
      <c r="D1030" s="16" t="n">
        <v>44682</v>
      </c>
      <c r="E1030" s="4" t="n">
        <v>2022</v>
      </c>
      <c r="F1030" s="4" t="n">
        <v>5</v>
      </c>
      <c r="G1030" s="17" t="n">
        <v>24855198</v>
      </c>
      <c r="H1030" s="18" t="n">
        <f aca="false">G1030*$B$1/1000000</f>
        <v>54.7963317813609</v>
      </c>
    </row>
    <row r="1031" customFormat="false" ht="15" hidden="false" customHeight="false" outlineLevel="0" collapsed="false">
      <c r="A1031" s="4" t="s">
        <v>207</v>
      </c>
      <c r="B1031" s="4" t="s">
        <v>208</v>
      </c>
      <c r="C1031" s="4" t="s">
        <v>43</v>
      </c>
      <c r="D1031" s="16" t="n">
        <v>44713</v>
      </c>
      <c r="E1031" s="4" t="n">
        <v>2022</v>
      </c>
      <c r="F1031" s="4" t="n">
        <v>6</v>
      </c>
      <c r="G1031" s="17" t="n">
        <v>25788090</v>
      </c>
      <c r="H1031" s="18" t="n">
        <f aca="false">G1031*$B$1/1000000</f>
        <v>56.8530065883038</v>
      </c>
    </row>
    <row r="1032" customFormat="false" ht="15" hidden="false" customHeight="false" outlineLevel="0" collapsed="false">
      <c r="A1032" s="4" t="s">
        <v>207</v>
      </c>
      <c r="B1032" s="4" t="s">
        <v>208</v>
      </c>
      <c r="C1032" s="4" t="s">
        <v>43</v>
      </c>
      <c r="D1032" s="16" t="n">
        <v>44743</v>
      </c>
      <c r="E1032" s="4" t="n">
        <v>2022</v>
      </c>
      <c r="F1032" s="4" t="n">
        <v>7</v>
      </c>
      <c r="G1032" s="17" t="n">
        <v>21258948</v>
      </c>
      <c r="H1032" s="18" t="n">
        <f aca="false">G1032*$B$1/1000000</f>
        <v>46.8679576775328</v>
      </c>
    </row>
    <row r="1033" customFormat="false" ht="15" hidden="false" customHeight="false" outlineLevel="0" collapsed="false">
      <c r="A1033" s="4" t="s">
        <v>207</v>
      </c>
      <c r="B1033" s="4" t="s">
        <v>208</v>
      </c>
      <c r="C1033" s="4" t="s">
        <v>43</v>
      </c>
      <c r="D1033" s="16" t="n">
        <v>44774</v>
      </c>
      <c r="E1033" s="4" t="n">
        <v>2022</v>
      </c>
      <c r="F1033" s="4" t="n">
        <v>8</v>
      </c>
      <c r="G1033" s="17" t="n">
        <v>20541407</v>
      </c>
      <c r="H1033" s="18" t="n">
        <f aca="false">G1033*$B$1/1000000</f>
        <v>45.2860505568279</v>
      </c>
    </row>
    <row r="1034" customFormat="false" ht="15" hidden="false" customHeight="false" outlineLevel="0" collapsed="false">
      <c r="A1034" s="4" t="s">
        <v>207</v>
      </c>
      <c r="B1034" s="4" t="s">
        <v>208</v>
      </c>
      <c r="C1034" s="4" t="s">
        <v>43</v>
      </c>
      <c r="D1034" s="16" t="n">
        <v>44805</v>
      </c>
      <c r="E1034" s="4" t="n">
        <v>2022</v>
      </c>
      <c r="F1034" s="4" t="n">
        <v>9</v>
      </c>
      <c r="G1034" s="17" t="n">
        <v>15150475</v>
      </c>
      <c r="H1034" s="18" t="n">
        <f aca="false">G1034*$B$1/1000000</f>
        <v>33.4010799167729</v>
      </c>
    </row>
    <row r="1035" customFormat="false" ht="15" hidden="false" customHeight="false" outlineLevel="0" collapsed="false">
      <c r="A1035" s="4" t="s">
        <v>207</v>
      </c>
      <c r="B1035" s="4" t="s">
        <v>208</v>
      </c>
      <c r="C1035" s="4" t="s">
        <v>43</v>
      </c>
      <c r="D1035" s="16" t="n">
        <v>44835</v>
      </c>
      <c r="E1035" s="4" t="n">
        <v>2022</v>
      </c>
      <c r="F1035" s="4" t="n">
        <v>10</v>
      </c>
      <c r="G1035" s="17" t="n">
        <v>18123333</v>
      </c>
      <c r="H1035" s="18" t="n">
        <f aca="false">G1035*$B$1/1000000</f>
        <v>39.9551099151206</v>
      </c>
    </row>
    <row r="1036" customFormat="false" ht="15" hidden="false" customHeight="false" outlineLevel="0" collapsed="false">
      <c r="A1036" s="4" t="s">
        <v>207</v>
      </c>
      <c r="B1036" s="4" t="s">
        <v>208</v>
      </c>
      <c r="C1036" s="4" t="s">
        <v>43</v>
      </c>
      <c r="D1036" s="16" t="n">
        <v>44866</v>
      </c>
      <c r="E1036" s="4" t="n">
        <v>2022</v>
      </c>
      <c r="F1036" s="4" t="n">
        <v>11</v>
      </c>
      <c r="G1036" s="17" t="n">
        <v>24923066</v>
      </c>
      <c r="H1036" s="18" t="n">
        <f aca="false">G1036*$B$1/1000000</f>
        <v>54.9459551094606</v>
      </c>
    </row>
    <row r="1037" customFormat="false" ht="15" hidden="false" customHeight="false" outlineLevel="0" collapsed="false">
      <c r="A1037" s="4" t="s">
        <v>207</v>
      </c>
      <c r="B1037" s="4" t="s">
        <v>208</v>
      </c>
      <c r="C1037" s="4" t="s">
        <v>43</v>
      </c>
      <c r="D1037" s="16" t="n">
        <v>44896</v>
      </c>
      <c r="E1037" s="4" t="n">
        <v>2022</v>
      </c>
      <c r="F1037" s="4" t="n">
        <v>12</v>
      </c>
      <c r="G1037" s="17" t="n">
        <v>21141452</v>
      </c>
      <c r="H1037" s="18" t="n">
        <f aca="false">G1037*$B$1/1000000</f>
        <v>46.6089233379559</v>
      </c>
    </row>
    <row r="1038" customFormat="false" ht="15" hidden="false" customHeight="false" outlineLevel="0" collapsed="false">
      <c r="A1038" s="4" t="s">
        <v>207</v>
      </c>
      <c r="B1038" s="4" t="s">
        <v>208</v>
      </c>
      <c r="C1038" s="4" t="s">
        <v>43</v>
      </c>
      <c r="D1038" s="16" t="n">
        <v>44927</v>
      </c>
      <c r="E1038" s="4" t="n">
        <v>2023</v>
      </c>
      <c r="F1038" s="4" t="n">
        <v>1</v>
      </c>
      <c r="G1038" s="17" t="n">
        <v>19784543</v>
      </c>
      <c r="H1038" s="18" t="n">
        <f aca="false">G1038*$B$1/1000000</f>
        <v>43.6174510607641</v>
      </c>
    </row>
    <row r="1039" customFormat="false" ht="15" hidden="false" customHeight="false" outlineLevel="0" collapsed="false">
      <c r="A1039" s="4" t="s">
        <v>207</v>
      </c>
      <c r="B1039" s="4" t="s">
        <v>208</v>
      </c>
      <c r="C1039" s="4" t="s">
        <v>43</v>
      </c>
      <c r="D1039" s="16" t="n">
        <v>44958</v>
      </c>
      <c r="E1039" s="4" t="n">
        <v>2023</v>
      </c>
      <c r="F1039" s="4" t="n">
        <v>2</v>
      </c>
      <c r="G1039" s="17" t="n">
        <v>14694976</v>
      </c>
      <c r="H1039" s="18" t="n">
        <f aca="false">G1039*$B$1/1000000</f>
        <v>32.3968765171428</v>
      </c>
    </row>
    <row r="1040" customFormat="false" ht="15" hidden="false" customHeight="false" outlineLevel="0" collapsed="false">
      <c r="A1040" s="4" t="s">
        <v>207</v>
      </c>
      <c r="B1040" s="4" t="s">
        <v>208</v>
      </c>
      <c r="C1040" s="4" t="s">
        <v>43</v>
      </c>
      <c r="D1040" s="16" t="n">
        <v>44986</v>
      </c>
      <c r="E1040" s="4" t="n">
        <v>2023</v>
      </c>
      <c r="F1040" s="4" t="n">
        <v>3</v>
      </c>
      <c r="G1040" s="17" t="n">
        <v>21715266</v>
      </c>
      <c r="H1040" s="18" t="n">
        <f aca="false">G1040*$B$1/1000000</f>
        <v>47.8739666630902</v>
      </c>
    </row>
    <row r="1041" customFormat="false" ht="15" hidden="false" customHeight="false" outlineLevel="0" collapsed="false">
      <c r="A1041" s="4" t="s">
        <v>207</v>
      </c>
      <c r="B1041" s="4" t="s">
        <v>208</v>
      </c>
      <c r="C1041" s="4" t="s">
        <v>43</v>
      </c>
      <c r="D1041" s="16" t="n">
        <v>45017</v>
      </c>
      <c r="E1041" s="4" t="n">
        <v>2023</v>
      </c>
      <c r="F1041" s="4" t="n">
        <v>4</v>
      </c>
      <c r="G1041" s="17" t="n">
        <v>19961123</v>
      </c>
      <c r="H1041" s="18" t="n">
        <f aca="false">G1041*$B$1/1000000</f>
        <v>44.0067433233303</v>
      </c>
    </row>
    <row r="1042" customFormat="false" ht="15" hidden="false" customHeight="false" outlineLevel="0" collapsed="false">
      <c r="A1042" s="4" t="s">
        <v>207</v>
      </c>
      <c r="B1042" s="4" t="s">
        <v>208</v>
      </c>
      <c r="C1042" s="4" t="s">
        <v>43</v>
      </c>
      <c r="D1042" s="16" t="n">
        <v>45047</v>
      </c>
      <c r="E1042" s="4" t="n">
        <v>2023</v>
      </c>
      <c r="F1042" s="4" t="n">
        <v>5</v>
      </c>
      <c r="G1042" s="17" t="n">
        <v>37054419</v>
      </c>
      <c r="H1042" s="18" t="n">
        <f aca="false">G1042*$B$1/1000000</f>
        <v>81.6910103669085</v>
      </c>
    </row>
    <row r="1043" customFormat="false" ht="15" hidden="false" customHeight="false" outlineLevel="0" collapsed="false">
      <c r="A1043" s="4" t="s">
        <v>207</v>
      </c>
      <c r="B1043" s="4" t="s">
        <v>208</v>
      </c>
      <c r="C1043" s="4" t="s">
        <v>43</v>
      </c>
      <c r="D1043" s="16" t="n">
        <v>45078</v>
      </c>
      <c r="E1043" s="4" t="n">
        <v>2023</v>
      </c>
      <c r="F1043" s="4" t="n">
        <v>6</v>
      </c>
      <c r="G1043" s="17" t="n">
        <v>19255549</v>
      </c>
      <c r="H1043" s="18" t="n">
        <f aca="false">G1043*$B$1/1000000</f>
        <v>42.4512189215412</v>
      </c>
    </row>
    <row r="1044" customFormat="false" ht="15" hidden="false" customHeight="false" outlineLevel="0" collapsed="false">
      <c r="A1044" s="4" t="s">
        <v>207</v>
      </c>
      <c r="B1044" s="4" t="s">
        <v>208</v>
      </c>
      <c r="C1044" s="4" t="s">
        <v>43</v>
      </c>
      <c r="D1044" s="16" t="n">
        <v>45108</v>
      </c>
      <c r="E1044" s="4" t="n">
        <v>2023</v>
      </c>
      <c r="F1044" s="4" t="n">
        <v>7</v>
      </c>
      <c r="G1044" s="17" t="n">
        <v>16094717</v>
      </c>
      <c r="H1044" s="18" t="n">
        <f aca="false">G1044*$B$1/1000000</f>
        <v>35.4827771904738</v>
      </c>
    </row>
    <row r="1045" customFormat="false" ht="15" hidden="false" customHeight="false" outlineLevel="0" collapsed="false">
      <c r="A1045" s="4" t="s">
        <v>207</v>
      </c>
      <c r="B1045" s="4" t="s">
        <v>208</v>
      </c>
      <c r="C1045" s="4" t="s">
        <v>43</v>
      </c>
      <c r="D1045" s="16" t="n">
        <v>45139</v>
      </c>
      <c r="E1045" s="4" t="n">
        <v>2023</v>
      </c>
      <c r="F1045" s="4" t="n">
        <v>8</v>
      </c>
      <c r="G1045" s="17" t="n">
        <v>24466227</v>
      </c>
      <c r="H1045" s="18" t="n">
        <f aca="false">G1045*$B$1/1000000</f>
        <v>53.9387975155173</v>
      </c>
    </row>
    <row r="1046" customFormat="false" ht="15" hidden="false" customHeight="false" outlineLevel="0" collapsed="false">
      <c r="A1046" s="4" t="s">
        <v>207</v>
      </c>
      <c r="B1046" s="4" t="s">
        <v>208</v>
      </c>
      <c r="C1046" s="4" t="s">
        <v>43</v>
      </c>
      <c r="D1046" s="16" t="n">
        <v>45170</v>
      </c>
      <c r="E1046" s="4" t="n">
        <v>2023</v>
      </c>
      <c r="F1046" s="4" t="n">
        <v>9</v>
      </c>
      <c r="G1046" s="17" t="n">
        <v>17583305</v>
      </c>
      <c r="H1046" s="18" t="n">
        <f aca="false">G1046*$B$1/1000000</f>
        <v>38.7645519698882</v>
      </c>
    </row>
    <row r="1047" customFormat="false" ht="15" hidden="false" customHeight="false" outlineLevel="0" collapsed="false">
      <c r="A1047" s="4" t="s">
        <v>207</v>
      </c>
      <c r="B1047" s="4" t="s">
        <v>208</v>
      </c>
      <c r="C1047" s="4" t="s">
        <v>43</v>
      </c>
      <c r="D1047" s="16" t="n">
        <v>45200</v>
      </c>
      <c r="E1047" s="4" t="n">
        <v>2023</v>
      </c>
      <c r="F1047" s="4" t="n">
        <v>10</v>
      </c>
      <c r="G1047" s="17" t="n">
        <v>31576192</v>
      </c>
      <c r="H1047" s="18" t="n">
        <f aca="false">G1047*$B$1/1000000</f>
        <v>69.613587195079</v>
      </c>
    </row>
    <row r="1048" customFormat="false" ht="15" hidden="false" customHeight="false" outlineLevel="0" collapsed="false">
      <c r="A1048" s="4" t="s">
        <v>207</v>
      </c>
      <c r="B1048" s="4" t="s">
        <v>208</v>
      </c>
      <c r="C1048" s="4" t="s">
        <v>43</v>
      </c>
      <c r="D1048" s="16" t="n">
        <v>45231</v>
      </c>
      <c r="E1048" s="4" t="n">
        <v>2023</v>
      </c>
      <c r="F1048" s="4" t="n">
        <v>11</v>
      </c>
      <c r="G1048" s="17" t="n">
        <v>25967951</v>
      </c>
      <c r="H1048" s="18" t="n">
        <f aca="false">G1048*$B$1/1000000</f>
        <v>57.2495322176923</v>
      </c>
    </row>
    <row r="1049" customFormat="false" ht="15" hidden="false" customHeight="false" outlineLevel="0" collapsed="false">
      <c r="A1049" s="4" t="s">
        <v>207</v>
      </c>
      <c r="B1049" s="4" t="s">
        <v>208</v>
      </c>
      <c r="C1049" s="4" t="s">
        <v>43</v>
      </c>
      <c r="D1049" s="16" t="n">
        <v>45261</v>
      </c>
      <c r="E1049" s="4" t="n">
        <v>2023</v>
      </c>
      <c r="F1049" s="4" t="n">
        <v>12</v>
      </c>
      <c r="G1049" s="17" t="n">
        <v>20170945</v>
      </c>
      <c r="H1049" s="18" t="n">
        <f aca="false">G1049*$B$1/1000000</f>
        <v>44.4693216510922</v>
      </c>
    </row>
    <row r="1050" customFormat="false" ht="15" hidden="false" customHeight="false" outlineLevel="0" collapsed="false">
      <c r="A1050" s="4" t="s">
        <v>207</v>
      </c>
      <c r="B1050" s="4" t="s">
        <v>208</v>
      </c>
      <c r="C1050" s="4" t="s">
        <v>43</v>
      </c>
      <c r="D1050" s="16" t="n">
        <v>45292</v>
      </c>
      <c r="E1050" s="4" t="n">
        <v>2024</v>
      </c>
      <c r="F1050" s="4" t="n">
        <v>1</v>
      </c>
      <c r="G1050" s="17" t="n">
        <v>28717332</v>
      </c>
      <c r="H1050" s="18" t="n">
        <f aca="false">G1050*$B$1/1000000</f>
        <v>63.3108797663769</v>
      </c>
    </row>
    <row r="1051" customFormat="false" ht="15" hidden="false" customHeight="false" outlineLevel="0" collapsed="false">
      <c r="A1051" s="4" t="s">
        <v>207</v>
      </c>
      <c r="B1051" s="4" t="s">
        <v>208</v>
      </c>
      <c r="C1051" s="4" t="s">
        <v>43</v>
      </c>
      <c r="D1051" s="16" t="n">
        <v>45323</v>
      </c>
      <c r="E1051" s="4" t="n">
        <v>2024</v>
      </c>
      <c r="F1051" s="4" t="n">
        <v>2</v>
      </c>
      <c r="G1051" s="17" t="n">
        <v>16044376</v>
      </c>
      <c r="H1051" s="18" t="n">
        <f aca="false">G1051*$B$1/1000000</f>
        <v>35.3717942830672</v>
      </c>
    </row>
    <row r="1052" customFormat="false" ht="15" hidden="false" customHeight="false" outlineLevel="0" collapsed="false">
      <c r="A1052" s="4" t="s">
        <v>207</v>
      </c>
      <c r="B1052" s="4" t="s">
        <v>208</v>
      </c>
      <c r="C1052" s="4" t="s">
        <v>43</v>
      </c>
      <c r="D1052" s="16" t="n">
        <v>45352</v>
      </c>
      <c r="E1052" s="4" t="n">
        <v>2024</v>
      </c>
      <c r="F1052" s="4" t="n">
        <v>3</v>
      </c>
      <c r="G1052" s="17" t="n">
        <v>18501717</v>
      </c>
      <c r="H1052" s="18" t="n">
        <f aca="false">G1052*$B$1/1000000</f>
        <v>40.7893038412667</v>
      </c>
    </row>
    <row r="1053" customFormat="false" ht="15" hidden="false" customHeight="false" outlineLevel="0" collapsed="false">
      <c r="A1053" s="4" t="s">
        <v>207</v>
      </c>
      <c r="B1053" s="4" t="s">
        <v>208</v>
      </c>
      <c r="C1053" s="4" t="s">
        <v>43</v>
      </c>
      <c r="D1053" s="16" t="n">
        <v>45383</v>
      </c>
      <c r="E1053" s="4" t="n">
        <v>2024</v>
      </c>
      <c r="F1053" s="4" t="n">
        <v>4</v>
      </c>
      <c r="G1053" s="17" t="n">
        <v>28107109</v>
      </c>
      <c r="H1053" s="18" t="n">
        <f aca="false">G1053*$B$1/1000000</f>
        <v>61.9655683362037</v>
      </c>
    </row>
    <row r="1054" customFormat="false" ht="15" hidden="false" customHeight="false" outlineLevel="0" collapsed="false">
      <c r="A1054" s="4" t="s">
        <v>207</v>
      </c>
      <c r="B1054" s="4" t="s">
        <v>208</v>
      </c>
      <c r="C1054" s="4" t="s">
        <v>43</v>
      </c>
      <c r="D1054" s="16" t="n">
        <v>45413</v>
      </c>
      <c r="E1054" s="4" t="n">
        <v>2024</v>
      </c>
      <c r="F1054" s="4" t="n">
        <v>5</v>
      </c>
      <c r="G1054" s="17" t="n">
        <v>14621681</v>
      </c>
      <c r="H1054" s="18" t="n">
        <f aca="false">G1054*$B$1/1000000</f>
        <v>32.2352887020743</v>
      </c>
    </row>
    <row r="1055" customFormat="false" ht="15" hidden="false" customHeight="false" outlineLevel="0" collapsed="false">
      <c r="A1055" s="4" t="s">
        <v>207</v>
      </c>
      <c r="B1055" s="4" t="s">
        <v>208</v>
      </c>
      <c r="C1055" s="4" t="s">
        <v>43</v>
      </c>
      <c r="D1055" s="16" t="n">
        <v>45444</v>
      </c>
      <c r="E1055" s="4" t="n">
        <v>2024</v>
      </c>
      <c r="F1055" s="4" t="n">
        <v>6</v>
      </c>
      <c r="G1055" s="17" t="n">
        <v>29231014</v>
      </c>
      <c r="H1055" s="18" t="n">
        <f aca="false">G1055*$B$1/1000000</f>
        <v>64.4433547240141</v>
      </c>
    </row>
    <row r="1056" customFormat="false" ht="15" hidden="false" customHeight="false" outlineLevel="0" collapsed="false">
      <c r="A1056" s="4" t="s">
        <v>207</v>
      </c>
      <c r="B1056" s="4" t="s">
        <v>208</v>
      </c>
      <c r="C1056" s="4" t="s">
        <v>43</v>
      </c>
      <c r="D1056" s="16" t="n">
        <v>45474</v>
      </c>
      <c r="E1056" s="4" t="n">
        <v>2024</v>
      </c>
      <c r="F1056" s="4" t="n">
        <v>7</v>
      </c>
      <c r="G1056" s="17" t="n">
        <v>21586493</v>
      </c>
      <c r="H1056" s="18" t="n">
        <f aca="false">G1056*$B$1/1000000</f>
        <v>47.5900707942067</v>
      </c>
    </row>
    <row r="1057" customFormat="false" ht="15" hidden="false" customHeight="false" outlineLevel="0" collapsed="false">
      <c r="A1057" s="4" t="s">
        <v>207</v>
      </c>
      <c r="B1057" s="4" t="s">
        <v>208</v>
      </c>
      <c r="C1057" s="4" t="s">
        <v>43</v>
      </c>
      <c r="D1057" s="16" t="n">
        <v>45505</v>
      </c>
      <c r="E1057" s="4" t="n">
        <v>2024</v>
      </c>
      <c r="F1057" s="4" t="n">
        <v>8</v>
      </c>
      <c r="G1057" s="17" t="n">
        <v>18842662</v>
      </c>
      <c r="H1057" s="18" t="n">
        <f aca="false">G1057*$B$1/1000000</f>
        <v>41.5409589010734</v>
      </c>
    </row>
    <row r="1058" customFormat="false" ht="15" hidden="false" customHeight="false" outlineLevel="0" collapsed="false">
      <c r="A1058" s="4" t="s">
        <v>207</v>
      </c>
      <c r="B1058" s="4" t="s">
        <v>208</v>
      </c>
      <c r="C1058" s="4" t="s">
        <v>43</v>
      </c>
      <c r="D1058" s="16" t="n">
        <v>45536</v>
      </c>
      <c r="E1058" s="4" t="n">
        <v>2024</v>
      </c>
      <c r="F1058" s="4" t="n">
        <v>9</v>
      </c>
      <c r="G1058" s="17" t="n">
        <v>30275946</v>
      </c>
      <c r="H1058" s="18" t="n">
        <f aca="false">G1058*$B$1/1000000</f>
        <v>66.747035449509</v>
      </c>
    </row>
    <row r="1059" customFormat="false" ht="15" hidden="false" customHeight="false" outlineLevel="0" collapsed="false">
      <c r="A1059" s="4" t="s">
        <v>207</v>
      </c>
      <c r="B1059" s="4" t="s">
        <v>208</v>
      </c>
      <c r="C1059" s="4" t="s">
        <v>43</v>
      </c>
      <c r="D1059" s="16" t="n">
        <v>45566</v>
      </c>
      <c r="E1059" s="4" t="n">
        <v>2024</v>
      </c>
      <c r="F1059" s="4" t="n">
        <v>10</v>
      </c>
      <c r="G1059" s="17" t="n">
        <v>22788624</v>
      </c>
      <c r="H1059" s="18" t="n">
        <f aca="false">G1059*$B$1/1000000</f>
        <v>50.2403159912338</v>
      </c>
    </row>
    <row r="1060" customFormat="false" ht="15" hidden="false" customHeight="false" outlineLevel="0" collapsed="false">
      <c r="A1060" s="4" t="s">
        <v>207</v>
      </c>
      <c r="B1060" s="4" t="s">
        <v>208</v>
      </c>
      <c r="C1060" s="4" t="s">
        <v>43</v>
      </c>
      <c r="D1060" s="16" t="n">
        <v>45597</v>
      </c>
      <c r="E1060" s="4" t="n">
        <v>2024</v>
      </c>
      <c r="F1060" s="4" t="n">
        <v>11</v>
      </c>
      <c r="G1060" s="17" t="n">
        <v>19207091</v>
      </c>
      <c r="H1060" s="18" t="n">
        <f aca="false">G1060*$B$1/1000000</f>
        <v>42.3443873185315</v>
      </c>
    </row>
    <row r="1061" customFormat="false" ht="15" hidden="false" customHeight="false" outlineLevel="0" collapsed="false">
      <c r="A1061" s="4" t="s">
        <v>207</v>
      </c>
      <c r="B1061" s="4" t="s">
        <v>208</v>
      </c>
      <c r="C1061" s="4" t="s">
        <v>43</v>
      </c>
      <c r="D1061" s="16" t="n">
        <v>45627</v>
      </c>
      <c r="E1061" s="4" t="n">
        <v>2024</v>
      </c>
      <c r="F1061" s="4" t="n">
        <v>12</v>
      </c>
      <c r="G1061" s="17" t="n">
        <v>29924983</v>
      </c>
      <c r="H1061" s="18" t="n">
        <f aca="false">G1061*$B$1/1000000</f>
        <v>65.9732944802767</v>
      </c>
    </row>
    <row r="1062" customFormat="false" ht="15" hidden="false" customHeight="false" outlineLevel="0" collapsed="false">
      <c r="A1062" s="4" t="s">
        <v>207</v>
      </c>
      <c r="B1062" s="4" t="s">
        <v>208</v>
      </c>
      <c r="C1062" s="4" t="s">
        <v>43</v>
      </c>
      <c r="D1062" s="16" t="n">
        <v>45658</v>
      </c>
      <c r="E1062" s="4" t="n">
        <v>2025</v>
      </c>
      <c r="F1062" s="4" t="n">
        <v>1</v>
      </c>
      <c r="G1062" s="17" t="n">
        <v>14300740</v>
      </c>
      <c r="H1062" s="18" t="n">
        <f aca="false">G1062*$B$1/1000000</f>
        <v>31.5277349131952</v>
      </c>
    </row>
    <row r="1063" customFormat="false" ht="15" hidden="false" customHeight="false" outlineLevel="0" collapsed="false">
      <c r="A1063" s="4" t="s">
        <v>207</v>
      </c>
      <c r="B1063" s="4" t="s">
        <v>208</v>
      </c>
      <c r="C1063" s="4" t="s">
        <v>43</v>
      </c>
      <c r="D1063" s="16" t="n">
        <v>45689</v>
      </c>
      <c r="E1063" s="4" t="n">
        <v>2025</v>
      </c>
      <c r="F1063" s="4" t="n">
        <v>2</v>
      </c>
      <c r="G1063" s="17" t="n">
        <v>24881563</v>
      </c>
      <c r="H1063" s="18" t="n">
        <f aca="false">G1063*$B$1/1000000</f>
        <v>54.854456656786</v>
      </c>
    </row>
    <row r="1064" customFormat="false" ht="15" hidden="false" customHeight="false" outlineLevel="0" collapsed="false">
      <c r="A1064" s="4" t="s">
        <v>207</v>
      </c>
      <c r="B1064" s="4" t="s">
        <v>208</v>
      </c>
      <c r="C1064" s="4" t="s">
        <v>43</v>
      </c>
      <c r="D1064" s="16" t="n">
        <v>45717</v>
      </c>
      <c r="E1064" s="4" t="n">
        <v>2025</v>
      </c>
      <c r="F1064" s="4" t="n">
        <v>3</v>
      </c>
      <c r="G1064" s="17" t="n">
        <v>23802421</v>
      </c>
      <c r="H1064" s="18" t="n">
        <f aca="false">G1064*$B$1/1000000</f>
        <v>52.4753557913975</v>
      </c>
    </row>
    <row r="1065" customFormat="false" ht="15" hidden="false" customHeight="false" outlineLevel="0" collapsed="false">
      <c r="A1065" s="4" t="s">
        <v>207</v>
      </c>
      <c r="B1065" s="4" t="s">
        <v>208</v>
      </c>
      <c r="C1065" s="4" t="s">
        <v>43</v>
      </c>
      <c r="D1065" s="16" t="n">
        <v>45748</v>
      </c>
      <c r="E1065" s="4" t="n">
        <v>2025</v>
      </c>
      <c r="F1065" s="4" t="n">
        <v>4</v>
      </c>
      <c r="G1065" s="17" t="n">
        <v>22390133</v>
      </c>
      <c r="H1065" s="18" t="n">
        <f aca="false">G1065*$B$1/1000000</f>
        <v>49.3617937180302</v>
      </c>
    </row>
    <row r="1066" customFormat="false" ht="15" hidden="false" customHeight="false" outlineLevel="0" collapsed="false">
      <c r="A1066" s="4" t="s">
        <v>207</v>
      </c>
      <c r="B1066" s="4" t="s">
        <v>208</v>
      </c>
      <c r="C1066" s="4" t="s">
        <v>43</v>
      </c>
      <c r="D1066" s="16" t="n">
        <v>45778</v>
      </c>
      <c r="E1066" s="4" t="n">
        <v>2025</v>
      </c>
      <c r="F1066" s="4" t="n">
        <v>5</v>
      </c>
      <c r="G1066" s="17" t="n">
        <v>27418938</v>
      </c>
      <c r="H1066" s="18" t="n">
        <f aca="false">G1066*$B$1/1000000</f>
        <v>60.4484109819026</v>
      </c>
    </row>
    <row r="1067" customFormat="false" ht="15" hidden="false" customHeight="false" outlineLevel="0" collapsed="false">
      <c r="A1067" s="4" t="s">
        <v>207</v>
      </c>
      <c r="B1067" s="4" t="s">
        <v>208</v>
      </c>
      <c r="C1067" s="4" t="s">
        <v>43</v>
      </c>
      <c r="D1067" s="16" t="n">
        <v>45809</v>
      </c>
      <c r="E1067" s="4" t="n">
        <v>2025</v>
      </c>
      <c r="F1067" s="4" t="n">
        <v>6</v>
      </c>
      <c r="G1067" s="17" t="n">
        <v>13661531</v>
      </c>
      <c r="H1067" s="18" t="n">
        <f aca="false">G1067*$B$1/1000000</f>
        <v>30.1185202917051</v>
      </c>
    </row>
    <row r="1068" customFormat="false" ht="15" hidden="false" customHeight="false" outlineLevel="0" collapsed="false">
      <c r="A1068" s="4" t="s">
        <v>207</v>
      </c>
      <c r="B1068" s="4" t="s">
        <v>208</v>
      </c>
      <c r="C1068" s="4" t="s">
        <v>43</v>
      </c>
      <c r="D1068" s="16" t="n">
        <v>45839</v>
      </c>
      <c r="E1068" s="4" t="n">
        <v>2025</v>
      </c>
      <c r="F1068" s="4" t="n">
        <v>7</v>
      </c>
      <c r="G1068" s="17" t="n">
        <v>22443071</v>
      </c>
      <c r="H1068" s="18" t="n">
        <f aca="false">G1068*$B$1/1000000</f>
        <v>49.4785020303857</v>
      </c>
    </row>
    <row r="1069" customFormat="false" ht="15" hidden="false" customHeight="false" outlineLevel="0" collapsed="false">
      <c r="A1069" s="4" t="s">
        <v>207</v>
      </c>
      <c r="B1069" s="4" t="s">
        <v>208</v>
      </c>
      <c r="C1069" s="4" t="s">
        <v>43</v>
      </c>
      <c r="D1069" s="16" t="n">
        <v>45870</v>
      </c>
      <c r="E1069" s="4" t="n">
        <v>2025</v>
      </c>
      <c r="F1069" s="4" t="n">
        <v>8</v>
      </c>
      <c r="G1069" s="17" t="n">
        <v>17824219</v>
      </c>
      <c r="H1069" s="18" t="n">
        <f aca="false">G1069*$B$1/1000000</f>
        <v>39.2956764242086</v>
      </c>
    </row>
    <row r="1070" customFormat="false" ht="15" hidden="false" customHeight="false" outlineLevel="0" collapsed="false">
      <c r="A1070" s="4" t="s">
        <v>207</v>
      </c>
      <c r="B1070" s="4" t="s">
        <v>208</v>
      </c>
      <c r="C1070" s="4" t="s">
        <v>43</v>
      </c>
      <c r="D1070" s="16" t="n">
        <v>45901</v>
      </c>
      <c r="E1070" s="4" t="n">
        <v>2025</v>
      </c>
      <c r="F1070" s="4" t="n">
        <v>9</v>
      </c>
      <c r="G1070" s="17" t="n">
        <v>25355582</v>
      </c>
      <c r="H1070" s="18" t="n">
        <f aca="false">G1070*$B$1/1000000</f>
        <v>55.8994896673727</v>
      </c>
    </row>
    <row r="1071" customFormat="false" ht="15" hidden="false" customHeight="false" outlineLevel="0" collapsed="false">
      <c r="A1071" s="4" t="s">
        <v>207</v>
      </c>
      <c r="B1071" s="4" t="s">
        <v>208</v>
      </c>
      <c r="C1071" s="4" t="s">
        <v>43</v>
      </c>
      <c r="D1071" s="16" t="n">
        <v>45931</v>
      </c>
      <c r="E1071" s="4" t="n">
        <v>2025</v>
      </c>
      <c r="F1071" s="4" t="n">
        <v>10</v>
      </c>
      <c r="G1071" s="17" t="n">
        <v>18967714</v>
      </c>
      <c r="H1071" s="18" t="n">
        <f aca="false">G1071*$B$1/1000000</f>
        <v>41.8166513691809</v>
      </c>
    </row>
    <row r="1072" customFormat="false" ht="15" hidden="false" customHeight="false" outlineLevel="0" collapsed="false">
      <c r="A1072" s="4" t="s">
        <v>207</v>
      </c>
      <c r="B1072" s="4" t="s">
        <v>208</v>
      </c>
      <c r="C1072" s="4" t="s">
        <v>43</v>
      </c>
      <c r="D1072" s="16" t="n">
        <v>45962</v>
      </c>
      <c r="E1072" s="4" t="n">
        <v>2025</v>
      </c>
      <c r="F1072" s="4" t="n">
        <v>11</v>
      </c>
      <c r="G1072" s="17" t="n">
        <v>22896510</v>
      </c>
      <c r="H1072" s="18" t="n">
        <f aca="false">G1072*$B$1/1000000</f>
        <v>50.4781639074147</v>
      </c>
    </row>
    <row r="1073" customFormat="false" ht="15" hidden="false" customHeight="false" outlineLevel="0" collapsed="false">
      <c r="A1073" s="4" t="s">
        <v>207</v>
      </c>
      <c r="B1073" s="4" t="s">
        <v>208</v>
      </c>
      <c r="C1073" s="4" t="s">
        <v>43</v>
      </c>
      <c r="D1073" s="16" t="n">
        <v>45992</v>
      </c>
      <c r="E1073" s="4" t="n">
        <v>2025</v>
      </c>
      <c r="F1073" s="4" t="n">
        <v>12</v>
      </c>
      <c r="G1073" s="17" t="n">
        <v>32041109</v>
      </c>
      <c r="H1073" s="18" t="n">
        <f aca="false">G1073*$B$1/1000000</f>
        <v>70.6385537305616</v>
      </c>
    </row>
    <row r="1074" customFormat="false" ht="15" hidden="false" customHeight="false" outlineLevel="0" collapsed="false">
      <c r="A1074" s="4" t="s">
        <v>207</v>
      </c>
      <c r="B1074" s="4" t="s">
        <v>208</v>
      </c>
      <c r="C1074" s="4" t="s">
        <v>43</v>
      </c>
      <c r="D1074" s="16" t="n">
        <v>46023</v>
      </c>
      <c r="E1074" s="4" t="n">
        <v>2026</v>
      </c>
      <c r="F1074" s="4" t="n">
        <v>1</v>
      </c>
      <c r="G1074" s="17" t="n">
        <v>20535213</v>
      </c>
      <c r="H1074" s="18" t="n">
        <f aca="false">G1074*$B$1/1000000</f>
        <v>45.2723951243082</v>
      </c>
    </row>
    <row r="1075" customFormat="false" ht="15" hidden="false" customHeight="false" outlineLevel="0" collapsed="false">
      <c r="A1075" s="4" t="s">
        <v>207</v>
      </c>
      <c r="B1075" s="4" t="s">
        <v>208</v>
      </c>
      <c r="C1075" s="4" t="s">
        <v>43</v>
      </c>
      <c r="D1075" s="16" t="n">
        <v>46054</v>
      </c>
      <c r="E1075" s="4" t="n">
        <v>2026</v>
      </c>
      <c r="F1075" s="4" t="n">
        <v>2</v>
      </c>
      <c r="G1075" s="17" t="n">
        <v>20854963</v>
      </c>
      <c r="H1075" s="18" t="n">
        <f aca="false">G1075*$B$1/1000000</f>
        <v>45.9773232076447</v>
      </c>
    </row>
    <row r="1076" customFormat="false" ht="15" hidden="false" customHeight="false" outlineLevel="0" collapsed="false">
      <c r="A1076" s="4" t="s">
        <v>207</v>
      </c>
      <c r="B1076" s="4" t="s">
        <v>208</v>
      </c>
      <c r="C1076" s="4" t="s">
        <v>43</v>
      </c>
      <c r="D1076" s="16" t="n">
        <v>46082</v>
      </c>
      <c r="E1076" s="4" t="n">
        <v>2026</v>
      </c>
      <c r="F1076" s="4" t="n">
        <v>3</v>
      </c>
      <c r="G1076" s="17" t="n">
        <v>21611289</v>
      </c>
      <c r="H1076" s="18" t="n">
        <f aca="false">G1076*$B$1/1000000</f>
        <v>47.6447366167381</v>
      </c>
    </row>
    <row r="1077" customFormat="false" ht="15" hidden="false" customHeight="false" outlineLevel="0" collapsed="false">
      <c r="A1077" s="4" t="s">
        <v>207</v>
      </c>
      <c r="B1077" s="4" t="s">
        <v>208</v>
      </c>
      <c r="C1077" s="4" t="s">
        <v>43</v>
      </c>
      <c r="D1077" s="16" t="n">
        <v>46113</v>
      </c>
      <c r="E1077" s="4" t="n">
        <v>2026</v>
      </c>
      <c r="F1077" s="4" t="n">
        <v>4</v>
      </c>
      <c r="G1077" s="17" t="n">
        <v>24328100</v>
      </c>
      <c r="H1077" s="18" t="n">
        <f aca="false">G1077*$B$1/1000000</f>
        <v>53.634279606629</v>
      </c>
    </row>
    <row r="1078" customFormat="false" ht="15" hidden="false" customHeight="false" outlineLevel="0" collapsed="false">
      <c r="A1078" s="4" t="s">
        <v>207</v>
      </c>
      <c r="B1078" s="4" t="s">
        <v>208</v>
      </c>
      <c r="C1078" s="4" t="s">
        <v>43</v>
      </c>
      <c r="D1078" s="16" t="n">
        <v>46143</v>
      </c>
      <c r="E1078" s="4" t="n">
        <v>2026</v>
      </c>
      <c r="F1078" s="4" t="n">
        <v>5</v>
      </c>
      <c r="G1078" s="17" t="n">
        <v>23434299</v>
      </c>
      <c r="H1078" s="18" t="n">
        <f aca="false">G1078*$B$1/1000000</f>
        <v>51.6637857025968</v>
      </c>
    </row>
    <row r="1079" customFormat="false" ht="15" hidden="false" customHeight="false" outlineLevel="0" collapsed="false">
      <c r="A1079" s="4" t="s">
        <v>207</v>
      </c>
      <c r="B1079" s="4" t="s">
        <v>208</v>
      </c>
      <c r="C1079" s="4" t="s">
        <v>43</v>
      </c>
      <c r="D1079" s="16" t="n">
        <v>46174</v>
      </c>
      <c r="E1079" s="4" t="n">
        <v>2026</v>
      </c>
      <c r="F1079" s="4" t="n">
        <v>6</v>
      </c>
      <c r="G1079" s="17" t="n">
        <v>24554968</v>
      </c>
      <c r="H1079" s="18" t="n">
        <f aca="false">G1079*$B$1/1000000</f>
        <v>54.1344379316029</v>
      </c>
    </row>
    <row r="1080" customFormat="false" ht="15" hidden="false" customHeight="false" outlineLevel="0" collapsed="false">
      <c r="A1080" s="4" t="s">
        <v>207</v>
      </c>
      <c r="B1080" s="4" t="s">
        <v>208</v>
      </c>
      <c r="C1080" s="4" t="s">
        <v>43</v>
      </c>
      <c r="D1080" s="16" t="n">
        <v>46204</v>
      </c>
      <c r="E1080" s="4" t="n">
        <v>2026</v>
      </c>
      <c r="F1080" s="4" t="n">
        <v>7</v>
      </c>
      <c r="G1080" s="17" t="n">
        <v>23364431</v>
      </c>
      <c r="H1080" s="18" t="n">
        <f aca="false">G1080*$B$1/1000000</f>
        <v>51.5097531292534</v>
      </c>
    </row>
    <row r="1081" customFormat="false" ht="15" hidden="false" customHeight="false" outlineLevel="0" collapsed="false">
      <c r="A1081" s="4" t="s">
        <v>207</v>
      </c>
      <c r="B1081" s="4" t="s">
        <v>208</v>
      </c>
      <c r="C1081" s="4" t="s">
        <v>43</v>
      </c>
      <c r="D1081" s="16" t="n">
        <v>46235</v>
      </c>
      <c r="E1081" s="4" t="n">
        <v>2026</v>
      </c>
      <c r="F1081" s="4" t="n">
        <v>8</v>
      </c>
      <c r="G1081" s="17" t="n">
        <v>16593528</v>
      </c>
      <c r="H1081" s="18" t="n">
        <f aca="false">G1081*$B$1/1000000</f>
        <v>36.5824672051014</v>
      </c>
    </row>
    <row r="1082" customFormat="false" ht="15" hidden="false" customHeight="false" outlineLevel="0" collapsed="false">
      <c r="A1082" s="4" t="s">
        <v>207</v>
      </c>
      <c r="B1082" s="4" t="s">
        <v>208</v>
      </c>
      <c r="C1082" s="4" t="s">
        <v>45</v>
      </c>
      <c r="D1082" s="16" t="n">
        <v>43831</v>
      </c>
      <c r="E1082" s="4" t="n">
        <v>2020</v>
      </c>
      <c r="F1082" s="4" t="n">
        <v>1</v>
      </c>
      <c r="G1082" s="17" t="n">
        <v>746830</v>
      </c>
      <c r="H1082" s="18" t="n">
        <f aca="false">G1082*$B$1/1000000</f>
        <v>1.64647831267624</v>
      </c>
    </row>
    <row r="1083" customFormat="false" ht="15" hidden="false" customHeight="false" outlineLevel="0" collapsed="false">
      <c r="A1083" s="4" t="s">
        <v>207</v>
      </c>
      <c r="B1083" s="4" t="s">
        <v>208</v>
      </c>
      <c r="C1083" s="4" t="s">
        <v>45</v>
      </c>
      <c r="D1083" s="16" t="n">
        <v>43862</v>
      </c>
      <c r="E1083" s="4" t="n">
        <v>2020</v>
      </c>
      <c r="F1083" s="4" t="n">
        <v>2</v>
      </c>
      <c r="G1083" s="17" t="n">
        <v>1165985</v>
      </c>
      <c r="H1083" s="18" t="n">
        <f aca="false">G1083*$B$1/1000000</f>
        <v>2.57055690773777</v>
      </c>
    </row>
    <row r="1084" customFormat="false" ht="15" hidden="false" customHeight="false" outlineLevel="0" collapsed="false">
      <c r="A1084" s="4" t="s">
        <v>207</v>
      </c>
      <c r="B1084" s="4" t="s">
        <v>208</v>
      </c>
      <c r="C1084" s="4" t="s">
        <v>45</v>
      </c>
      <c r="D1084" s="16" t="n">
        <v>43891</v>
      </c>
      <c r="E1084" s="4" t="n">
        <v>2020</v>
      </c>
      <c r="F1084" s="4" t="n">
        <v>3</v>
      </c>
      <c r="G1084" s="17" t="n">
        <v>1043662</v>
      </c>
      <c r="H1084" s="18" t="n">
        <f aca="false">G1084*$B$1/1000000</f>
        <v>2.30088085476521</v>
      </c>
    </row>
    <row r="1085" customFormat="false" ht="15" hidden="false" customHeight="false" outlineLevel="0" collapsed="false">
      <c r="A1085" s="4" t="s">
        <v>207</v>
      </c>
      <c r="B1085" s="4" t="s">
        <v>208</v>
      </c>
      <c r="C1085" s="4" t="s">
        <v>45</v>
      </c>
      <c r="D1085" s="16" t="n">
        <v>43922</v>
      </c>
      <c r="E1085" s="4" t="n">
        <v>2020</v>
      </c>
      <c r="F1085" s="4" t="n">
        <v>4</v>
      </c>
      <c r="G1085" s="17" t="n">
        <v>266570</v>
      </c>
      <c r="H1085" s="18" t="n">
        <f aca="false">G1085*$B$1/1000000</f>
        <v>0.587686252306555</v>
      </c>
    </row>
    <row r="1086" customFormat="false" ht="15" hidden="false" customHeight="false" outlineLevel="0" collapsed="false">
      <c r="A1086" s="4" t="s">
        <v>207</v>
      </c>
      <c r="B1086" s="4" t="s">
        <v>208</v>
      </c>
      <c r="C1086" s="4" t="s">
        <v>45</v>
      </c>
      <c r="D1086" s="16" t="n">
        <v>43952</v>
      </c>
      <c r="E1086" s="4" t="n">
        <v>2020</v>
      </c>
      <c r="F1086" s="4" t="n">
        <v>5</v>
      </c>
      <c r="G1086" s="17" t="n">
        <v>368310</v>
      </c>
      <c r="H1086" s="18" t="n">
        <f aca="false">G1086*$B$1/1000000</f>
        <v>0.811984557853574</v>
      </c>
    </row>
    <row r="1087" customFormat="false" ht="15" hidden="false" customHeight="false" outlineLevel="0" collapsed="false">
      <c r="A1087" s="4" t="s">
        <v>207</v>
      </c>
      <c r="B1087" s="4" t="s">
        <v>208</v>
      </c>
      <c r="C1087" s="4" t="s">
        <v>45</v>
      </c>
      <c r="D1087" s="16" t="n">
        <v>43983</v>
      </c>
      <c r="E1087" s="4" t="n">
        <v>2020</v>
      </c>
      <c r="F1087" s="4" t="n">
        <v>6</v>
      </c>
      <c r="G1087" s="17" t="n">
        <v>323490</v>
      </c>
      <c r="H1087" s="18" t="n">
        <f aca="false">G1087*$B$1/1000000</f>
        <v>0.713173371942257</v>
      </c>
    </row>
    <row r="1088" customFormat="false" ht="15" hidden="false" customHeight="false" outlineLevel="0" collapsed="false">
      <c r="A1088" s="4" t="s">
        <v>207</v>
      </c>
      <c r="B1088" s="4" t="s">
        <v>208</v>
      </c>
      <c r="C1088" s="4" t="s">
        <v>45</v>
      </c>
      <c r="D1088" s="16" t="n">
        <v>44013</v>
      </c>
      <c r="E1088" s="4" t="n">
        <v>2020</v>
      </c>
      <c r="F1088" s="4" t="n">
        <v>7</v>
      </c>
      <c r="G1088" s="17" t="n">
        <v>331070</v>
      </c>
      <c r="H1088" s="18" t="n">
        <f aca="false">G1088*$B$1/1000000</f>
        <v>0.72988441141588</v>
      </c>
    </row>
    <row r="1089" customFormat="false" ht="15" hidden="false" customHeight="false" outlineLevel="0" collapsed="false">
      <c r="A1089" s="4" t="s">
        <v>207</v>
      </c>
      <c r="B1089" s="4" t="s">
        <v>208</v>
      </c>
      <c r="C1089" s="4" t="s">
        <v>45</v>
      </c>
      <c r="D1089" s="16" t="n">
        <v>44044</v>
      </c>
      <c r="E1089" s="4" t="n">
        <v>2020</v>
      </c>
      <c r="F1089" s="4" t="n">
        <v>8</v>
      </c>
      <c r="G1089" s="17" t="n">
        <v>372200</v>
      </c>
      <c r="H1089" s="18" t="n">
        <f aca="false">G1089*$B$1/1000000</f>
        <v>0.82056053985257</v>
      </c>
    </row>
    <row r="1090" customFormat="false" ht="15" hidden="false" customHeight="false" outlineLevel="0" collapsed="false">
      <c r="A1090" s="4" t="s">
        <v>207</v>
      </c>
      <c r="B1090" s="4" t="s">
        <v>208</v>
      </c>
      <c r="C1090" s="4" t="s">
        <v>45</v>
      </c>
      <c r="D1090" s="16" t="n">
        <v>44075</v>
      </c>
      <c r="E1090" s="4" t="n">
        <v>2020</v>
      </c>
      <c r="F1090" s="4" t="n">
        <v>9</v>
      </c>
      <c r="G1090" s="17" t="n">
        <v>244930</v>
      </c>
      <c r="H1090" s="18" t="n">
        <f aca="false">G1090*$B$1/1000000</f>
        <v>0.539978218769721</v>
      </c>
    </row>
    <row r="1091" customFormat="false" ht="15" hidden="false" customHeight="false" outlineLevel="0" collapsed="false">
      <c r="A1091" s="4" t="s">
        <v>207</v>
      </c>
      <c r="B1091" s="4" t="s">
        <v>208</v>
      </c>
      <c r="C1091" s="4" t="s">
        <v>45</v>
      </c>
      <c r="D1091" s="16" t="n">
        <v>44105</v>
      </c>
      <c r="E1091" s="4" t="n">
        <v>2020</v>
      </c>
      <c r="F1091" s="4" t="n">
        <v>10</v>
      </c>
      <c r="G1091" s="17" t="n">
        <v>337450</v>
      </c>
      <c r="H1091" s="18" t="n">
        <f aca="false">G1091*$B$1/1000000</f>
        <v>0.743949903743283</v>
      </c>
    </row>
    <row r="1092" customFormat="false" ht="15" hidden="false" customHeight="false" outlineLevel="0" collapsed="false">
      <c r="A1092" s="4" t="s">
        <v>207</v>
      </c>
      <c r="B1092" s="4" t="s">
        <v>208</v>
      </c>
      <c r="C1092" s="4" t="s">
        <v>45</v>
      </c>
      <c r="D1092" s="16" t="n">
        <v>44136</v>
      </c>
      <c r="E1092" s="4" t="n">
        <v>2020</v>
      </c>
      <c r="F1092" s="4" t="n">
        <v>11</v>
      </c>
      <c r="G1092" s="17" t="n">
        <v>420890</v>
      </c>
      <c r="H1092" s="18" t="n">
        <f aca="false">G1092*$B$1/1000000</f>
        <v>0.927903615310447</v>
      </c>
    </row>
    <row r="1093" customFormat="false" ht="15" hidden="false" customHeight="false" outlineLevel="0" collapsed="false">
      <c r="A1093" s="4" t="s">
        <v>207</v>
      </c>
      <c r="B1093" s="4" t="s">
        <v>208</v>
      </c>
      <c r="C1093" s="4" t="s">
        <v>45</v>
      </c>
      <c r="D1093" s="16" t="n">
        <v>44166</v>
      </c>
      <c r="E1093" s="4" t="n">
        <v>2020</v>
      </c>
      <c r="F1093" s="4" t="n">
        <v>12</v>
      </c>
      <c r="G1093" s="17" t="n">
        <v>723600</v>
      </c>
      <c r="H1093" s="18" t="n">
        <f aca="false">G1093*$B$1/1000000</f>
        <v>1.59526492917066</v>
      </c>
    </row>
    <row r="1094" customFormat="false" ht="15" hidden="false" customHeight="false" outlineLevel="0" collapsed="false">
      <c r="A1094" s="4" t="s">
        <v>207</v>
      </c>
      <c r="B1094" s="4" t="s">
        <v>208</v>
      </c>
      <c r="C1094" s="4" t="s">
        <v>45</v>
      </c>
      <c r="D1094" s="16" t="n">
        <v>44197</v>
      </c>
      <c r="E1094" s="4" t="n">
        <v>2021</v>
      </c>
      <c r="F1094" s="4" t="n">
        <v>1</v>
      </c>
      <c r="G1094" s="17" t="n">
        <v>727629</v>
      </c>
      <c r="H1094" s="18" t="n">
        <f aca="false">G1094*$B$1/1000000</f>
        <v>1.60414735371409</v>
      </c>
    </row>
    <row r="1095" customFormat="false" ht="15" hidden="false" customHeight="false" outlineLevel="0" collapsed="false">
      <c r="A1095" s="4" t="s">
        <v>207</v>
      </c>
      <c r="B1095" s="4" t="s">
        <v>208</v>
      </c>
      <c r="C1095" s="4" t="s">
        <v>45</v>
      </c>
      <c r="D1095" s="16" t="n">
        <v>44228</v>
      </c>
      <c r="E1095" s="4" t="n">
        <v>2021</v>
      </c>
      <c r="F1095" s="4" t="n">
        <v>2</v>
      </c>
      <c r="G1095" s="17" t="n">
        <v>516070</v>
      </c>
      <c r="H1095" s="18" t="n">
        <f aca="false">G1095*$B$1/1000000</f>
        <v>1.13773959645813</v>
      </c>
    </row>
    <row r="1096" customFormat="false" ht="15" hidden="false" customHeight="false" outlineLevel="0" collapsed="false">
      <c r="A1096" s="4" t="s">
        <v>207</v>
      </c>
      <c r="B1096" s="4" t="s">
        <v>208</v>
      </c>
      <c r="C1096" s="4" t="s">
        <v>45</v>
      </c>
      <c r="D1096" s="16" t="n">
        <v>44256</v>
      </c>
      <c r="E1096" s="4" t="n">
        <v>2021</v>
      </c>
      <c r="F1096" s="4" t="n">
        <v>3</v>
      </c>
      <c r="G1096" s="17" t="n">
        <v>791680</v>
      </c>
      <c r="H1096" s="18" t="n">
        <f aca="false">G1096*$B$1/1000000</f>
        <v>1.74535563726621</v>
      </c>
    </row>
    <row r="1097" customFormat="false" ht="15" hidden="false" customHeight="false" outlineLevel="0" collapsed="false">
      <c r="A1097" s="4" t="s">
        <v>207</v>
      </c>
      <c r="B1097" s="4" t="s">
        <v>208</v>
      </c>
      <c r="C1097" s="4" t="s">
        <v>45</v>
      </c>
      <c r="D1097" s="16" t="n">
        <v>44287</v>
      </c>
      <c r="E1097" s="4" t="n">
        <v>2021</v>
      </c>
      <c r="F1097" s="4" t="n">
        <v>4</v>
      </c>
      <c r="G1097" s="17" t="n">
        <v>457930</v>
      </c>
      <c r="H1097" s="18" t="n">
        <f aca="false">G1097*$B$1/1000000</f>
        <v>1.00956283722377</v>
      </c>
    </row>
    <row r="1098" customFormat="false" ht="15" hidden="false" customHeight="false" outlineLevel="0" collapsed="false">
      <c r="A1098" s="4" t="s">
        <v>207</v>
      </c>
      <c r="B1098" s="4" t="s">
        <v>208</v>
      </c>
      <c r="C1098" s="4" t="s">
        <v>45</v>
      </c>
      <c r="D1098" s="16" t="n">
        <v>44317</v>
      </c>
      <c r="E1098" s="4" t="n">
        <v>2021</v>
      </c>
      <c r="F1098" s="4" t="n">
        <v>5</v>
      </c>
      <c r="G1098" s="17" t="n">
        <v>437800</v>
      </c>
      <c r="H1098" s="18" t="n">
        <f aca="false">G1098*$B$1/1000000</f>
        <v>0.96518378384593</v>
      </c>
    </row>
    <row r="1099" customFormat="false" ht="15" hidden="false" customHeight="false" outlineLevel="0" collapsed="false">
      <c r="A1099" s="4" t="s">
        <v>207</v>
      </c>
      <c r="B1099" s="4" t="s">
        <v>208</v>
      </c>
      <c r="C1099" s="4" t="s">
        <v>45</v>
      </c>
      <c r="D1099" s="16" t="n">
        <v>44348</v>
      </c>
      <c r="E1099" s="4" t="n">
        <v>2021</v>
      </c>
      <c r="F1099" s="4" t="n">
        <v>6</v>
      </c>
      <c r="G1099" s="17" t="n">
        <v>102080</v>
      </c>
      <c r="H1099" s="18" t="n">
        <f aca="false">G1099*$B$1/1000000</f>
        <v>0.225047877238448</v>
      </c>
    </row>
    <row r="1100" customFormat="false" ht="15" hidden="false" customHeight="false" outlineLevel="0" collapsed="false">
      <c r="A1100" s="4" t="s">
        <v>207</v>
      </c>
      <c r="B1100" s="4" t="s">
        <v>208</v>
      </c>
      <c r="C1100" s="4" t="s">
        <v>45</v>
      </c>
      <c r="D1100" s="16" t="n">
        <v>44378</v>
      </c>
      <c r="E1100" s="4" t="n">
        <v>2021</v>
      </c>
      <c r="F1100" s="4" t="n">
        <v>7</v>
      </c>
      <c r="G1100" s="17" t="n">
        <v>456180</v>
      </c>
      <c r="H1100" s="18" t="n">
        <f aca="false">G1100*$B$1/1000000</f>
        <v>1.00570474763553</v>
      </c>
    </row>
    <row r="1101" customFormat="false" ht="15" hidden="false" customHeight="false" outlineLevel="0" collapsed="false">
      <c r="A1101" s="4" t="s">
        <v>207</v>
      </c>
      <c r="B1101" s="4" t="s">
        <v>208</v>
      </c>
      <c r="C1101" s="4" t="s">
        <v>45</v>
      </c>
      <c r="D1101" s="16" t="n">
        <v>44409</v>
      </c>
      <c r="E1101" s="4" t="n">
        <v>2021</v>
      </c>
      <c r="F1101" s="4" t="n">
        <v>8</v>
      </c>
      <c r="G1101" s="17" t="n">
        <v>231660</v>
      </c>
      <c r="H1101" s="18" t="n">
        <f aca="false">G1101*$B$1/1000000</f>
        <v>0.510722876577771</v>
      </c>
    </row>
    <row r="1102" customFormat="false" ht="15" hidden="false" customHeight="false" outlineLevel="0" collapsed="false">
      <c r="A1102" s="4" t="s">
        <v>207</v>
      </c>
      <c r="B1102" s="4" t="s">
        <v>208</v>
      </c>
      <c r="C1102" s="4" t="s">
        <v>45</v>
      </c>
      <c r="D1102" s="16" t="n">
        <v>44440</v>
      </c>
      <c r="E1102" s="4" t="n">
        <v>2021</v>
      </c>
      <c r="F1102" s="4" t="n">
        <v>9</v>
      </c>
      <c r="G1102" s="17" t="n">
        <v>421530</v>
      </c>
      <c r="H1102" s="18" t="n">
        <f aca="false">G1102*$B$1/1000000</f>
        <v>0.929314573788431</v>
      </c>
    </row>
    <row r="1103" customFormat="false" ht="15" hidden="false" customHeight="false" outlineLevel="0" collapsed="false">
      <c r="A1103" s="4" t="s">
        <v>207</v>
      </c>
      <c r="B1103" s="4" t="s">
        <v>208</v>
      </c>
      <c r="C1103" s="4" t="s">
        <v>45</v>
      </c>
      <c r="D1103" s="16" t="n">
        <v>44470</v>
      </c>
      <c r="E1103" s="4" t="n">
        <v>2021</v>
      </c>
      <c r="F1103" s="4" t="n">
        <v>10</v>
      </c>
      <c r="G1103" s="17" t="n">
        <v>167780</v>
      </c>
      <c r="H1103" s="18" t="n">
        <f aca="false">G1103*$B$1/1000000</f>
        <v>0.369891583493993</v>
      </c>
    </row>
    <row r="1104" customFormat="false" ht="15" hidden="false" customHeight="false" outlineLevel="0" collapsed="false">
      <c r="A1104" s="4" t="s">
        <v>207</v>
      </c>
      <c r="B1104" s="4" t="s">
        <v>208</v>
      </c>
      <c r="C1104" s="4" t="s">
        <v>45</v>
      </c>
      <c r="D1104" s="16" t="n">
        <v>44501</v>
      </c>
      <c r="E1104" s="4" t="n">
        <v>2021</v>
      </c>
      <c r="F1104" s="4" t="n">
        <v>11</v>
      </c>
      <c r="G1104" s="17" t="n">
        <v>2869318</v>
      </c>
      <c r="H1104" s="18" t="n">
        <f aca="false">G1104*$B$1/1000000</f>
        <v>6.3257633720814</v>
      </c>
    </row>
    <row r="1105" customFormat="false" ht="15" hidden="false" customHeight="false" outlineLevel="0" collapsed="false">
      <c r="A1105" s="4" t="s">
        <v>207</v>
      </c>
      <c r="B1105" s="4" t="s">
        <v>208</v>
      </c>
      <c r="C1105" s="4" t="s">
        <v>45</v>
      </c>
      <c r="D1105" s="16" t="n">
        <v>44531</v>
      </c>
      <c r="E1105" s="4" t="n">
        <v>2021</v>
      </c>
      <c r="F1105" s="4" t="n">
        <v>12</v>
      </c>
      <c r="G1105" s="17" t="n">
        <v>808433</v>
      </c>
      <c r="H1105" s="18" t="n">
        <f aca="false">G1105*$B$1/1000000</f>
        <v>1.78228968005006</v>
      </c>
    </row>
    <row r="1106" customFormat="false" ht="15" hidden="false" customHeight="false" outlineLevel="0" collapsed="false">
      <c r="A1106" s="4" t="s">
        <v>207</v>
      </c>
      <c r="B1106" s="4" t="s">
        <v>208</v>
      </c>
      <c r="C1106" s="4" t="s">
        <v>45</v>
      </c>
      <c r="D1106" s="16" t="n">
        <v>44562</v>
      </c>
      <c r="E1106" s="4" t="n">
        <v>2022</v>
      </c>
      <c r="F1106" s="4" t="n">
        <v>1</v>
      </c>
      <c r="G1106" s="17" t="n">
        <v>148210</v>
      </c>
      <c r="H1106" s="18" t="n">
        <f aca="false">G1106*$B$1/1000000</f>
        <v>0.326747118784389</v>
      </c>
    </row>
    <row r="1107" customFormat="false" ht="15" hidden="false" customHeight="false" outlineLevel="0" collapsed="false">
      <c r="A1107" s="4" t="s">
        <v>207</v>
      </c>
      <c r="B1107" s="4" t="s">
        <v>208</v>
      </c>
      <c r="C1107" s="4" t="s">
        <v>45</v>
      </c>
      <c r="D1107" s="16" t="n">
        <v>44896</v>
      </c>
      <c r="E1107" s="4" t="n">
        <v>2022</v>
      </c>
      <c r="F1107" s="4" t="n">
        <v>12</v>
      </c>
      <c r="G1107" s="17" t="n">
        <v>3065072</v>
      </c>
      <c r="H1107" s="18" t="n">
        <f aca="false">G1107*$B$1/1000000</f>
        <v>6.75732706879902</v>
      </c>
    </row>
    <row r="1108" customFormat="false" ht="15" hidden="false" customHeight="false" outlineLevel="0" collapsed="false">
      <c r="A1108" s="4" t="s">
        <v>207</v>
      </c>
      <c r="B1108" s="4" t="s">
        <v>208</v>
      </c>
      <c r="C1108" s="4" t="s">
        <v>45</v>
      </c>
      <c r="D1108" s="16" t="n">
        <v>44927</v>
      </c>
      <c r="E1108" s="4" t="n">
        <v>2023</v>
      </c>
      <c r="F1108" s="4" t="n">
        <v>1</v>
      </c>
      <c r="G1108" s="17" t="n">
        <v>257620</v>
      </c>
      <c r="H1108" s="18" t="n">
        <f aca="false">G1108*$B$1/1000000</f>
        <v>0.567954879840997</v>
      </c>
    </row>
    <row r="1109" customFormat="false" ht="15" hidden="false" customHeight="false" outlineLevel="0" collapsed="false">
      <c r="A1109" s="4" t="s">
        <v>207</v>
      </c>
      <c r="B1109" s="4" t="s">
        <v>208</v>
      </c>
      <c r="C1109" s="4" t="s">
        <v>45</v>
      </c>
      <c r="D1109" s="16" t="n">
        <v>44958</v>
      </c>
      <c r="E1109" s="4" t="n">
        <v>2023</v>
      </c>
      <c r="F1109" s="4" t="n">
        <v>2</v>
      </c>
      <c r="G1109" s="17" t="n">
        <v>9764007</v>
      </c>
      <c r="H1109" s="18" t="n">
        <f aca="false">G1109*$B$1/1000000</f>
        <v>21.5259507121018</v>
      </c>
    </row>
    <row r="1110" customFormat="false" ht="15" hidden="false" customHeight="false" outlineLevel="0" collapsed="false">
      <c r="A1110" s="4" t="s">
        <v>207</v>
      </c>
      <c r="B1110" s="4" t="s">
        <v>208</v>
      </c>
      <c r="C1110" s="4" t="s">
        <v>45</v>
      </c>
      <c r="D1110" s="16" t="n">
        <v>44986</v>
      </c>
      <c r="E1110" s="4" t="n">
        <v>2023</v>
      </c>
      <c r="F1110" s="4" t="n">
        <v>3</v>
      </c>
      <c r="G1110" s="17" t="n">
        <v>7229450</v>
      </c>
      <c r="H1110" s="18" t="n">
        <f aca="false">G1110*$B$1/1000000</f>
        <v>15.9382090135335</v>
      </c>
    </row>
    <row r="1111" customFormat="false" ht="15" hidden="false" customHeight="false" outlineLevel="0" collapsed="false">
      <c r="A1111" s="4" t="s">
        <v>207</v>
      </c>
      <c r="B1111" s="4" t="s">
        <v>208</v>
      </c>
      <c r="C1111" s="4" t="s">
        <v>45</v>
      </c>
      <c r="D1111" s="16" t="n">
        <v>45017</v>
      </c>
      <c r="E1111" s="4" t="n">
        <v>2023</v>
      </c>
      <c r="F1111" s="4" t="n">
        <v>4</v>
      </c>
      <c r="G1111" s="17" t="n">
        <v>11440603</v>
      </c>
      <c r="H1111" s="18" t="n">
        <f aca="false">G1111*$B$1/1000000</f>
        <v>25.222212181405</v>
      </c>
    </row>
    <row r="1112" customFormat="false" ht="15" hidden="false" customHeight="false" outlineLevel="0" collapsed="false">
      <c r="A1112" s="4" t="s">
        <v>207</v>
      </c>
      <c r="B1112" s="4" t="s">
        <v>208</v>
      </c>
      <c r="C1112" s="4" t="s">
        <v>45</v>
      </c>
      <c r="D1112" s="16" t="n">
        <v>45047</v>
      </c>
      <c r="E1112" s="4" t="n">
        <v>2023</v>
      </c>
      <c r="F1112" s="4" t="n">
        <v>5</v>
      </c>
      <c r="G1112" s="17" t="n">
        <v>7318829</v>
      </c>
      <c r="H1112" s="18" t="n">
        <f aca="false">G1112*$B$1/1000000</f>
        <v>16.1352559788518</v>
      </c>
    </row>
    <row r="1113" customFormat="false" ht="15" hidden="false" customHeight="false" outlineLevel="0" collapsed="false">
      <c r="A1113" s="4" t="s">
        <v>207</v>
      </c>
      <c r="B1113" s="4" t="s">
        <v>208</v>
      </c>
      <c r="C1113" s="4" t="s">
        <v>45</v>
      </c>
      <c r="D1113" s="16" t="n">
        <v>45078</v>
      </c>
      <c r="E1113" s="4" t="n">
        <v>2023</v>
      </c>
      <c r="F1113" s="4" t="n">
        <v>6</v>
      </c>
      <c r="G1113" s="17" t="n">
        <v>2872118</v>
      </c>
      <c r="H1113" s="18" t="n">
        <f aca="false">G1113*$B$1/1000000</f>
        <v>6.33193631542258</v>
      </c>
    </row>
    <row r="1114" customFormat="false" ht="15" hidden="false" customHeight="false" outlineLevel="0" collapsed="false">
      <c r="A1114" s="4" t="s">
        <v>207</v>
      </c>
      <c r="B1114" s="4" t="s">
        <v>208</v>
      </c>
      <c r="C1114" s="4" t="s">
        <v>45</v>
      </c>
      <c r="D1114" s="16" t="n">
        <v>45108</v>
      </c>
      <c r="E1114" s="4" t="n">
        <v>2023</v>
      </c>
      <c r="F1114" s="4" t="n">
        <v>7</v>
      </c>
      <c r="G1114" s="17" t="n">
        <v>7152237</v>
      </c>
      <c r="H1114" s="18" t="n">
        <f aca="false">G1114*$B$1/1000000</f>
        <v>15.7679834870326</v>
      </c>
    </row>
    <row r="1115" customFormat="false" ht="15" hidden="false" customHeight="false" outlineLevel="0" collapsed="false">
      <c r="A1115" s="4" t="s">
        <v>207</v>
      </c>
      <c r="B1115" s="4" t="s">
        <v>208</v>
      </c>
      <c r="C1115" s="4" t="s">
        <v>45</v>
      </c>
      <c r="D1115" s="16" t="n">
        <v>45139</v>
      </c>
      <c r="E1115" s="4" t="n">
        <v>2023</v>
      </c>
      <c r="F1115" s="4" t="n">
        <v>8</v>
      </c>
      <c r="G1115" s="17" t="n">
        <v>5940891</v>
      </c>
      <c r="H1115" s="18" t="n">
        <f aca="false">G1115*$B$1/1000000</f>
        <v>13.0974226925451</v>
      </c>
    </row>
    <row r="1116" customFormat="false" ht="15" hidden="false" customHeight="false" outlineLevel="0" collapsed="false">
      <c r="A1116" s="4" t="s">
        <v>207</v>
      </c>
      <c r="B1116" s="4" t="s">
        <v>208</v>
      </c>
      <c r="C1116" s="4" t="s">
        <v>45</v>
      </c>
      <c r="D1116" s="16" t="n">
        <v>45170</v>
      </c>
      <c r="E1116" s="4" t="n">
        <v>2023</v>
      </c>
      <c r="F1116" s="4" t="n">
        <v>9</v>
      </c>
      <c r="G1116" s="17" t="n">
        <v>500920</v>
      </c>
      <c r="H1116" s="18" t="n">
        <f aca="false">G1116*$B$1/1000000</f>
        <v>1.1043395637371</v>
      </c>
    </row>
    <row r="1117" customFormat="false" ht="15" hidden="false" customHeight="false" outlineLevel="0" collapsed="false">
      <c r="A1117" s="4" t="s">
        <v>207</v>
      </c>
      <c r="B1117" s="4" t="s">
        <v>208</v>
      </c>
      <c r="C1117" s="4" t="s">
        <v>45</v>
      </c>
      <c r="D1117" s="16" t="n">
        <v>45200</v>
      </c>
      <c r="E1117" s="4" t="n">
        <v>2023</v>
      </c>
      <c r="F1117" s="4" t="n">
        <v>10</v>
      </c>
      <c r="G1117" s="17" t="n">
        <v>14183890</v>
      </c>
      <c r="H1117" s="18" t="n">
        <f aca="false">G1117*$B$1/1000000</f>
        <v>31.270124759832</v>
      </c>
    </row>
    <row r="1118" customFormat="false" ht="15" hidden="false" customHeight="false" outlineLevel="0" collapsed="false">
      <c r="A1118" s="4" t="s">
        <v>207</v>
      </c>
      <c r="B1118" s="4" t="s">
        <v>208</v>
      </c>
      <c r="C1118" s="4" t="s">
        <v>45</v>
      </c>
      <c r="D1118" s="16" t="n">
        <v>45231</v>
      </c>
      <c r="E1118" s="4" t="n">
        <v>2023</v>
      </c>
      <c r="F1118" s="4" t="n">
        <v>11</v>
      </c>
      <c r="G1118" s="17" t="n">
        <v>14406434</v>
      </c>
      <c r="H1118" s="18" t="n">
        <f aca="false">G1118*$B$1/1000000</f>
        <v>31.760750296589</v>
      </c>
    </row>
    <row r="1119" customFormat="false" ht="15" hidden="false" customHeight="false" outlineLevel="0" collapsed="false">
      <c r="A1119" s="4" t="s">
        <v>207</v>
      </c>
      <c r="B1119" s="4" t="s">
        <v>208</v>
      </c>
      <c r="C1119" s="4" t="s">
        <v>45</v>
      </c>
      <c r="D1119" s="16" t="n">
        <v>45261</v>
      </c>
      <c r="E1119" s="4" t="n">
        <v>2023</v>
      </c>
      <c r="F1119" s="4" t="n">
        <v>12</v>
      </c>
      <c r="G1119" s="17" t="n">
        <v>5152037</v>
      </c>
      <c r="H1119" s="18" t="n">
        <f aca="false">G1119*$B$1/1000000</f>
        <v>11.3582973188082</v>
      </c>
    </row>
    <row r="1120" customFormat="false" ht="15" hidden="false" customHeight="false" outlineLevel="0" collapsed="false">
      <c r="A1120" s="4" t="s">
        <v>207</v>
      </c>
      <c r="B1120" s="4" t="s">
        <v>208</v>
      </c>
      <c r="C1120" s="4" t="s">
        <v>45</v>
      </c>
      <c r="D1120" s="16" t="n">
        <v>45323</v>
      </c>
      <c r="E1120" s="4" t="n">
        <v>2024</v>
      </c>
      <c r="F1120" s="4" t="n">
        <v>2</v>
      </c>
      <c r="G1120" s="17" t="n">
        <v>799210</v>
      </c>
      <c r="H1120" s="18" t="n">
        <f aca="false">G1120*$B$1/1000000</f>
        <v>1.76195644560874</v>
      </c>
    </row>
    <row r="1121" customFormat="false" ht="15" hidden="false" customHeight="false" outlineLevel="0" collapsed="false">
      <c r="A1121" s="4" t="s">
        <v>207</v>
      </c>
      <c r="B1121" s="4" t="s">
        <v>208</v>
      </c>
      <c r="C1121" s="4" t="s">
        <v>45</v>
      </c>
      <c r="D1121" s="16" t="n">
        <v>45352</v>
      </c>
      <c r="E1121" s="4" t="n">
        <v>2024</v>
      </c>
      <c r="F1121" s="4" t="n">
        <v>3</v>
      </c>
      <c r="G1121" s="17" t="n">
        <v>6440498</v>
      </c>
      <c r="H1121" s="18" t="n">
        <f aca="false">G1121*$B$1/1000000</f>
        <v>14.1988675867797</v>
      </c>
    </row>
    <row r="1122" customFormat="false" ht="15" hidden="false" customHeight="false" outlineLevel="0" collapsed="false">
      <c r="A1122" s="4" t="s">
        <v>207</v>
      </c>
      <c r="B1122" s="4" t="s">
        <v>208</v>
      </c>
      <c r="C1122" s="4" t="s">
        <v>45</v>
      </c>
      <c r="D1122" s="16" t="n">
        <v>45383</v>
      </c>
      <c r="E1122" s="4" t="n">
        <v>2024</v>
      </c>
      <c r="F1122" s="4" t="n">
        <v>4</v>
      </c>
      <c r="G1122" s="17" t="n">
        <v>3847611</v>
      </c>
      <c r="H1122" s="18" t="n">
        <f aca="false">G1122*$B$1/1000000</f>
        <v>8.4825302506789</v>
      </c>
    </row>
    <row r="1123" customFormat="false" ht="15" hidden="false" customHeight="false" outlineLevel="0" collapsed="false">
      <c r="A1123" s="4" t="s">
        <v>207</v>
      </c>
      <c r="B1123" s="4" t="s">
        <v>208</v>
      </c>
      <c r="C1123" s="4" t="s">
        <v>45</v>
      </c>
      <c r="D1123" s="16" t="n">
        <v>45597</v>
      </c>
      <c r="E1123" s="4" t="n">
        <v>2024</v>
      </c>
      <c r="F1123" s="4" t="n">
        <v>11</v>
      </c>
      <c r="G1123" s="17" t="n">
        <v>11159771</v>
      </c>
      <c r="H1123" s="18" t="n">
        <f aca="false">G1123*$B$1/1000000</f>
        <v>24.6030836012656</v>
      </c>
    </row>
    <row r="1124" customFormat="false" ht="15" hidden="false" customHeight="false" outlineLevel="0" collapsed="false">
      <c r="A1124" s="4" t="s">
        <v>207</v>
      </c>
      <c r="B1124" s="4" t="s">
        <v>208</v>
      </c>
      <c r="C1124" s="4" t="s">
        <v>45</v>
      </c>
      <c r="D1124" s="16" t="n">
        <v>45627</v>
      </c>
      <c r="E1124" s="4" t="n">
        <v>2024</v>
      </c>
      <c r="F1124" s="4" t="n">
        <v>12</v>
      </c>
      <c r="G1124" s="17" t="n">
        <v>4461316</v>
      </c>
      <c r="H1124" s="18" t="n">
        <f aca="false">G1124*$B$1/1000000</f>
        <v>9.83551817682135</v>
      </c>
    </row>
    <row r="1125" customFormat="false" ht="15" hidden="false" customHeight="false" outlineLevel="0" collapsed="false">
      <c r="A1125" s="4" t="s">
        <v>207</v>
      </c>
      <c r="B1125" s="4" t="s">
        <v>208</v>
      </c>
      <c r="C1125" s="4" t="s">
        <v>45</v>
      </c>
      <c r="D1125" s="16" t="n">
        <v>45748</v>
      </c>
      <c r="E1125" s="4" t="n">
        <v>2025</v>
      </c>
      <c r="F1125" s="4" t="n">
        <v>4</v>
      </c>
      <c r="G1125" s="17" t="n">
        <v>6859045</v>
      </c>
      <c r="H1125" s="18" t="n">
        <f aca="false">G1125*$B$1/1000000</f>
        <v>15.1216057712871</v>
      </c>
    </row>
    <row r="1126" customFormat="false" ht="15" hidden="false" customHeight="false" outlineLevel="0" collapsed="false">
      <c r="A1126" s="4" t="s">
        <v>207</v>
      </c>
      <c r="B1126" s="4" t="s">
        <v>208</v>
      </c>
      <c r="C1126" s="4" t="s">
        <v>45</v>
      </c>
      <c r="D1126" s="16" t="n">
        <v>45778</v>
      </c>
      <c r="E1126" s="4" t="n">
        <v>2025</v>
      </c>
      <c r="F1126" s="4" t="n">
        <v>5</v>
      </c>
      <c r="G1126" s="17" t="n">
        <v>5381982</v>
      </c>
      <c r="H1126" s="18" t="n">
        <f aca="false">G1126*$B$1/1000000</f>
        <v>11.8652392675895</v>
      </c>
    </row>
    <row r="1127" customFormat="false" ht="15" hidden="false" customHeight="false" outlineLevel="0" collapsed="false">
      <c r="A1127" s="4" t="s">
        <v>207</v>
      </c>
      <c r="B1127" s="4" t="s">
        <v>208</v>
      </c>
      <c r="C1127" s="4" t="s">
        <v>45</v>
      </c>
      <c r="D1127" s="16" t="n">
        <v>45839</v>
      </c>
      <c r="E1127" s="4" t="n">
        <v>2025</v>
      </c>
      <c r="F1127" s="4" t="n">
        <v>7</v>
      </c>
      <c r="G1127" s="17" t="n">
        <v>5538465</v>
      </c>
      <c r="H1127" s="18" t="n">
        <f aca="false">G1127*$B$1/1000000</f>
        <v>12.2102252293245</v>
      </c>
    </row>
    <row r="1128" customFormat="false" ht="15" hidden="false" customHeight="false" outlineLevel="0" collapsed="false">
      <c r="A1128" s="4" t="s">
        <v>207</v>
      </c>
      <c r="B1128" s="4" t="s">
        <v>208</v>
      </c>
      <c r="C1128" s="4" t="s">
        <v>45</v>
      </c>
      <c r="D1128" s="16" t="n">
        <v>45901</v>
      </c>
      <c r="E1128" s="4" t="n">
        <v>2025</v>
      </c>
      <c r="F1128" s="4" t="n">
        <v>9</v>
      </c>
      <c r="G1128" s="17" t="n">
        <v>5360652</v>
      </c>
      <c r="H1128" s="18" t="n">
        <f aca="false">G1128*$B$1/1000000</f>
        <v>11.8182146670654</v>
      </c>
    </row>
    <row r="1129" customFormat="false" ht="15" hidden="false" customHeight="false" outlineLevel="0" collapsed="false">
      <c r="A1129" s="4" t="s">
        <v>207</v>
      </c>
      <c r="B1129" s="4" t="s">
        <v>208</v>
      </c>
      <c r="C1129" s="4" t="s">
        <v>45</v>
      </c>
      <c r="D1129" s="16" t="n">
        <v>45931</v>
      </c>
      <c r="E1129" s="4" t="n">
        <v>2025</v>
      </c>
      <c r="F1129" s="4" t="n">
        <v>10</v>
      </c>
      <c r="G1129" s="17" t="n">
        <v>6412223</v>
      </c>
      <c r="H1129" s="18" t="n">
        <f aca="false">G1129*$B$1/1000000</f>
        <v>14.1365318821469</v>
      </c>
    </row>
    <row r="1130" customFormat="false" ht="15" hidden="false" customHeight="false" outlineLevel="0" collapsed="false">
      <c r="A1130" s="4" t="s">
        <v>207</v>
      </c>
      <c r="B1130" s="4" t="s">
        <v>208</v>
      </c>
      <c r="C1130" s="4" t="s">
        <v>45</v>
      </c>
      <c r="D1130" s="16" t="n">
        <v>45962</v>
      </c>
      <c r="E1130" s="4" t="n">
        <v>2025</v>
      </c>
      <c r="F1130" s="4" t="n">
        <v>11</v>
      </c>
      <c r="G1130" s="17" t="n">
        <v>2870929</v>
      </c>
      <c r="H1130" s="18" t="n">
        <f aca="false">G1130*$B$1/1000000</f>
        <v>6.3293150191252</v>
      </c>
    </row>
    <row r="1131" customFormat="false" ht="15" hidden="false" customHeight="false" outlineLevel="0" collapsed="false">
      <c r="A1131" s="4" t="s">
        <v>207</v>
      </c>
      <c r="B1131" s="4" t="s">
        <v>208</v>
      </c>
      <c r="C1131" s="4" t="s">
        <v>45</v>
      </c>
      <c r="D1131" s="16" t="n">
        <v>46113</v>
      </c>
      <c r="E1131" s="4" t="n">
        <v>2026</v>
      </c>
      <c r="F1131" s="4" t="n">
        <v>4</v>
      </c>
      <c r="G1131" s="17" t="n">
        <v>165910</v>
      </c>
      <c r="H1131" s="18" t="n">
        <f aca="false">G1131*$B$1/1000000</f>
        <v>0.365768939191133</v>
      </c>
    </row>
    <row r="1132" customFormat="false" ht="15" hidden="false" customHeight="false" outlineLevel="0" collapsed="false">
      <c r="A1132" s="4" t="s">
        <v>207</v>
      </c>
      <c r="B1132" s="4" t="s">
        <v>208</v>
      </c>
      <c r="C1132" s="4" t="s">
        <v>45</v>
      </c>
      <c r="D1132" s="16" t="n">
        <v>46143</v>
      </c>
      <c r="E1132" s="4" t="n">
        <v>2026</v>
      </c>
      <c r="F1132" s="4" t="n">
        <v>5</v>
      </c>
      <c r="G1132" s="17" t="n">
        <v>419740</v>
      </c>
      <c r="H1132" s="18" t="n">
        <f aca="false">G1132*$B$1/1000000</f>
        <v>0.925368299295319</v>
      </c>
    </row>
    <row r="1133" customFormat="false" ht="15" hidden="false" customHeight="false" outlineLevel="0" collapsed="false">
      <c r="A1133" s="4" t="s">
        <v>207</v>
      </c>
      <c r="B1133" s="4" t="s">
        <v>208</v>
      </c>
      <c r="C1133" s="4" t="s">
        <v>45</v>
      </c>
      <c r="D1133" s="16" t="n">
        <v>46174</v>
      </c>
      <c r="E1133" s="4" t="n">
        <v>2026</v>
      </c>
      <c r="F1133" s="4" t="n">
        <v>6</v>
      </c>
      <c r="G1133" s="17" t="n">
        <v>764990</v>
      </c>
      <c r="H1133" s="18" t="n">
        <f aca="false">G1133*$B$1/1000000</f>
        <v>1.68651425948903</v>
      </c>
    </row>
    <row r="1134" customFormat="false" ht="15" hidden="false" customHeight="false" outlineLevel="0" collapsed="false">
      <c r="A1134" s="4" t="s">
        <v>207</v>
      </c>
      <c r="B1134" s="4" t="s">
        <v>208</v>
      </c>
      <c r="C1134" s="4" t="s">
        <v>45</v>
      </c>
      <c r="D1134" s="16" t="n">
        <v>46204</v>
      </c>
      <c r="E1134" s="4" t="n">
        <v>2026</v>
      </c>
      <c r="F1134" s="4" t="n">
        <v>7</v>
      </c>
      <c r="G1134" s="17" t="n">
        <v>1213370</v>
      </c>
      <c r="H1134" s="18" t="n">
        <f aca="false">G1134*$B$1/1000000</f>
        <v>2.67502295067413</v>
      </c>
    </row>
    <row r="1135" customFormat="false" ht="15" hidden="false" customHeight="false" outlineLevel="0" collapsed="false">
      <c r="A1135" s="4" t="s">
        <v>207</v>
      </c>
      <c r="B1135" s="4" t="s">
        <v>208</v>
      </c>
      <c r="C1135" s="4" t="s">
        <v>45</v>
      </c>
      <c r="D1135" s="16" t="n">
        <v>46235</v>
      </c>
      <c r="E1135" s="4" t="n">
        <v>2026</v>
      </c>
      <c r="F1135" s="4" t="n">
        <v>8</v>
      </c>
      <c r="G1135" s="17" t="n">
        <v>766950</v>
      </c>
      <c r="H1135" s="18" t="n">
        <f aca="false">G1135*$B$1/1000000</f>
        <v>1.69083531982786</v>
      </c>
    </row>
    <row r="1136" customFormat="false" ht="15" hidden="false" customHeight="false" outlineLevel="0" collapsed="false">
      <c r="A1136" s="4" t="s">
        <v>207</v>
      </c>
      <c r="B1136" s="4" t="s">
        <v>208</v>
      </c>
      <c r="C1136" s="4" t="s">
        <v>57</v>
      </c>
      <c r="D1136" s="16" t="n">
        <v>43831</v>
      </c>
      <c r="E1136" s="4" t="n">
        <v>2020</v>
      </c>
      <c r="F1136" s="4" t="n">
        <v>1</v>
      </c>
      <c r="G1136" s="17" t="n">
        <v>42660</v>
      </c>
      <c r="H1136" s="18" t="n">
        <f aca="false">G1136*$B$1/1000000</f>
        <v>0.094049201048121</v>
      </c>
    </row>
    <row r="1137" customFormat="false" ht="15" hidden="false" customHeight="false" outlineLevel="0" collapsed="false">
      <c r="A1137" s="4" t="s">
        <v>207</v>
      </c>
      <c r="B1137" s="4" t="s">
        <v>208</v>
      </c>
      <c r="C1137" s="4" t="s">
        <v>57</v>
      </c>
      <c r="D1137" s="16" t="n">
        <v>43862</v>
      </c>
      <c r="E1137" s="4" t="n">
        <v>2020</v>
      </c>
      <c r="F1137" s="4" t="n">
        <v>2</v>
      </c>
      <c r="G1137" s="17" t="n">
        <v>21180</v>
      </c>
      <c r="H1137" s="18" t="n">
        <f aca="false">G1137*$B$1/1000000</f>
        <v>0.046693907130783</v>
      </c>
    </row>
    <row r="1138" customFormat="false" ht="15" hidden="false" customHeight="false" outlineLevel="0" collapsed="false">
      <c r="A1138" s="4" t="s">
        <v>207</v>
      </c>
      <c r="B1138" s="4" t="s">
        <v>208</v>
      </c>
      <c r="C1138" s="4" t="s">
        <v>57</v>
      </c>
      <c r="D1138" s="16" t="n">
        <v>43983</v>
      </c>
      <c r="E1138" s="4" t="n">
        <v>2020</v>
      </c>
      <c r="F1138" s="4" t="n">
        <v>6</v>
      </c>
      <c r="G1138" s="17" t="n">
        <v>16000</v>
      </c>
      <c r="H1138" s="18" t="n">
        <f aca="false">G1138*$B$1/1000000</f>
        <v>0.0352739619496</v>
      </c>
    </row>
    <row r="1139" customFormat="false" ht="15" hidden="false" customHeight="false" outlineLevel="0" collapsed="false">
      <c r="A1139" s="4" t="s">
        <v>207</v>
      </c>
      <c r="B1139" s="4" t="s">
        <v>208</v>
      </c>
      <c r="C1139" s="4" t="s">
        <v>57</v>
      </c>
      <c r="D1139" s="16" t="n">
        <v>44013</v>
      </c>
      <c r="E1139" s="4" t="n">
        <v>2020</v>
      </c>
      <c r="F1139" s="4" t="n">
        <v>7</v>
      </c>
      <c r="G1139" s="17" t="n">
        <v>7098</v>
      </c>
      <c r="H1139" s="18" t="n">
        <f aca="false">G1139*$B$1/1000000</f>
        <v>0.0156484113698913</v>
      </c>
    </row>
    <row r="1140" customFormat="false" ht="15" hidden="false" customHeight="false" outlineLevel="0" collapsed="false">
      <c r="A1140" s="4" t="s">
        <v>207</v>
      </c>
      <c r="B1140" s="4" t="s">
        <v>208</v>
      </c>
      <c r="C1140" s="4" t="s">
        <v>57</v>
      </c>
      <c r="D1140" s="16" t="n">
        <v>44075</v>
      </c>
      <c r="E1140" s="4" t="n">
        <v>2020</v>
      </c>
      <c r="F1140" s="4" t="n">
        <v>9</v>
      </c>
      <c r="G1140" s="17" t="n">
        <v>10919</v>
      </c>
      <c r="H1140" s="18" t="n">
        <f aca="false">G1140*$B$1/1000000</f>
        <v>0.0240722744079801</v>
      </c>
    </row>
    <row r="1141" customFormat="false" ht="15" hidden="false" customHeight="false" outlineLevel="0" collapsed="false">
      <c r="A1141" s="4" t="s">
        <v>207</v>
      </c>
      <c r="B1141" s="4" t="s">
        <v>208</v>
      </c>
      <c r="C1141" s="4" t="s">
        <v>57</v>
      </c>
      <c r="D1141" s="16" t="n">
        <v>44166</v>
      </c>
      <c r="E1141" s="4" t="n">
        <v>2020</v>
      </c>
      <c r="F1141" s="4" t="n">
        <v>12</v>
      </c>
      <c r="G1141" s="17" t="n">
        <v>8000</v>
      </c>
      <c r="H1141" s="18" t="n">
        <f aca="false">G1141*$B$1/1000000</f>
        <v>0.0176369809748</v>
      </c>
    </row>
    <row r="1142" customFormat="false" ht="15" hidden="false" customHeight="false" outlineLevel="0" collapsed="false">
      <c r="A1142" s="4" t="s">
        <v>207</v>
      </c>
      <c r="B1142" s="4" t="s">
        <v>208</v>
      </c>
      <c r="C1142" s="4" t="s">
        <v>57</v>
      </c>
      <c r="D1142" s="16" t="n">
        <v>44228</v>
      </c>
      <c r="E1142" s="4" t="n">
        <v>2021</v>
      </c>
      <c r="F1142" s="4" t="n">
        <v>2</v>
      </c>
      <c r="G1142" s="17" t="n">
        <v>10564</v>
      </c>
      <c r="H1142" s="18" t="n">
        <f aca="false">G1142*$B$1/1000000</f>
        <v>0.0232896333772234</v>
      </c>
    </row>
    <row r="1143" customFormat="false" ht="15" hidden="false" customHeight="false" outlineLevel="0" collapsed="false">
      <c r="A1143" s="4" t="s">
        <v>207</v>
      </c>
      <c r="B1143" s="4" t="s">
        <v>208</v>
      </c>
      <c r="C1143" s="4" t="s">
        <v>57</v>
      </c>
      <c r="D1143" s="16" t="n">
        <v>44317</v>
      </c>
      <c r="E1143" s="4" t="n">
        <v>2021</v>
      </c>
      <c r="F1143" s="4" t="n">
        <v>5</v>
      </c>
      <c r="G1143" s="17" t="n">
        <v>16000</v>
      </c>
      <c r="H1143" s="18" t="n">
        <f aca="false">G1143*$B$1/1000000</f>
        <v>0.0352739619496</v>
      </c>
    </row>
    <row r="1144" customFormat="false" ht="15" hidden="false" customHeight="false" outlineLevel="0" collapsed="false">
      <c r="A1144" s="4" t="s">
        <v>207</v>
      </c>
      <c r="B1144" s="4" t="s">
        <v>208</v>
      </c>
      <c r="C1144" s="4" t="s">
        <v>57</v>
      </c>
      <c r="D1144" s="16" t="n">
        <v>44348</v>
      </c>
      <c r="E1144" s="4" t="n">
        <v>2021</v>
      </c>
      <c r="F1144" s="4" t="n">
        <v>6</v>
      </c>
      <c r="G1144" s="17" t="n">
        <v>80000</v>
      </c>
      <c r="H1144" s="18" t="n">
        <f aca="false">G1144*$B$1/1000000</f>
        <v>0.176369809748</v>
      </c>
    </row>
    <row r="1145" customFormat="false" ht="15" hidden="false" customHeight="false" outlineLevel="0" collapsed="false">
      <c r="A1145" s="4" t="s">
        <v>207</v>
      </c>
      <c r="B1145" s="4" t="s">
        <v>208</v>
      </c>
      <c r="C1145" s="4" t="s">
        <v>57</v>
      </c>
      <c r="D1145" s="16" t="n">
        <v>44409</v>
      </c>
      <c r="E1145" s="4" t="n">
        <v>2021</v>
      </c>
      <c r="F1145" s="4" t="n">
        <v>8</v>
      </c>
      <c r="G1145" s="17" t="n">
        <v>1045</v>
      </c>
      <c r="H1145" s="18" t="n">
        <f aca="false">G1145*$B$1/1000000</f>
        <v>0.00230383063983325</v>
      </c>
    </row>
    <row r="1146" customFormat="false" ht="15" hidden="false" customHeight="false" outlineLevel="0" collapsed="false">
      <c r="A1146" s="4" t="s">
        <v>207</v>
      </c>
      <c r="B1146" s="4" t="s">
        <v>208</v>
      </c>
      <c r="C1146" s="4" t="s">
        <v>57</v>
      </c>
      <c r="D1146" s="16" t="n">
        <v>44501</v>
      </c>
      <c r="E1146" s="4" t="n">
        <v>2021</v>
      </c>
      <c r="F1146" s="4" t="n">
        <v>11</v>
      </c>
      <c r="G1146" s="17" t="n">
        <v>17840</v>
      </c>
      <c r="H1146" s="18" t="n">
        <f aca="false">G1146*$B$1/1000000</f>
        <v>0.039330467573804</v>
      </c>
    </row>
    <row r="1147" customFormat="false" ht="15" hidden="false" customHeight="false" outlineLevel="0" collapsed="false">
      <c r="A1147" s="4" t="s">
        <v>207</v>
      </c>
      <c r="B1147" s="4" t="s">
        <v>208</v>
      </c>
      <c r="C1147" s="4" t="s">
        <v>57</v>
      </c>
      <c r="D1147" s="16" t="n">
        <v>44531</v>
      </c>
      <c r="E1147" s="4" t="n">
        <v>2021</v>
      </c>
      <c r="F1147" s="4" t="n">
        <v>12</v>
      </c>
      <c r="G1147" s="17" t="n">
        <v>5000</v>
      </c>
      <c r="H1147" s="18" t="n">
        <f aca="false">G1147*$B$1/1000000</f>
        <v>0.01102311310925</v>
      </c>
    </row>
    <row r="1148" customFormat="false" ht="15" hidden="false" customHeight="false" outlineLevel="0" collapsed="false">
      <c r="A1148" s="4" t="s">
        <v>207</v>
      </c>
      <c r="B1148" s="4" t="s">
        <v>208</v>
      </c>
      <c r="C1148" s="4" t="s">
        <v>57</v>
      </c>
      <c r="D1148" s="16" t="n">
        <v>44652</v>
      </c>
      <c r="E1148" s="4" t="n">
        <v>2022</v>
      </c>
      <c r="F1148" s="4" t="n">
        <v>4</v>
      </c>
      <c r="G1148" s="17" t="n">
        <v>41000</v>
      </c>
      <c r="H1148" s="18" t="n">
        <f aca="false">G1148*$B$1/1000000</f>
        <v>0.09038952749585</v>
      </c>
    </row>
    <row r="1149" customFormat="false" ht="15" hidden="false" customHeight="false" outlineLevel="0" collapsed="false">
      <c r="A1149" s="4" t="s">
        <v>207</v>
      </c>
      <c r="B1149" s="4" t="s">
        <v>208</v>
      </c>
      <c r="C1149" s="4" t="s">
        <v>57</v>
      </c>
      <c r="D1149" s="16" t="n">
        <v>44682</v>
      </c>
      <c r="E1149" s="4" t="n">
        <v>2022</v>
      </c>
      <c r="F1149" s="4" t="n">
        <v>5</v>
      </c>
      <c r="G1149" s="17" t="n">
        <v>25</v>
      </c>
      <c r="H1149" s="18" t="n">
        <f aca="false">G1149*$B$1/1000000</f>
        <v>5.511556554625E-005</v>
      </c>
    </row>
    <row r="1150" customFormat="false" ht="15" hidden="false" customHeight="false" outlineLevel="0" collapsed="false">
      <c r="A1150" s="4" t="s">
        <v>207</v>
      </c>
      <c r="B1150" s="4" t="s">
        <v>208</v>
      </c>
      <c r="C1150" s="4" t="s">
        <v>57</v>
      </c>
      <c r="D1150" s="16" t="n">
        <v>44866</v>
      </c>
      <c r="E1150" s="4" t="n">
        <v>2022</v>
      </c>
      <c r="F1150" s="4" t="n">
        <v>11</v>
      </c>
      <c r="G1150" s="17" t="n">
        <v>5775</v>
      </c>
      <c r="H1150" s="18" t="n">
        <f aca="false">G1150*$B$1/1000000</f>
        <v>0.0127316956411838</v>
      </c>
    </row>
    <row r="1151" customFormat="false" ht="15" hidden="false" customHeight="false" outlineLevel="0" collapsed="false">
      <c r="A1151" s="4" t="s">
        <v>207</v>
      </c>
      <c r="B1151" s="4" t="s">
        <v>208</v>
      </c>
      <c r="C1151" s="4" t="s">
        <v>57</v>
      </c>
      <c r="D1151" s="16" t="n">
        <v>44927</v>
      </c>
      <c r="E1151" s="4" t="n">
        <v>2023</v>
      </c>
      <c r="F1151" s="4" t="n">
        <v>1</v>
      </c>
      <c r="G1151" s="17" t="n">
        <v>37729362</v>
      </c>
      <c r="H1151" s="18" t="n">
        <f aca="false">G1151*$B$1/1000000</f>
        <v>83.1790049731678</v>
      </c>
    </row>
    <row r="1152" customFormat="false" ht="15" hidden="false" customHeight="false" outlineLevel="0" collapsed="false">
      <c r="A1152" s="4" t="s">
        <v>207</v>
      </c>
      <c r="B1152" s="4" t="s">
        <v>208</v>
      </c>
      <c r="C1152" s="4" t="s">
        <v>57</v>
      </c>
      <c r="D1152" s="16" t="n">
        <v>44958</v>
      </c>
      <c r="E1152" s="4" t="n">
        <v>2023</v>
      </c>
      <c r="F1152" s="4" t="n">
        <v>2</v>
      </c>
      <c r="G1152" s="17" t="n">
        <v>40942285</v>
      </c>
      <c r="H1152" s="18" t="n">
        <f aca="false">G1152*$B$1/1000000</f>
        <v>90.2622877012299</v>
      </c>
    </row>
    <row r="1153" customFormat="false" ht="15" hidden="false" customHeight="false" outlineLevel="0" collapsed="false">
      <c r="A1153" s="4" t="s">
        <v>207</v>
      </c>
      <c r="B1153" s="4" t="s">
        <v>208</v>
      </c>
      <c r="C1153" s="4" t="s">
        <v>57</v>
      </c>
      <c r="D1153" s="16" t="n">
        <v>44986</v>
      </c>
      <c r="E1153" s="4" t="n">
        <v>2023</v>
      </c>
      <c r="F1153" s="4" t="n">
        <v>3</v>
      </c>
      <c r="G1153" s="17" t="n">
        <v>51787750</v>
      </c>
      <c r="H1153" s="18" t="n">
        <f aca="false">G1153*$B$1/1000000</f>
        <v>114.172445184712</v>
      </c>
    </row>
    <row r="1154" customFormat="false" ht="15" hidden="false" customHeight="false" outlineLevel="0" collapsed="false">
      <c r="A1154" s="4" t="s">
        <v>207</v>
      </c>
      <c r="B1154" s="4" t="s">
        <v>208</v>
      </c>
      <c r="C1154" s="4" t="s">
        <v>57</v>
      </c>
      <c r="D1154" s="16" t="n">
        <v>45047</v>
      </c>
      <c r="E1154" s="4" t="n">
        <v>2023</v>
      </c>
      <c r="F1154" s="4" t="n">
        <v>5</v>
      </c>
      <c r="G1154" s="17" t="n">
        <v>62436265</v>
      </c>
      <c r="H1154" s="18" t="n">
        <f aca="false">G1154*$B$1/1000000</f>
        <v>137.648402242821</v>
      </c>
    </row>
    <row r="1155" customFormat="false" ht="15" hidden="false" customHeight="false" outlineLevel="0" collapsed="false">
      <c r="A1155" s="4" t="s">
        <v>207</v>
      </c>
      <c r="B1155" s="4" t="s">
        <v>208</v>
      </c>
      <c r="C1155" s="4" t="s">
        <v>57</v>
      </c>
      <c r="D1155" s="16" t="n">
        <v>45078</v>
      </c>
      <c r="E1155" s="4" t="n">
        <v>2023</v>
      </c>
      <c r="F1155" s="4" t="n">
        <v>6</v>
      </c>
      <c r="G1155" s="17" t="n">
        <v>32024907</v>
      </c>
      <c r="H1155" s="18" t="n">
        <f aca="false">G1155*$B$1/1000000</f>
        <v>70.6028344348424</v>
      </c>
    </row>
    <row r="1156" customFormat="false" ht="15" hidden="false" customHeight="false" outlineLevel="0" collapsed="false">
      <c r="A1156" s="4" t="s">
        <v>207</v>
      </c>
      <c r="B1156" s="4" t="s">
        <v>208</v>
      </c>
      <c r="C1156" s="4" t="s">
        <v>57</v>
      </c>
      <c r="D1156" s="16" t="n">
        <v>45108</v>
      </c>
      <c r="E1156" s="4" t="n">
        <v>2023</v>
      </c>
      <c r="F1156" s="4" t="n">
        <v>7</v>
      </c>
      <c r="G1156" s="17" t="n">
        <v>26780430</v>
      </c>
      <c r="H1156" s="18" t="n">
        <f aca="false">G1156*$B$1/1000000</f>
        <v>59.0407418008704</v>
      </c>
    </row>
    <row r="1157" customFormat="false" ht="15" hidden="false" customHeight="false" outlineLevel="0" collapsed="false">
      <c r="A1157" s="4" t="s">
        <v>207</v>
      </c>
      <c r="B1157" s="4" t="s">
        <v>208</v>
      </c>
      <c r="C1157" s="4" t="s">
        <v>57</v>
      </c>
      <c r="D1157" s="16" t="n">
        <v>45139</v>
      </c>
      <c r="E1157" s="4" t="n">
        <v>2023</v>
      </c>
      <c r="F1157" s="4" t="n">
        <v>8</v>
      </c>
      <c r="G1157" s="17" t="n">
        <v>76068814</v>
      </c>
      <c r="H1157" s="18" t="n">
        <f aca="false">G1157*$B$1/1000000</f>
        <v>167.7030281617</v>
      </c>
    </row>
    <row r="1158" customFormat="false" ht="15" hidden="false" customHeight="false" outlineLevel="0" collapsed="false">
      <c r="A1158" s="4" t="s">
        <v>207</v>
      </c>
      <c r="B1158" s="4" t="s">
        <v>208</v>
      </c>
      <c r="C1158" s="4" t="s">
        <v>57</v>
      </c>
      <c r="D1158" s="16" t="n">
        <v>45170</v>
      </c>
      <c r="E1158" s="4" t="n">
        <v>2023</v>
      </c>
      <c r="F1158" s="4" t="n">
        <v>9</v>
      </c>
      <c r="G1158" s="17" t="n">
        <v>99255684</v>
      </c>
      <c r="H1158" s="18" t="n">
        <f aca="false">G1158*$B$1/1000000</f>
        <v>218.821326293595</v>
      </c>
    </row>
    <row r="1159" customFormat="false" ht="15" hidden="false" customHeight="false" outlineLevel="0" collapsed="false">
      <c r="A1159" s="4" t="s">
        <v>207</v>
      </c>
      <c r="B1159" s="4" t="s">
        <v>208</v>
      </c>
      <c r="C1159" s="4" t="s">
        <v>57</v>
      </c>
      <c r="D1159" s="16" t="n">
        <v>45200</v>
      </c>
      <c r="E1159" s="4" t="n">
        <v>2023</v>
      </c>
      <c r="F1159" s="4" t="n">
        <v>10</v>
      </c>
      <c r="G1159" s="17" t="n">
        <v>79451902</v>
      </c>
      <c r="H1159" s="18" t="n">
        <f aca="false">G1159*$B$1/1000000</f>
        <v>175.161460498209</v>
      </c>
    </row>
    <row r="1160" customFormat="false" ht="15" hidden="false" customHeight="false" outlineLevel="0" collapsed="false">
      <c r="A1160" s="4" t="s">
        <v>207</v>
      </c>
      <c r="B1160" s="4" t="s">
        <v>208</v>
      </c>
      <c r="C1160" s="4" t="s">
        <v>57</v>
      </c>
      <c r="D1160" s="16" t="n">
        <v>45231</v>
      </c>
      <c r="E1160" s="4" t="n">
        <v>2023</v>
      </c>
      <c r="F1160" s="4" t="n">
        <v>11</v>
      </c>
      <c r="G1160" s="17" t="n">
        <v>65684882</v>
      </c>
      <c r="H1160" s="18" t="n">
        <f aca="false">G1160*$B$1/1000000</f>
        <v>144.810376770748</v>
      </c>
    </row>
    <row r="1161" customFormat="false" ht="15" hidden="false" customHeight="false" outlineLevel="0" collapsed="false">
      <c r="A1161" s="4" t="s">
        <v>207</v>
      </c>
      <c r="B1161" s="4" t="s">
        <v>208</v>
      </c>
      <c r="C1161" s="4" t="s">
        <v>57</v>
      </c>
      <c r="D1161" s="16" t="n">
        <v>45261</v>
      </c>
      <c r="E1161" s="4" t="n">
        <v>2023</v>
      </c>
      <c r="F1161" s="4" t="n">
        <v>12</v>
      </c>
      <c r="G1161" s="17" t="n">
        <v>115441131</v>
      </c>
      <c r="H1161" s="18" t="n">
        <f aca="false">G1161*$B$1/1000000</f>
        <v>254.504128894549</v>
      </c>
    </row>
    <row r="1162" customFormat="false" ht="15" hidden="false" customHeight="false" outlineLevel="0" collapsed="false">
      <c r="A1162" s="4" t="s">
        <v>207</v>
      </c>
      <c r="B1162" s="4" t="s">
        <v>208</v>
      </c>
      <c r="C1162" s="4" t="s">
        <v>57</v>
      </c>
      <c r="D1162" s="16" t="n">
        <v>45292</v>
      </c>
      <c r="E1162" s="4" t="n">
        <v>2024</v>
      </c>
      <c r="F1162" s="4" t="n">
        <v>1</v>
      </c>
      <c r="G1162" s="17" t="n">
        <v>129769661</v>
      </c>
      <c r="H1162" s="18" t="n">
        <f aca="false">G1162*$B$1/1000000</f>
        <v>286.093130270406</v>
      </c>
    </row>
    <row r="1163" customFormat="false" ht="15" hidden="false" customHeight="false" outlineLevel="0" collapsed="false">
      <c r="A1163" s="4" t="s">
        <v>207</v>
      </c>
      <c r="B1163" s="4" t="s">
        <v>208</v>
      </c>
      <c r="C1163" s="4" t="s">
        <v>57</v>
      </c>
      <c r="D1163" s="16" t="n">
        <v>45323</v>
      </c>
      <c r="E1163" s="4" t="n">
        <v>2024</v>
      </c>
      <c r="F1163" s="4" t="n">
        <v>2</v>
      </c>
      <c r="G1163" s="17" t="n">
        <v>34210808</v>
      </c>
      <c r="H1163" s="18" t="n">
        <f aca="false">G1163*$B$1/1000000</f>
        <v>75.421921228567</v>
      </c>
    </row>
    <row r="1164" customFormat="false" ht="15" hidden="false" customHeight="false" outlineLevel="0" collapsed="false">
      <c r="A1164" s="4" t="s">
        <v>207</v>
      </c>
      <c r="B1164" s="4" t="s">
        <v>208</v>
      </c>
      <c r="C1164" s="4" t="s">
        <v>57</v>
      </c>
      <c r="D1164" s="16" t="n">
        <v>45352</v>
      </c>
      <c r="E1164" s="4" t="n">
        <v>2024</v>
      </c>
      <c r="F1164" s="4" t="n">
        <v>3</v>
      </c>
      <c r="G1164" s="17" t="n">
        <v>179873072</v>
      </c>
      <c r="H1164" s="18" t="n">
        <f aca="false">G1164*$B$1/1000000</f>
        <v>396.552243592854</v>
      </c>
    </row>
    <row r="1165" customFormat="false" ht="15" hidden="false" customHeight="false" outlineLevel="0" collapsed="false">
      <c r="A1165" s="4" t="s">
        <v>207</v>
      </c>
      <c r="B1165" s="4" t="s">
        <v>208</v>
      </c>
      <c r="C1165" s="4" t="s">
        <v>57</v>
      </c>
      <c r="D1165" s="16" t="n">
        <v>45383</v>
      </c>
      <c r="E1165" s="4" t="n">
        <v>2024</v>
      </c>
      <c r="F1165" s="4" t="n">
        <v>4</v>
      </c>
      <c r="G1165" s="17" t="n">
        <v>46613537</v>
      </c>
      <c r="H1165" s="18" t="n">
        <f aca="false">G1165*$B$1/1000000</f>
        <v>102.765258154642</v>
      </c>
    </row>
    <row r="1166" customFormat="false" ht="15" hidden="false" customHeight="false" outlineLevel="0" collapsed="false">
      <c r="A1166" s="4" t="s">
        <v>207</v>
      </c>
      <c r="B1166" s="4" t="s">
        <v>208</v>
      </c>
      <c r="C1166" s="4" t="s">
        <v>57</v>
      </c>
      <c r="D1166" s="16" t="n">
        <v>45413</v>
      </c>
      <c r="E1166" s="4" t="n">
        <v>2024</v>
      </c>
      <c r="F1166" s="4" t="n">
        <v>5</v>
      </c>
      <c r="G1166" s="17" t="n">
        <v>79567294</v>
      </c>
      <c r="H1166" s="18" t="n">
        <f aca="false">G1166*$B$1/1000000</f>
        <v>175.41585631179</v>
      </c>
    </row>
    <row r="1167" customFormat="false" ht="15" hidden="false" customHeight="false" outlineLevel="0" collapsed="false">
      <c r="A1167" s="4" t="s">
        <v>207</v>
      </c>
      <c r="B1167" s="4" t="s">
        <v>208</v>
      </c>
      <c r="C1167" s="4" t="s">
        <v>57</v>
      </c>
      <c r="D1167" s="16" t="n">
        <v>45444</v>
      </c>
      <c r="E1167" s="4" t="n">
        <v>2024</v>
      </c>
      <c r="F1167" s="4" t="n">
        <v>6</v>
      </c>
      <c r="G1167" s="17" t="n">
        <v>112358240</v>
      </c>
      <c r="H1167" s="18" t="n">
        <f aca="false">G1167*$B$1/1000000</f>
        <v>247.707517655252</v>
      </c>
    </row>
    <row r="1168" customFormat="false" ht="15" hidden="false" customHeight="false" outlineLevel="0" collapsed="false">
      <c r="A1168" s="4" t="s">
        <v>207</v>
      </c>
      <c r="B1168" s="4" t="s">
        <v>208</v>
      </c>
      <c r="C1168" s="4" t="s">
        <v>57</v>
      </c>
      <c r="D1168" s="16" t="n">
        <v>45474</v>
      </c>
      <c r="E1168" s="4" t="n">
        <v>2024</v>
      </c>
      <c r="F1168" s="4" t="n">
        <v>7</v>
      </c>
      <c r="G1168" s="17" t="n">
        <v>100485602</v>
      </c>
      <c r="H1168" s="18" t="n">
        <f aca="false">G1168*$B$1/1000000</f>
        <v>221.532831339416</v>
      </c>
    </row>
    <row r="1169" customFormat="false" ht="15" hidden="false" customHeight="false" outlineLevel="0" collapsed="false">
      <c r="A1169" s="4" t="s">
        <v>207</v>
      </c>
      <c r="B1169" s="4" t="s">
        <v>208</v>
      </c>
      <c r="C1169" s="4" t="s">
        <v>57</v>
      </c>
      <c r="D1169" s="16" t="n">
        <v>45505</v>
      </c>
      <c r="E1169" s="4" t="n">
        <v>2024</v>
      </c>
      <c r="F1169" s="4" t="n">
        <v>8</v>
      </c>
      <c r="G1169" s="17" t="n">
        <v>146427463</v>
      </c>
      <c r="H1169" s="18" t="n">
        <f aca="false">G1169*$B$1/1000000</f>
        <v>322.817297389904</v>
      </c>
    </row>
    <row r="1170" customFormat="false" ht="15" hidden="false" customHeight="false" outlineLevel="0" collapsed="false">
      <c r="A1170" s="4" t="s">
        <v>207</v>
      </c>
      <c r="B1170" s="4" t="s">
        <v>208</v>
      </c>
      <c r="C1170" s="4" t="s">
        <v>57</v>
      </c>
      <c r="D1170" s="16" t="n">
        <v>45536</v>
      </c>
      <c r="E1170" s="4" t="n">
        <v>2024</v>
      </c>
      <c r="F1170" s="4" t="n">
        <v>9</v>
      </c>
      <c r="G1170" s="17" t="n">
        <v>149202671</v>
      </c>
      <c r="H1170" s="18" t="n">
        <f aca="false">G1170*$B$1/1000000</f>
        <v>328.935583727043</v>
      </c>
    </row>
    <row r="1171" customFormat="false" ht="15" hidden="false" customHeight="false" outlineLevel="0" collapsed="false">
      <c r="A1171" s="4" t="s">
        <v>207</v>
      </c>
      <c r="B1171" s="4" t="s">
        <v>208</v>
      </c>
      <c r="C1171" s="4" t="s">
        <v>57</v>
      </c>
      <c r="D1171" s="16" t="n">
        <v>45566</v>
      </c>
      <c r="E1171" s="4" t="n">
        <v>2024</v>
      </c>
      <c r="F1171" s="4" t="n">
        <v>10</v>
      </c>
      <c r="G1171" s="17" t="n">
        <v>96663514</v>
      </c>
      <c r="H1171" s="18" t="n">
        <f aca="false">G1171*$B$1/1000000</f>
        <v>213.106569671914</v>
      </c>
    </row>
    <row r="1172" customFormat="false" ht="15" hidden="false" customHeight="false" outlineLevel="0" collapsed="false">
      <c r="A1172" s="4" t="s">
        <v>207</v>
      </c>
      <c r="B1172" s="4" t="s">
        <v>208</v>
      </c>
      <c r="C1172" s="4" t="s">
        <v>57</v>
      </c>
      <c r="D1172" s="16" t="n">
        <v>45597</v>
      </c>
      <c r="E1172" s="4" t="n">
        <v>2024</v>
      </c>
      <c r="F1172" s="4" t="n">
        <v>11</v>
      </c>
      <c r="G1172" s="17" t="n">
        <v>139747902</v>
      </c>
      <c r="H1172" s="18" t="n">
        <f aca="false">G1172*$B$1/1000000</f>
        <v>308.091386105277</v>
      </c>
    </row>
    <row r="1173" customFormat="false" ht="15" hidden="false" customHeight="false" outlineLevel="0" collapsed="false">
      <c r="A1173" s="4" t="s">
        <v>207</v>
      </c>
      <c r="B1173" s="4" t="s">
        <v>208</v>
      </c>
      <c r="C1173" s="4" t="s">
        <v>57</v>
      </c>
      <c r="D1173" s="16" t="n">
        <v>45627</v>
      </c>
      <c r="E1173" s="4" t="n">
        <v>2024</v>
      </c>
      <c r="F1173" s="4" t="n">
        <v>12</v>
      </c>
      <c r="G1173" s="17" t="n">
        <v>60783081</v>
      </c>
      <c r="H1173" s="18" t="n">
        <f aca="false">G1173*$B$1/1000000</f>
        <v>134.003755398341</v>
      </c>
    </row>
    <row r="1174" customFormat="false" ht="15" hidden="false" customHeight="false" outlineLevel="0" collapsed="false">
      <c r="A1174" s="4" t="s">
        <v>207</v>
      </c>
      <c r="B1174" s="4" t="s">
        <v>208</v>
      </c>
      <c r="C1174" s="4" t="s">
        <v>57</v>
      </c>
      <c r="D1174" s="16" t="n">
        <v>45658</v>
      </c>
      <c r="E1174" s="4" t="n">
        <v>2025</v>
      </c>
      <c r="F1174" s="4" t="n">
        <v>1</v>
      </c>
      <c r="G1174" s="17" t="n">
        <v>103840628</v>
      </c>
      <c r="H1174" s="18" t="n">
        <f aca="false">G1174*$B$1/1000000</f>
        <v>228.929397555911</v>
      </c>
    </row>
    <row r="1175" customFormat="false" ht="15" hidden="false" customHeight="false" outlineLevel="0" collapsed="false">
      <c r="A1175" s="4" t="s">
        <v>207</v>
      </c>
      <c r="B1175" s="4" t="s">
        <v>208</v>
      </c>
      <c r="C1175" s="4" t="s">
        <v>57</v>
      </c>
      <c r="D1175" s="16" t="n">
        <v>45689</v>
      </c>
      <c r="E1175" s="4" t="n">
        <v>2025</v>
      </c>
      <c r="F1175" s="4" t="n">
        <v>2</v>
      </c>
      <c r="G1175" s="17" t="n">
        <v>57007566</v>
      </c>
      <c r="H1175" s="18" t="n">
        <f aca="false">G1175*$B$1/1000000</f>
        <v>125.680169620207</v>
      </c>
    </row>
    <row r="1176" customFormat="false" ht="15" hidden="false" customHeight="false" outlineLevel="0" collapsed="false">
      <c r="A1176" s="4" t="s">
        <v>207</v>
      </c>
      <c r="B1176" s="4" t="s">
        <v>208</v>
      </c>
      <c r="C1176" s="4" t="s">
        <v>57</v>
      </c>
      <c r="D1176" s="16" t="n">
        <v>45717</v>
      </c>
      <c r="E1176" s="4" t="n">
        <v>2025</v>
      </c>
      <c r="F1176" s="4" t="n">
        <v>3</v>
      </c>
      <c r="G1176" s="17" t="n">
        <v>88790552</v>
      </c>
      <c r="H1176" s="18" t="n">
        <f aca="false">G1176*$B$1/1000000</f>
        <v>195.749659545749</v>
      </c>
    </row>
    <row r="1177" customFormat="false" ht="15" hidden="false" customHeight="false" outlineLevel="0" collapsed="false">
      <c r="A1177" s="4" t="s">
        <v>207</v>
      </c>
      <c r="B1177" s="4" t="s">
        <v>208</v>
      </c>
      <c r="C1177" s="4" t="s">
        <v>57</v>
      </c>
      <c r="D1177" s="16" t="n">
        <v>45748</v>
      </c>
      <c r="E1177" s="4" t="n">
        <v>2025</v>
      </c>
      <c r="F1177" s="4" t="n">
        <v>4</v>
      </c>
      <c r="G1177" s="17" t="n">
        <v>35280</v>
      </c>
      <c r="H1177" s="18" t="n">
        <f aca="false">G1177*$B$1/1000000</f>
        <v>0.077779086098868</v>
      </c>
    </row>
    <row r="1178" customFormat="false" ht="15" hidden="false" customHeight="false" outlineLevel="0" collapsed="false">
      <c r="A1178" s="4" t="s">
        <v>207</v>
      </c>
      <c r="B1178" s="4" t="s">
        <v>208</v>
      </c>
      <c r="C1178" s="4" t="s">
        <v>57</v>
      </c>
      <c r="D1178" s="16" t="n">
        <v>45778</v>
      </c>
      <c r="E1178" s="4" t="n">
        <v>2025</v>
      </c>
      <c r="F1178" s="4" t="n">
        <v>5</v>
      </c>
      <c r="G1178" s="17" t="n">
        <v>68910837</v>
      </c>
      <c r="H1178" s="18" t="n">
        <f aca="false">G1178*$B$1/1000000</f>
        <v>151.922390140818</v>
      </c>
    </row>
    <row r="1179" customFormat="false" ht="15" hidden="false" customHeight="false" outlineLevel="0" collapsed="false">
      <c r="A1179" s="4" t="s">
        <v>207</v>
      </c>
      <c r="B1179" s="4" t="s">
        <v>208</v>
      </c>
      <c r="C1179" s="4" t="s">
        <v>57</v>
      </c>
      <c r="D1179" s="16" t="n">
        <v>45809</v>
      </c>
      <c r="E1179" s="4" t="n">
        <v>2025</v>
      </c>
      <c r="F1179" s="4" t="n">
        <v>6</v>
      </c>
      <c r="G1179" s="17" t="n">
        <v>35907521</v>
      </c>
      <c r="H1179" s="18" t="n">
        <f aca="false">G1179*$B$1/1000000</f>
        <v>79.1625330911539</v>
      </c>
    </row>
    <row r="1180" customFormat="false" ht="15" hidden="false" customHeight="false" outlineLevel="0" collapsed="false">
      <c r="A1180" s="4" t="s">
        <v>207</v>
      </c>
      <c r="B1180" s="4" t="s">
        <v>208</v>
      </c>
      <c r="C1180" s="4" t="s">
        <v>57</v>
      </c>
      <c r="D1180" s="16" t="n">
        <v>45839</v>
      </c>
      <c r="E1180" s="4" t="n">
        <v>2025</v>
      </c>
      <c r="F1180" s="4" t="n">
        <v>7</v>
      </c>
      <c r="G1180" s="17" t="n">
        <v>32413723</v>
      </c>
      <c r="H1180" s="18" t="n">
        <f aca="false">G1180*$B$1/1000000</f>
        <v>71.4600269841797</v>
      </c>
    </row>
    <row r="1181" customFormat="false" ht="15" hidden="false" customHeight="false" outlineLevel="0" collapsed="false">
      <c r="A1181" s="4" t="s">
        <v>207</v>
      </c>
      <c r="B1181" s="4" t="s">
        <v>208</v>
      </c>
      <c r="C1181" s="4" t="s">
        <v>57</v>
      </c>
      <c r="D1181" s="16" t="n">
        <v>45870</v>
      </c>
      <c r="E1181" s="4" t="n">
        <v>2025</v>
      </c>
      <c r="F1181" s="4" t="n">
        <v>8</v>
      </c>
      <c r="G1181" s="17" t="n">
        <v>30510181</v>
      </c>
      <c r="H1181" s="18" t="n">
        <f aca="false">G1181*$B$1/1000000</f>
        <v>67.263435229338</v>
      </c>
    </row>
    <row r="1182" customFormat="false" ht="15" hidden="false" customHeight="false" outlineLevel="0" collapsed="false">
      <c r="A1182" s="4" t="s">
        <v>207</v>
      </c>
      <c r="B1182" s="4" t="s">
        <v>208</v>
      </c>
      <c r="C1182" s="4" t="s">
        <v>57</v>
      </c>
      <c r="D1182" s="16" t="n">
        <v>45901</v>
      </c>
      <c r="E1182" s="4" t="n">
        <v>2025</v>
      </c>
      <c r="F1182" s="4" t="n">
        <v>9</v>
      </c>
      <c r="G1182" s="17" t="n">
        <v>49818699</v>
      </c>
      <c r="H1182" s="18" t="n">
        <f aca="false">G1182*$B$1/1000000</f>
        <v>109.831430806536</v>
      </c>
    </row>
    <row r="1183" customFormat="false" ht="15" hidden="false" customHeight="false" outlineLevel="0" collapsed="false">
      <c r="A1183" s="4" t="s">
        <v>207</v>
      </c>
      <c r="B1183" s="4" t="s">
        <v>208</v>
      </c>
      <c r="C1183" s="4" t="s">
        <v>57</v>
      </c>
      <c r="D1183" s="16" t="n">
        <v>45931</v>
      </c>
      <c r="E1183" s="4" t="n">
        <v>2025</v>
      </c>
      <c r="F1183" s="4" t="n">
        <v>10</v>
      </c>
      <c r="G1183" s="17" t="n">
        <v>3075</v>
      </c>
      <c r="H1183" s="18" t="n">
        <f aca="false">G1183*$B$1/1000000</f>
        <v>0.00677921456218875</v>
      </c>
    </row>
    <row r="1184" customFormat="false" ht="15" hidden="false" customHeight="false" outlineLevel="0" collapsed="false">
      <c r="A1184" s="4" t="s">
        <v>207</v>
      </c>
      <c r="B1184" s="4" t="s">
        <v>208</v>
      </c>
      <c r="C1184" s="4" t="s">
        <v>57</v>
      </c>
      <c r="D1184" s="16" t="n">
        <v>45962</v>
      </c>
      <c r="E1184" s="4" t="n">
        <v>2025</v>
      </c>
      <c r="F1184" s="4" t="n">
        <v>11</v>
      </c>
      <c r="G1184" s="17" t="n">
        <v>73650126</v>
      </c>
      <c r="H1184" s="18" t="n">
        <f aca="false">G1184*$B$1/1000000</f>
        <v>162.370733881703</v>
      </c>
    </row>
    <row r="1185" customFormat="false" ht="15" hidden="false" customHeight="false" outlineLevel="0" collapsed="false">
      <c r="A1185" s="4" t="s">
        <v>207</v>
      </c>
      <c r="B1185" s="4" t="s">
        <v>208</v>
      </c>
      <c r="C1185" s="4" t="s">
        <v>57</v>
      </c>
      <c r="D1185" s="16" t="n">
        <v>45992</v>
      </c>
      <c r="E1185" s="4" t="n">
        <v>2025</v>
      </c>
      <c r="F1185" s="4" t="n">
        <v>12</v>
      </c>
      <c r="G1185" s="17" t="n">
        <v>42513574</v>
      </c>
      <c r="H1185" s="18" t="n">
        <f aca="false">G1185*$B$1/1000000</f>
        <v>93.726386976094</v>
      </c>
    </row>
    <row r="1186" customFormat="false" ht="15" hidden="false" customHeight="false" outlineLevel="0" collapsed="false">
      <c r="A1186" s="4" t="s">
        <v>207</v>
      </c>
      <c r="B1186" s="4" t="s">
        <v>208</v>
      </c>
      <c r="C1186" s="4" t="s">
        <v>57</v>
      </c>
      <c r="D1186" s="16" t="n">
        <v>46023</v>
      </c>
      <c r="E1186" s="4" t="n">
        <v>2026</v>
      </c>
      <c r="F1186" s="4" t="n">
        <v>1</v>
      </c>
      <c r="G1186" s="17" t="n">
        <v>8</v>
      </c>
      <c r="H1186" s="18" t="n">
        <f aca="false">G1186*$B$1/1000000</f>
        <v>1.76369809748E-005</v>
      </c>
    </row>
    <row r="1187" customFormat="false" ht="15" hidden="false" customHeight="false" outlineLevel="0" collapsed="false">
      <c r="A1187" s="4" t="s">
        <v>207</v>
      </c>
      <c r="B1187" s="4" t="s">
        <v>208</v>
      </c>
      <c r="C1187" s="4" t="s">
        <v>57</v>
      </c>
      <c r="D1187" s="16" t="n">
        <v>46054</v>
      </c>
      <c r="E1187" s="4" t="n">
        <v>2026</v>
      </c>
      <c r="F1187" s="4" t="n">
        <v>2</v>
      </c>
      <c r="G1187" s="17" t="n">
        <v>52056418</v>
      </c>
      <c r="H1187" s="18" t="n">
        <f aca="false">G1187*$B$1/1000000</f>
        <v>114.76475673528</v>
      </c>
    </row>
    <row r="1188" customFormat="false" ht="15" hidden="false" customHeight="false" outlineLevel="0" collapsed="false">
      <c r="A1188" s="4" t="s">
        <v>207</v>
      </c>
      <c r="B1188" s="4" t="s">
        <v>208</v>
      </c>
      <c r="C1188" s="4" t="s">
        <v>57</v>
      </c>
      <c r="D1188" s="16" t="n">
        <v>46082</v>
      </c>
      <c r="E1188" s="4" t="n">
        <v>2026</v>
      </c>
      <c r="F1188" s="4" t="n">
        <v>3</v>
      </c>
      <c r="G1188" s="17" t="n">
        <v>6418923</v>
      </c>
      <c r="H1188" s="18" t="n">
        <f aca="false">G1188*$B$1/1000000</f>
        <v>14.1513028537133</v>
      </c>
    </row>
    <row r="1189" customFormat="false" ht="15" hidden="false" customHeight="false" outlineLevel="0" collapsed="false">
      <c r="A1189" s="4" t="s">
        <v>207</v>
      </c>
      <c r="B1189" s="4" t="s">
        <v>208</v>
      </c>
      <c r="C1189" s="4" t="s">
        <v>57</v>
      </c>
      <c r="D1189" s="16" t="n">
        <v>46113</v>
      </c>
      <c r="E1189" s="4" t="n">
        <v>2026</v>
      </c>
      <c r="F1189" s="4" t="n">
        <v>4</v>
      </c>
      <c r="G1189" s="17" t="n">
        <v>6096888</v>
      </c>
      <c r="H1189" s="18" t="n">
        <f aca="false">G1189*$B$1/1000000</f>
        <v>13.4413372076858</v>
      </c>
    </row>
    <row r="1190" customFormat="false" ht="15" hidden="false" customHeight="false" outlineLevel="0" collapsed="false">
      <c r="A1190" s="4" t="s">
        <v>207</v>
      </c>
      <c r="B1190" s="4" t="s">
        <v>208</v>
      </c>
      <c r="C1190" s="4" t="s">
        <v>57</v>
      </c>
      <c r="D1190" s="16" t="n">
        <v>46143</v>
      </c>
      <c r="E1190" s="4" t="n">
        <v>2026</v>
      </c>
      <c r="F1190" s="4" t="n">
        <v>5</v>
      </c>
      <c r="G1190" s="17" t="n">
        <v>39007973</v>
      </c>
      <c r="H1190" s="18" t="n">
        <f aca="false">G1190*$B$1/1000000</f>
        <v>85.997859708314</v>
      </c>
    </row>
    <row r="1191" customFormat="false" ht="15" hidden="false" customHeight="false" outlineLevel="0" collapsed="false">
      <c r="A1191" s="4" t="s">
        <v>207</v>
      </c>
      <c r="B1191" s="4" t="s">
        <v>208</v>
      </c>
      <c r="C1191" s="4" t="s">
        <v>57</v>
      </c>
      <c r="D1191" s="16" t="n">
        <v>46174</v>
      </c>
      <c r="E1191" s="4" t="n">
        <v>2026</v>
      </c>
      <c r="F1191" s="4" t="n">
        <v>6</v>
      </c>
      <c r="G1191" s="17" t="n">
        <v>75686734</v>
      </c>
      <c r="H1191" s="18" t="n">
        <f aca="false">G1191*$B$1/1000000</f>
        <v>166.860685950344</v>
      </c>
    </row>
    <row r="1192" customFormat="false" ht="15" hidden="false" customHeight="false" outlineLevel="0" collapsed="false">
      <c r="A1192" s="4" t="s">
        <v>207</v>
      </c>
      <c r="B1192" s="4" t="s">
        <v>208</v>
      </c>
      <c r="C1192" s="4" t="s">
        <v>57</v>
      </c>
      <c r="D1192" s="16" t="n">
        <v>46204</v>
      </c>
      <c r="E1192" s="4" t="n">
        <v>2026</v>
      </c>
      <c r="F1192" s="4" t="n">
        <v>7</v>
      </c>
      <c r="G1192" s="17" t="n">
        <v>163482931</v>
      </c>
      <c r="H1192" s="18" t="n">
        <f aca="false">G1192*$B$1/1000000</f>
        <v>360.418167968943</v>
      </c>
    </row>
    <row r="1193" customFormat="false" ht="15" hidden="false" customHeight="false" outlineLevel="0" collapsed="false">
      <c r="A1193" s="4" t="s">
        <v>207</v>
      </c>
      <c r="B1193" s="4" t="s">
        <v>208</v>
      </c>
      <c r="C1193" s="4" t="s">
        <v>57</v>
      </c>
      <c r="D1193" s="16" t="n">
        <v>46235</v>
      </c>
      <c r="E1193" s="4" t="n">
        <v>2026</v>
      </c>
      <c r="F1193" s="4" t="n">
        <v>8</v>
      </c>
      <c r="G1193" s="17" t="n">
        <v>103204840</v>
      </c>
      <c r="H1193" s="18" t="n">
        <f aca="false">G1193*$B$1/1000000</f>
        <v>227.52772494841</v>
      </c>
    </row>
    <row r="1194" customFormat="false" ht="15" hidden="false" customHeight="false" outlineLevel="0" collapsed="false">
      <c r="A1194" s="4" t="s">
        <v>207</v>
      </c>
      <c r="B1194" s="4" t="s">
        <v>208</v>
      </c>
      <c r="C1194" s="4" t="s">
        <v>92</v>
      </c>
      <c r="D1194" s="16" t="n">
        <v>44440</v>
      </c>
      <c r="E1194" s="4" t="n">
        <v>2021</v>
      </c>
      <c r="F1194" s="4" t="n">
        <v>9</v>
      </c>
      <c r="G1194" s="17" t="n">
        <v>112205</v>
      </c>
      <c r="H1194" s="18" t="n">
        <f aca="false">G1194*$B$1/1000000</f>
        <v>0.247369681284679</v>
      </c>
    </row>
    <row r="1195" customFormat="false" ht="15" hidden="false" customHeight="false" outlineLevel="0" collapsed="false">
      <c r="A1195" s="4" t="s">
        <v>207</v>
      </c>
      <c r="B1195" s="4" t="s">
        <v>208</v>
      </c>
      <c r="C1195" s="4" t="s">
        <v>92</v>
      </c>
      <c r="D1195" s="16" t="n">
        <v>44470</v>
      </c>
      <c r="E1195" s="4" t="n">
        <v>2021</v>
      </c>
      <c r="F1195" s="4" t="n">
        <v>10</v>
      </c>
      <c r="G1195" s="17" t="n">
        <v>79772</v>
      </c>
      <c r="H1195" s="18" t="n">
        <f aca="false">G1195*$B$1/1000000</f>
        <v>0.175867155790218</v>
      </c>
    </row>
    <row r="1196" customFormat="false" ht="15" hidden="false" customHeight="false" outlineLevel="0" collapsed="false">
      <c r="A1196" s="4" t="s">
        <v>207</v>
      </c>
      <c r="B1196" s="4" t="s">
        <v>208</v>
      </c>
      <c r="C1196" s="4" t="s">
        <v>92</v>
      </c>
      <c r="D1196" s="16" t="n">
        <v>44501</v>
      </c>
      <c r="E1196" s="4" t="n">
        <v>2021</v>
      </c>
      <c r="F1196" s="4" t="n">
        <v>11</v>
      </c>
      <c r="G1196" s="17" t="n">
        <v>2941502</v>
      </c>
      <c r="H1196" s="18" t="n">
        <f aca="false">G1196*$B$1/1000000</f>
        <v>6.48490185141702</v>
      </c>
    </row>
    <row r="1197" customFormat="false" ht="15" hidden="false" customHeight="false" outlineLevel="0" collapsed="false">
      <c r="A1197" s="4" t="s">
        <v>207</v>
      </c>
      <c r="B1197" s="4" t="s">
        <v>208</v>
      </c>
      <c r="C1197" s="4" t="s">
        <v>92</v>
      </c>
      <c r="D1197" s="16" t="n">
        <v>44531</v>
      </c>
      <c r="E1197" s="4" t="n">
        <v>2021</v>
      </c>
      <c r="F1197" s="4" t="n">
        <v>12</v>
      </c>
      <c r="G1197" s="17" t="n">
        <v>82813</v>
      </c>
      <c r="H1197" s="18" t="n">
        <f aca="false">G1197*$B$1/1000000</f>
        <v>0.182571413183264</v>
      </c>
    </row>
    <row r="1198" customFormat="false" ht="15" hidden="false" customHeight="false" outlineLevel="0" collapsed="false">
      <c r="A1198" s="4" t="s">
        <v>207</v>
      </c>
      <c r="B1198" s="4" t="s">
        <v>208</v>
      </c>
      <c r="C1198" s="4" t="s">
        <v>92</v>
      </c>
      <c r="D1198" s="16" t="n">
        <v>44621</v>
      </c>
      <c r="E1198" s="4" t="n">
        <v>2022</v>
      </c>
      <c r="F1198" s="4" t="n">
        <v>3</v>
      </c>
      <c r="G1198" s="17" t="n">
        <v>2079494</v>
      </c>
      <c r="H1198" s="18" t="n">
        <f aca="false">G1198*$B$1/1000000</f>
        <v>4.58449951440134</v>
      </c>
    </row>
    <row r="1199" customFormat="false" ht="15" hidden="false" customHeight="false" outlineLevel="0" collapsed="false">
      <c r="A1199" s="4" t="s">
        <v>207</v>
      </c>
      <c r="B1199" s="4" t="s">
        <v>208</v>
      </c>
      <c r="C1199" s="4" t="s">
        <v>92</v>
      </c>
      <c r="D1199" s="16" t="n">
        <v>44652</v>
      </c>
      <c r="E1199" s="4" t="n">
        <v>2022</v>
      </c>
      <c r="F1199" s="4" t="n">
        <v>4</v>
      </c>
      <c r="G1199" s="17" t="n">
        <v>615178</v>
      </c>
      <c r="H1199" s="18" t="n">
        <f aca="false">G1199*$B$1/1000000</f>
        <v>1.35623533526444</v>
      </c>
    </row>
    <row r="1200" customFormat="false" ht="15" hidden="false" customHeight="false" outlineLevel="0" collapsed="false">
      <c r="A1200" s="4" t="s">
        <v>207</v>
      </c>
      <c r="B1200" s="4" t="s">
        <v>208</v>
      </c>
      <c r="C1200" s="4" t="s">
        <v>92</v>
      </c>
      <c r="D1200" s="16" t="n">
        <v>44682</v>
      </c>
      <c r="E1200" s="4" t="n">
        <v>2022</v>
      </c>
      <c r="F1200" s="4" t="n">
        <v>5</v>
      </c>
      <c r="G1200" s="17" t="n">
        <v>2022803</v>
      </c>
      <c r="H1200" s="18" t="n">
        <f aca="false">G1200*$B$1/1000000</f>
        <v>4.45951725334605</v>
      </c>
    </row>
    <row r="1201" customFormat="false" ht="15" hidden="false" customHeight="false" outlineLevel="0" collapsed="false">
      <c r="A1201" s="4" t="s">
        <v>207</v>
      </c>
      <c r="B1201" s="4" t="s">
        <v>208</v>
      </c>
      <c r="C1201" s="4" t="s">
        <v>92</v>
      </c>
      <c r="D1201" s="16" t="n">
        <v>44743</v>
      </c>
      <c r="E1201" s="4" t="n">
        <v>2022</v>
      </c>
      <c r="F1201" s="4" t="n">
        <v>7</v>
      </c>
      <c r="G1201" s="17" t="n">
        <v>60705</v>
      </c>
      <c r="H1201" s="18" t="n">
        <f aca="false">G1201*$B$1/1000000</f>
        <v>0.133831616259404</v>
      </c>
    </row>
    <row r="1202" customFormat="false" ht="15" hidden="false" customHeight="false" outlineLevel="0" collapsed="false">
      <c r="A1202" s="4" t="s">
        <v>207</v>
      </c>
      <c r="B1202" s="4" t="s">
        <v>208</v>
      </c>
      <c r="C1202" s="4" t="s">
        <v>92</v>
      </c>
      <c r="D1202" s="16" t="n">
        <v>44774</v>
      </c>
      <c r="E1202" s="4" t="n">
        <v>2022</v>
      </c>
      <c r="F1202" s="4" t="n">
        <v>8</v>
      </c>
      <c r="G1202" s="17" t="n">
        <v>324903</v>
      </c>
      <c r="H1202" s="18" t="n">
        <f aca="false">G1202*$B$1/1000000</f>
        <v>0.716288503706931</v>
      </c>
    </row>
    <row r="1203" customFormat="false" ht="15" hidden="false" customHeight="false" outlineLevel="0" collapsed="false">
      <c r="A1203" s="4" t="s">
        <v>207</v>
      </c>
      <c r="B1203" s="4" t="s">
        <v>208</v>
      </c>
      <c r="C1203" s="4" t="s">
        <v>92</v>
      </c>
      <c r="D1203" s="16" t="n">
        <v>44805</v>
      </c>
      <c r="E1203" s="4" t="n">
        <v>2022</v>
      </c>
      <c r="F1203" s="4" t="n">
        <v>9</v>
      </c>
      <c r="G1203" s="17" t="n">
        <v>56920</v>
      </c>
      <c r="H1203" s="18" t="n">
        <f aca="false">G1203*$B$1/1000000</f>
        <v>0.125487119635702</v>
      </c>
    </row>
    <row r="1204" customFormat="false" ht="15" hidden="false" customHeight="false" outlineLevel="0" collapsed="false">
      <c r="A1204" s="4" t="s">
        <v>207</v>
      </c>
      <c r="B1204" s="4" t="s">
        <v>208</v>
      </c>
      <c r="C1204" s="4" t="s">
        <v>92</v>
      </c>
      <c r="D1204" s="16" t="n">
        <v>44835</v>
      </c>
      <c r="E1204" s="4" t="n">
        <v>2022</v>
      </c>
      <c r="F1204" s="4" t="n">
        <v>10</v>
      </c>
      <c r="G1204" s="17" t="n">
        <v>32128</v>
      </c>
      <c r="H1204" s="18" t="n">
        <f aca="false">G1204*$B$1/1000000</f>
        <v>0.0708301155947968</v>
      </c>
    </row>
    <row r="1205" customFormat="false" ht="15" hidden="false" customHeight="false" outlineLevel="0" collapsed="false">
      <c r="A1205" s="4" t="s">
        <v>207</v>
      </c>
      <c r="B1205" s="4" t="s">
        <v>208</v>
      </c>
      <c r="C1205" s="4" t="s">
        <v>92</v>
      </c>
      <c r="D1205" s="16" t="n">
        <v>44866</v>
      </c>
      <c r="E1205" s="4" t="n">
        <v>2022</v>
      </c>
      <c r="F1205" s="4" t="n">
        <v>11</v>
      </c>
      <c r="G1205" s="17" t="n">
        <v>4390604</v>
      </c>
      <c r="H1205" s="18" t="n">
        <f aca="false">G1205*$B$1/1000000</f>
        <v>9.6796249019851</v>
      </c>
    </row>
    <row r="1206" customFormat="false" ht="15" hidden="false" customHeight="false" outlineLevel="0" collapsed="false">
      <c r="A1206" s="4" t="s">
        <v>207</v>
      </c>
      <c r="B1206" s="4" t="s">
        <v>208</v>
      </c>
      <c r="C1206" s="4" t="s">
        <v>92</v>
      </c>
      <c r="D1206" s="16" t="n">
        <v>44896</v>
      </c>
      <c r="E1206" s="4" t="n">
        <v>2022</v>
      </c>
      <c r="F1206" s="4" t="n">
        <v>12</v>
      </c>
      <c r="G1206" s="17" t="n">
        <v>646379</v>
      </c>
      <c r="H1206" s="18" t="n">
        <f aca="false">G1206*$B$1/1000000</f>
        <v>1.42502176568878</v>
      </c>
    </row>
    <row r="1207" customFormat="false" ht="15" hidden="false" customHeight="false" outlineLevel="0" collapsed="false">
      <c r="A1207" s="4" t="s">
        <v>207</v>
      </c>
      <c r="B1207" s="4" t="s">
        <v>208</v>
      </c>
      <c r="C1207" s="4" t="s">
        <v>92</v>
      </c>
      <c r="D1207" s="16" t="n">
        <v>44927</v>
      </c>
      <c r="E1207" s="4" t="n">
        <v>2023</v>
      </c>
      <c r="F1207" s="4" t="n">
        <v>1</v>
      </c>
      <c r="G1207" s="17" t="n">
        <v>2585398</v>
      </c>
      <c r="H1207" s="18" t="n">
        <f aca="false">G1207*$B$1/1000000</f>
        <v>5.69982691728575</v>
      </c>
    </row>
    <row r="1208" customFormat="false" ht="15" hidden="false" customHeight="false" outlineLevel="0" collapsed="false">
      <c r="A1208" s="4" t="s">
        <v>207</v>
      </c>
      <c r="B1208" s="4" t="s">
        <v>208</v>
      </c>
      <c r="C1208" s="4" t="s">
        <v>92</v>
      </c>
      <c r="D1208" s="16" t="n">
        <v>44958</v>
      </c>
      <c r="E1208" s="4" t="n">
        <v>2023</v>
      </c>
      <c r="F1208" s="4" t="n">
        <v>2</v>
      </c>
      <c r="G1208" s="17" t="n">
        <v>4968107</v>
      </c>
      <c r="H1208" s="18" t="n">
        <f aca="false">G1208*$B$1/1000000</f>
        <v>10.9528010799713</v>
      </c>
    </row>
    <row r="1209" customFormat="false" ht="15" hidden="false" customHeight="false" outlineLevel="0" collapsed="false">
      <c r="A1209" s="4" t="s">
        <v>207</v>
      </c>
      <c r="B1209" s="4" t="s">
        <v>208</v>
      </c>
      <c r="C1209" s="4" t="s">
        <v>92</v>
      </c>
      <c r="D1209" s="16" t="n">
        <v>45047</v>
      </c>
      <c r="E1209" s="4" t="n">
        <v>2023</v>
      </c>
      <c r="F1209" s="4" t="n">
        <v>5</v>
      </c>
      <c r="G1209" s="17" t="n">
        <v>5425362</v>
      </c>
      <c r="H1209" s="18" t="n">
        <f aca="false">G1209*$B$1/1000000</f>
        <v>11.9608757969254</v>
      </c>
    </row>
    <row r="1210" customFormat="false" ht="15" hidden="false" customHeight="false" outlineLevel="0" collapsed="false">
      <c r="A1210" s="4" t="s">
        <v>207</v>
      </c>
      <c r="B1210" s="4" t="s">
        <v>208</v>
      </c>
      <c r="C1210" s="4" t="s">
        <v>92</v>
      </c>
      <c r="D1210" s="16" t="n">
        <v>45078</v>
      </c>
      <c r="E1210" s="4" t="n">
        <v>2023</v>
      </c>
      <c r="F1210" s="4" t="n">
        <v>6</v>
      </c>
      <c r="G1210" s="17" t="n">
        <v>5792692</v>
      </c>
      <c r="H1210" s="18" t="n">
        <f aca="false">G1210*$B$1/1000000</f>
        <v>12.7706998246095</v>
      </c>
    </row>
    <row r="1211" customFormat="false" ht="15" hidden="false" customHeight="false" outlineLevel="0" collapsed="false">
      <c r="A1211" s="4" t="s">
        <v>207</v>
      </c>
      <c r="B1211" s="4" t="s">
        <v>208</v>
      </c>
      <c r="C1211" s="4" t="s">
        <v>92</v>
      </c>
      <c r="D1211" s="16" t="n">
        <v>45108</v>
      </c>
      <c r="E1211" s="4" t="n">
        <v>2023</v>
      </c>
      <c r="F1211" s="4" t="n">
        <v>7</v>
      </c>
      <c r="G1211" s="17" t="n">
        <v>1281329</v>
      </c>
      <c r="H1211" s="18" t="n">
        <f aca="false">G1211*$B$1/1000000</f>
        <v>2.82484689943244</v>
      </c>
    </row>
    <row r="1212" customFormat="false" ht="15" hidden="false" customHeight="false" outlineLevel="0" collapsed="false">
      <c r="A1212" s="4" t="s">
        <v>207</v>
      </c>
      <c r="B1212" s="4" t="s">
        <v>208</v>
      </c>
      <c r="C1212" s="4" t="s">
        <v>92</v>
      </c>
      <c r="D1212" s="16" t="n">
        <v>45139</v>
      </c>
      <c r="E1212" s="4" t="n">
        <v>2023</v>
      </c>
      <c r="F1212" s="4" t="n">
        <v>8</v>
      </c>
      <c r="G1212" s="17" t="n">
        <v>6871045</v>
      </c>
      <c r="H1212" s="18" t="n">
        <f aca="false">G1212*$B$1/1000000</f>
        <v>15.1480612427493</v>
      </c>
    </row>
    <row r="1213" customFormat="false" ht="15" hidden="false" customHeight="false" outlineLevel="0" collapsed="false">
      <c r="A1213" s="4" t="s">
        <v>207</v>
      </c>
      <c r="B1213" s="4" t="s">
        <v>208</v>
      </c>
      <c r="C1213" s="4" t="s">
        <v>92</v>
      </c>
      <c r="D1213" s="16" t="n">
        <v>45170</v>
      </c>
      <c r="E1213" s="4" t="n">
        <v>2023</v>
      </c>
      <c r="F1213" s="4" t="n">
        <v>9</v>
      </c>
      <c r="G1213" s="17" t="n">
        <v>6350646</v>
      </c>
      <c r="H1213" s="18" t="n">
        <f aca="false">G1213*$B$1/1000000</f>
        <v>14.0007778349612</v>
      </c>
    </row>
    <row r="1214" customFormat="false" ht="15" hidden="false" customHeight="false" outlineLevel="0" collapsed="false">
      <c r="A1214" s="4" t="s">
        <v>207</v>
      </c>
      <c r="B1214" s="4" t="s">
        <v>208</v>
      </c>
      <c r="C1214" s="4" t="s">
        <v>92</v>
      </c>
      <c r="D1214" s="16" t="n">
        <v>45200</v>
      </c>
      <c r="E1214" s="4" t="n">
        <v>2023</v>
      </c>
      <c r="F1214" s="4" t="n">
        <v>10</v>
      </c>
      <c r="G1214" s="17" t="n">
        <v>1338365</v>
      </c>
      <c r="H1214" s="18" t="n">
        <f aca="false">G1214*$B$1/1000000</f>
        <v>2.95058975529228</v>
      </c>
    </row>
    <row r="1215" customFormat="false" ht="15" hidden="false" customHeight="false" outlineLevel="0" collapsed="false">
      <c r="A1215" s="4" t="s">
        <v>207</v>
      </c>
      <c r="B1215" s="4" t="s">
        <v>208</v>
      </c>
      <c r="C1215" s="4" t="s">
        <v>92</v>
      </c>
      <c r="D1215" s="16" t="n">
        <v>45231</v>
      </c>
      <c r="E1215" s="4" t="n">
        <v>2023</v>
      </c>
      <c r="F1215" s="4" t="n">
        <v>11</v>
      </c>
      <c r="G1215" s="17" t="n">
        <v>853540</v>
      </c>
      <c r="H1215" s="18" t="n">
        <f aca="false">G1215*$B$1/1000000</f>
        <v>1.88173359265385</v>
      </c>
    </row>
    <row r="1216" customFormat="false" ht="15" hidden="false" customHeight="false" outlineLevel="0" collapsed="false">
      <c r="A1216" s="4" t="s">
        <v>207</v>
      </c>
      <c r="B1216" s="4" t="s">
        <v>208</v>
      </c>
      <c r="C1216" s="4" t="s">
        <v>92</v>
      </c>
      <c r="D1216" s="16" t="n">
        <v>45261</v>
      </c>
      <c r="E1216" s="4" t="n">
        <v>2023</v>
      </c>
      <c r="F1216" s="4" t="n">
        <v>12</v>
      </c>
      <c r="G1216" s="17" t="n">
        <v>204620</v>
      </c>
      <c r="H1216" s="18" t="n">
        <f aca="false">G1216*$B$1/1000000</f>
        <v>0.451109880882947</v>
      </c>
    </row>
    <row r="1217" customFormat="false" ht="15" hidden="false" customHeight="false" outlineLevel="0" collapsed="false">
      <c r="A1217" s="4" t="s">
        <v>207</v>
      </c>
      <c r="B1217" s="4" t="s">
        <v>208</v>
      </c>
      <c r="C1217" s="4" t="s">
        <v>92</v>
      </c>
      <c r="D1217" s="16" t="n">
        <v>45292</v>
      </c>
      <c r="E1217" s="4" t="n">
        <v>2024</v>
      </c>
      <c r="F1217" s="4" t="n">
        <v>1</v>
      </c>
      <c r="G1217" s="17" t="n">
        <v>9869572</v>
      </c>
      <c r="H1217" s="18" t="n">
        <f aca="false">G1217*$B$1/1000000</f>
        <v>21.7586816991773</v>
      </c>
    </row>
    <row r="1218" customFormat="false" ht="15" hidden="false" customHeight="false" outlineLevel="0" collapsed="false">
      <c r="A1218" s="4" t="s">
        <v>207</v>
      </c>
      <c r="B1218" s="4" t="s">
        <v>208</v>
      </c>
      <c r="C1218" s="4" t="s">
        <v>92</v>
      </c>
      <c r="D1218" s="16" t="n">
        <v>45323</v>
      </c>
      <c r="E1218" s="4" t="n">
        <v>2024</v>
      </c>
      <c r="F1218" s="4" t="n">
        <v>2</v>
      </c>
      <c r="G1218" s="17" t="n">
        <v>10679512</v>
      </c>
      <c r="H1218" s="18" t="n">
        <f aca="false">G1218*$B$1/1000000</f>
        <v>23.5442937455185</v>
      </c>
    </row>
    <row r="1219" customFormat="false" ht="15" hidden="false" customHeight="false" outlineLevel="0" collapsed="false">
      <c r="A1219" s="4" t="s">
        <v>207</v>
      </c>
      <c r="B1219" s="4" t="s">
        <v>208</v>
      </c>
      <c r="C1219" s="4" t="s">
        <v>92</v>
      </c>
      <c r="D1219" s="16" t="n">
        <v>45383</v>
      </c>
      <c r="E1219" s="4" t="n">
        <v>2024</v>
      </c>
      <c r="F1219" s="4" t="n">
        <v>4</v>
      </c>
      <c r="G1219" s="17" t="n">
        <v>7598970</v>
      </c>
      <c r="H1219" s="18" t="n">
        <f aca="false">G1219*$B$1/1000000</f>
        <v>16.7528611647595</v>
      </c>
    </row>
    <row r="1220" customFormat="false" ht="15" hidden="false" customHeight="false" outlineLevel="0" collapsed="false">
      <c r="A1220" s="4" t="s">
        <v>207</v>
      </c>
      <c r="B1220" s="4" t="s">
        <v>208</v>
      </c>
      <c r="C1220" s="4" t="s">
        <v>92</v>
      </c>
      <c r="D1220" s="16" t="n">
        <v>45413</v>
      </c>
      <c r="E1220" s="4" t="n">
        <v>2024</v>
      </c>
      <c r="F1220" s="4" t="n">
        <v>5</v>
      </c>
      <c r="G1220" s="17" t="n">
        <v>176110</v>
      </c>
      <c r="H1220" s="18" t="n">
        <f aca="false">G1220*$B$1/1000000</f>
        <v>0.388256089934003</v>
      </c>
    </row>
    <row r="1221" customFormat="false" ht="15" hidden="false" customHeight="false" outlineLevel="0" collapsed="false">
      <c r="A1221" s="4" t="s">
        <v>207</v>
      </c>
      <c r="B1221" s="4" t="s">
        <v>208</v>
      </c>
      <c r="C1221" s="4" t="s">
        <v>92</v>
      </c>
      <c r="D1221" s="16" t="n">
        <v>45444</v>
      </c>
      <c r="E1221" s="4" t="n">
        <v>2024</v>
      </c>
      <c r="F1221" s="4" t="n">
        <v>6</v>
      </c>
      <c r="G1221" s="17" t="n">
        <v>4301744</v>
      </c>
      <c r="H1221" s="18" t="n">
        <f aca="false">G1221*$B$1/1000000</f>
        <v>9.48372213580751</v>
      </c>
    </row>
    <row r="1222" customFormat="false" ht="15" hidden="false" customHeight="false" outlineLevel="0" collapsed="false">
      <c r="A1222" s="4" t="s">
        <v>207</v>
      </c>
      <c r="B1222" s="4" t="s">
        <v>208</v>
      </c>
      <c r="C1222" s="4" t="s">
        <v>92</v>
      </c>
      <c r="D1222" s="16" t="n">
        <v>45505</v>
      </c>
      <c r="E1222" s="4" t="n">
        <v>2024</v>
      </c>
      <c r="F1222" s="4" t="n">
        <v>8</v>
      </c>
      <c r="G1222" s="17" t="n">
        <v>6373326</v>
      </c>
      <c r="H1222" s="18" t="n">
        <f aca="false">G1222*$B$1/1000000</f>
        <v>14.0507786760248</v>
      </c>
    </row>
    <row r="1223" customFormat="false" ht="15" hidden="false" customHeight="false" outlineLevel="0" collapsed="false">
      <c r="A1223" s="4" t="s">
        <v>207</v>
      </c>
      <c r="B1223" s="4" t="s">
        <v>208</v>
      </c>
      <c r="C1223" s="4" t="s">
        <v>92</v>
      </c>
      <c r="D1223" s="16" t="n">
        <v>45536</v>
      </c>
      <c r="E1223" s="4" t="n">
        <v>2024</v>
      </c>
      <c r="F1223" s="4" t="n">
        <v>9</v>
      </c>
      <c r="G1223" s="17" t="n">
        <v>7287577</v>
      </c>
      <c r="H1223" s="18" t="n">
        <f aca="false">G1223*$B$1/1000000</f>
        <v>16.0663571126738</v>
      </c>
    </row>
    <row r="1224" customFormat="false" ht="15" hidden="false" customHeight="false" outlineLevel="0" collapsed="false">
      <c r="A1224" s="4" t="s">
        <v>207</v>
      </c>
      <c r="B1224" s="4" t="s">
        <v>208</v>
      </c>
      <c r="C1224" s="4" t="s">
        <v>92</v>
      </c>
      <c r="D1224" s="16" t="n">
        <v>45597</v>
      </c>
      <c r="E1224" s="4" t="n">
        <v>2024</v>
      </c>
      <c r="F1224" s="4" t="n">
        <v>11</v>
      </c>
      <c r="G1224" s="17" t="n">
        <v>5246025</v>
      </c>
      <c r="H1224" s="18" t="n">
        <f aca="false">G1224*$B$1/1000000</f>
        <v>11.5655053897906</v>
      </c>
    </row>
    <row r="1225" customFormat="false" ht="15" hidden="false" customHeight="false" outlineLevel="0" collapsed="false">
      <c r="A1225" s="4" t="s">
        <v>207</v>
      </c>
      <c r="B1225" s="4" t="s">
        <v>208</v>
      </c>
      <c r="C1225" s="4" t="s">
        <v>92</v>
      </c>
      <c r="D1225" s="16" t="n">
        <v>45627</v>
      </c>
      <c r="E1225" s="4" t="n">
        <v>2024</v>
      </c>
      <c r="F1225" s="4" t="n">
        <v>12</v>
      </c>
      <c r="G1225" s="17" t="n">
        <v>1854900</v>
      </c>
      <c r="H1225" s="18" t="n">
        <f aca="false">G1225*$B$1/1000000</f>
        <v>4.08935450126957</v>
      </c>
    </row>
    <row r="1226" customFormat="false" ht="15" hidden="false" customHeight="false" outlineLevel="0" collapsed="false">
      <c r="A1226" s="4" t="s">
        <v>207</v>
      </c>
      <c r="B1226" s="4" t="s">
        <v>208</v>
      </c>
      <c r="C1226" s="4" t="s">
        <v>92</v>
      </c>
      <c r="D1226" s="16" t="n">
        <v>45658</v>
      </c>
      <c r="E1226" s="4" t="n">
        <v>2025</v>
      </c>
      <c r="F1226" s="4" t="n">
        <v>1</v>
      </c>
      <c r="G1226" s="17" t="n">
        <v>6249115</v>
      </c>
      <c r="H1226" s="18" t="n">
        <f aca="false">G1226*$B$1/1000000</f>
        <v>13.7769402955422</v>
      </c>
    </row>
    <row r="1227" customFormat="false" ht="15" hidden="false" customHeight="false" outlineLevel="0" collapsed="false">
      <c r="A1227" s="4" t="s">
        <v>207</v>
      </c>
      <c r="B1227" s="4" t="s">
        <v>208</v>
      </c>
      <c r="C1227" s="4" t="s">
        <v>92</v>
      </c>
      <c r="D1227" s="16" t="n">
        <v>45748</v>
      </c>
      <c r="E1227" s="4" t="n">
        <v>2025</v>
      </c>
      <c r="F1227" s="4" t="n">
        <v>4</v>
      </c>
      <c r="G1227" s="17" t="n">
        <v>6149549</v>
      </c>
      <c r="H1227" s="18" t="n">
        <f aca="false">G1227*$B$1/1000000</f>
        <v>13.557434839575</v>
      </c>
    </row>
    <row r="1228" customFormat="false" ht="15" hidden="false" customHeight="false" outlineLevel="0" collapsed="false">
      <c r="A1228" s="4" t="s">
        <v>207</v>
      </c>
      <c r="B1228" s="4" t="s">
        <v>208</v>
      </c>
      <c r="C1228" s="4" t="s">
        <v>92</v>
      </c>
      <c r="D1228" s="16" t="n">
        <v>45778</v>
      </c>
      <c r="E1228" s="4" t="n">
        <v>2025</v>
      </c>
      <c r="F1228" s="4" t="n">
        <v>5</v>
      </c>
      <c r="G1228" s="17" t="n">
        <v>5443374</v>
      </c>
      <c r="H1228" s="18" t="n">
        <f aca="false">G1228*$B$1/1000000</f>
        <v>12.0005854595901</v>
      </c>
    </row>
    <row r="1229" customFormat="false" ht="15" hidden="false" customHeight="false" outlineLevel="0" collapsed="false">
      <c r="A1229" s="4" t="s">
        <v>207</v>
      </c>
      <c r="B1229" s="4" t="s">
        <v>208</v>
      </c>
      <c r="C1229" s="4" t="s">
        <v>92</v>
      </c>
      <c r="D1229" s="16" t="n">
        <v>45870</v>
      </c>
      <c r="E1229" s="4" t="n">
        <v>2025</v>
      </c>
      <c r="F1229" s="4" t="n">
        <v>8</v>
      </c>
      <c r="G1229" s="17" t="n">
        <v>6143865</v>
      </c>
      <c r="H1229" s="18" t="n">
        <f aca="false">G1229*$B$1/1000000</f>
        <v>13.5449037645925</v>
      </c>
    </row>
    <row r="1230" customFormat="false" ht="15" hidden="false" customHeight="false" outlineLevel="0" collapsed="false">
      <c r="A1230" s="4" t="s">
        <v>207</v>
      </c>
      <c r="B1230" s="4" t="s">
        <v>208</v>
      </c>
      <c r="C1230" s="4" t="s">
        <v>92</v>
      </c>
      <c r="D1230" s="16" t="n">
        <v>45931</v>
      </c>
      <c r="E1230" s="4" t="n">
        <v>2025</v>
      </c>
      <c r="F1230" s="4" t="n">
        <v>10</v>
      </c>
      <c r="G1230" s="17" t="n">
        <v>4849905</v>
      </c>
      <c r="H1230" s="18" t="n">
        <f aca="false">G1230*$B$1/1000000</f>
        <v>10.6922102768234</v>
      </c>
    </row>
    <row r="1231" customFormat="false" ht="15" hidden="false" customHeight="false" outlineLevel="0" collapsed="false">
      <c r="A1231" s="4" t="s">
        <v>207</v>
      </c>
      <c r="B1231" s="4" t="s">
        <v>208</v>
      </c>
      <c r="C1231" s="4" t="s">
        <v>92</v>
      </c>
      <c r="D1231" s="16" t="n">
        <v>45962</v>
      </c>
      <c r="E1231" s="4" t="n">
        <v>2025</v>
      </c>
      <c r="F1231" s="4" t="n">
        <v>11</v>
      </c>
      <c r="G1231" s="17" t="n">
        <v>5987191</v>
      </c>
      <c r="H1231" s="18" t="n">
        <f aca="false">G1231*$B$1/1000000</f>
        <v>13.1994967199367</v>
      </c>
    </row>
    <row r="1232" customFormat="false" ht="15" hidden="false" customHeight="false" outlineLevel="0" collapsed="false">
      <c r="A1232" s="4" t="s">
        <v>207</v>
      </c>
      <c r="B1232" s="4" t="s">
        <v>208</v>
      </c>
      <c r="C1232" s="4" t="s">
        <v>92</v>
      </c>
      <c r="D1232" s="16" t="n">
        <v>46023</v>
      </c>
      <c r="E1232" s="4" t="n">
        <v>2026</v>
      </c>
      <c r="F1232" s="4" t="n">
        <v>1</v>
      </c>
      <c r="G1232" s="17" t="n">
        <v>5248148</v>
      </c>
      <c r="H1232" s="18" t="n">
        <f aca="false">G1232*$B$1/1000000</f>
        <v>11.5701858036168</v>
      </c>
    </row>
    <row r="1233" customFormat="false" ht="15" hidden="false" customHeight="false" outlineLevel="0" collapsed="false">
      <c r="A1233" s="4" t="s">
        <v>207</v>
      </c>
      <c r="B1233" s="4" t="s">
        <v>208</v>
      </c>
      <c r="C1233" s="4" t="s">
        <v>92</v>
      </c>
      <c r="D1233" s="16" t="n">
        <v>46113</v>
      </c>
      <c r="E1233" s="4" t="n">
        <v>2026</v>
      </c>
      <c r="F1233" s="4" t="n">
        <v>4</v>
      </c>
      <c r="G1233" s="17" t="n">
        <v>5840631</v>
      </c>
      <c r="H1233" s="18" t="n">
        <f aca="false">G1233*$B$1/1000000</f>
        <v>12.8763872284784</v>
      </c>
    </row>
    <row r="1234" customFormat="false" ht="15" hidden="false" customHeight="false" outlineLevel="0" collapsed="false">
      <c r="A1234" s="4" t="s">
        <v>207</v>
      </c>
      <c r="B1234" s="4" t="s">
        <v>208</v>
      </c>
      <c r="C1234" s="4" t="s">
        <v>92</v>
      </c>
      <c r="D1234" s="16" t="n">
        <v>46143</v>
      </c>
      <c r="E1234" s="4" t="n">
        <v>2026</v>
      </c>
      <c r="F1234" s="4" t="n">
        <v>5</v>
      </c>
      <c r="G1234" s="17" t="n">
        <v>263260</v>
      </c>
      <c r="H1234" s="18" t="n">
        <f aca="false">G1234*$B$1/1000000</f>
        <v>0.580388951428231</v>
      </c>
    </row>
    <row r="1235" customFormat="false" ht="15" hidden="false" customHeight="false" outlineLevel="0" collapsed="false">
      <c r="A1235" s="4" t="s">
        <v>207</v>
      </c>
      <c r="B1235" s="4" t="s">
        <v>208</v>
      </c>
      <c r="C1235" s="4" t="s">
        <v>92</v>
      </c>
      <c r="D1235" s="16" t="n">
        <v>46174</v>
      </c>
      <c r="E1235" s="4" t="n">
        <v>2026</v>
      </c>
      <c r="F1235" s="4" t="n">
        <v>6</v>
      </c>
      <c r="G1235" s="17" t="n">
        <v>6352603</v>
      </c>
      <c r="H1235" s="18" t="n">
        <f aca="false">G1235*$B$1/1000000</f>
        <v>14.0050922814322</v>
      </c>
    </row>
    <row r="1236" customFormat="false" ht="15" hidden="false" customHeight="false" outlineLevel="0" collapsed="false">
      <c r="A1236" s="4" t="s">
        <v>207</v>
      </c>
      <c r="B1236" s="4" t="s">
        <v>208</v>
      </c>
      <c r="C1236" s="4" t="s">
        <v>92</v>
      </c>
      <c r="D1236" s="16" t="n">
        <v>46204</v>
      </c>
      <c r="E1236" s="4" t="n">
        <v>2026</v>
      </c>
      <c r="F1236" s="4" t="n">
        <v>7</v>
      </c>
      <c r="G1236" s="17" t="n">
        <v>1262840</v>
      </c>
      <c r="H1236" s="18" t="n">
        <f aca="false">G1236*$B$1/1000000</f>
        <v>2.78408563177705</v>
      </c>
    </row>
    <row r="1237" customFormat="false" ht="15" hidden="false" customHeight="false" outlineLevel="0" collapsed="false">
      <c r="A1237" s="4" t="s">
        <v>207</v>
      </c>
      <c r="B1237" s="4" t="s">
        <v>208</v>
      </c>
      <c r="C1237" s="4" t="s">
        <v>92</v>
      </c>
      <c r="D1237" s="16" t="n">
        <v>46235</v>
      </c>
      <c r="E1237" s="4" t="n">
        <v>2026</v>
      </c>
      <c r="F1237" s="4" t="n">
        <v>8</v>
      </c>
      <c r="G1237" s="17" t="n">
        <v>1200129</v>
      </c>
      <c r="H1237" s="18" t="n">
        <f aca="false">G1237*$B$1/1000000</f>
        <v>2.64583154253822</v>
      </c>
    </row>
    <row r="1238" customFormat="false" ht="15" hidden="false" customHeight="false" outlineLevel="0" collapsed="false">
      <c r="A1238" s="4" t="s">
        <v>207</v>
      </c>
      <c r="B1238" s="4" t="s">
        <v>208</v>
      </c>
      <c r="C1238" s="4" t="s">
        <v>112</v>
      </c>
      <c r="D1238" s="16" t="n">
        <v>44835</v>
      </c>
      <c r="E1238" s="4" t="n">
        <v>2022</v>
      </c>
      <c r="F1238" s="4" t="n">
        <v>10</v>
      </c>
      <c r="G1238" s="17" t="n">
        <v>61646</v>
      </c>
      <c r="H1238" s="18" t="n">
        <f aca="false">G1238*$B$1/1000000</f>
        <v>0.135906166146565</v>
      </c>
    </row>
    <row r="1239" customFormat="false" ht="15" hidden="false" customHeight="false" outlineLevel="0" collapsed="false">
      <c r="A1239" s="4" t="s">
        <v>207</v>
      </c>
      <c r="B1239" s="4" t="s">
        <v>208</v>
      </c>
      <c r="C1239" s="4" t="s">
        <v>112</v>
      </c>
      <c r="D1239" s="16" t="n">
        <v>44896</v>
      </c>
      <c r="E1239" s="4" t="n">
        <v>2022</v>
      </c>
      <c r="F1239" s="4" t="n">
        <v>12</v>
      </c>
      <c r="G1239" s="17" t="n">
        <v>20055</v>
      </c>
      <c r="H1239" s="18" t="n">
        <f aca="false">G1239*$B$1/1000000</f>
        <v>0.0442137066812018</v>
      </c>
    </row>
    <row r="1240" customFormat="false" ht="15" hidden="false" customHeight="false" outlineLevel="0" collapsed="false">
      <c r="A1240" s="4" t="s">
        <v>207</v>
      </c>
      <c r="B1240" s="4" t="s">
        <v>208</v>
      </c>
      <c r="C1240" s="4" t="s">
        <v>112</v>
      </c>
      <c r="D1240" s="16" t="n">
        <v>45839</v>
      </c>
      <c r="E1240" s="4" t="n">
        <v>2025</v>
      </c>
      <c r="F1240" s="4" t="n">
        <v>7</v>
      </c>
      <c r="G1240" s="17" t="n">
        <v>83130</v>
      </c>
      <c r="H1240" s="18" t="n">
        <f aca="false">G1240*$B$1/1000000</f>
        <v>0.183270278554391</v>
      </c>
    </row>
    <row r="1241" customFormat="false" ht="15" hidden="false" customHeight="false" outlineLevel="0" collapsed="false">
      <c r="A1241" s="4" t="s">
        <v>207</v>
      </c>
      <c r="B1241" s="4" t="s">
        <v>208</v>
      </c>
      <c r="C1241" s="4" t="s">
        <v>112</v>
      </c>
      <c r="D1241" s="16" t="n">
        <v>45870</v>
      </c>
      <c r="E1241" s="4" t="n">
        <v>2025</v>
      </c>
      <c r="F1241" s="4" t="n">
        <v>8</v>
      </c>
      <c r="G1241" s="17" t="n">
        <v>59770</v>
      </c>
      <c r="H1241" s="18" t="n">
        <f aca="false">G1241*$B$1/1000000</f>
        <v>0.131770294107975</v>
      </c>
    </row>
    <row r="1242" customFormat="false" ht="15" hidden="false" customHeight="false" outlineLevel="0" collapsed="false">
      <c r="A1242" s="4" t="s">
        <v>207</v>
      </c>
      <c r="B1242" s="4" t="s">
        <v>208</v>
      </c>
      <c r="C1242" s="4" t="s">
        <v>112</v>
      </c>
      <c r="D1242" s="16" t="n">
        <v>45901</v>
      </c>
      <c r="E1242" s="4" t="n">
        <v>2025</v>
      </c>
      <c r="F1242" s="4" t="n">
        <v>9</v>
      </c>
      <c r="G1242" s="17" t="n">
        <v>178470</v>
      </c>
      <c r="H1242" s="18" t="n">
        <f aca="false">G1242*$B$1/1000000</f>
        <v>0.39345899932157</v>
      </c>
    </row>
    <row r="1243" customFormat="false" ht="15" hidden="false" customHeight="false" outlineLevel="0" collapsed="false">
      <c r="A1243" s="4" t="s">
        <v>207</v>
      </c>
      <c r="B1243" s="4" t="s">
        <v>208</v>
      </c>
      <c r="C1243" s="4" t="s">
        <v>112</v>
      </c>
      <c r="D1243" s="16" t="n">
        <v>45931</v>
      </c>
      <c r="E1243" s="4" t="n">
        <v>2025</v>
      </c>
      <c r="F1243" s="4" t="n">
        <v>10</v>
      </c>
      <c r="G1243" s="17" t="n">
        <v>79720</v>
      </c>
      <c r="H1243" s="18" t="n">
        <f aca="false">G1243*$B$1/1000000</f>
        <v>0.175752515413882</v>
      </c>
    </row>
    <row r="1244" customFormat="false" ht="15" hidden="false" customHeight="false" outlineLevel="0" collapsed="false">
      <c r="A1244" s="4" t="s">
        <v>207</v>
      </c>
      <c r="B1244" s="4" t="s">
        <v>208</v>
      </c>
      <c r="C1244" s="4" t="s">
        <v>112</v>
      </c>
      <c r="D1244" s="16" t="n">
        <v>45962</v>
      </c>
      <c r="E1244" s="4" t="n">
        <v>2025</v>
      </c>
      <c r="F1244" s="4" t="n">
        <v>11</v>
      </c>
      <c r="G1244" s="17" t="n">
        <v>238860</v>
      </c>
      <c r="H1244" s="18" t="n">
        <f aca="false">G1244*$B$1/1000000</f>
        <v>0.526596159455091</v>
      </c>
    </row>
    <row r="1245" customFormat="false" ht="15" hidden="false" customHeight="false" outlineLevel="0" collapsed="false">
      <c r="A1245" s="4" t="s">
        <v>207</v>
      </c>
      <c r="B1245" s="4" t="s">
        <v>208</v>
      </c>
      <c r="C1245" s="4" t="s">
        <v>112</v>
      </c>
      <c r="D1245" s="16" t="n">
        <v>46174</v>
      </c>
      <c r="E1245" s="4" t="n">
        <v>2026</v>
      </c>
      <c r="F1245" s="4" t="n">
        <v>6</v>
      </c>
      <c r="G1245" s="17" t="n">
        <v>121560</v>
      </c>
      <c r="H1245" s="18" t="n">
        <f aca="false">G1245*$B$1/1000000</f>
        <v>0.267993925912086</v>
      </c>
    </row>
    <row r="1246" customFormat="false" ht="15" hidden="false" customHeight="false" outlineLevel="0" collapsed="false">
      <c r="A1246" s="4" t="s">
        <v>207</v>
      </c>
      <c r="B1246" s="4" t="s">
        <v>208</v>
      </c>
      <c r="C1246" s="4" t="s">
        <v>112</v>
      </c>
      <c r="D1246" s="16" t="n">
        <v>46204</v>
      </c>
      <c r="E1246" s="4" t="n">
        <v>2026</v>
      </c>
      <c r="F1246" s="4" t="n">
        <v>7</v>
      </c>
      <c r="G1246" s="17" t="n">
        <v>685190</v>
      </c>
      <c r="H1246" s="18" t="n">
        <f aca="false">G1246*$B$1/1000000</f>
        <v>1.5105853742654</v>
      </c>
    </row>
    <row r="1247" customFormat="false" ht="15" hidden="false" customHeight="false" outlineLevel="0" collapsed="false">
      <c r="A1247" s="4" t="s">
        <v>207</v>
      </c>
      <c r="B1247" s="4" t="s">
        <v>208</v>
      </c>
      <c r="C1247" s="4" t="s">
        <v>112</v>
      </c>
      <c r="D1247" s="16" t="n">
        <v>46235</v>
      </c>
      <c r="E1247" s="4" t="n">
        <v>2026</v>
      </c>
      <c r="F1247" s="4" t="n">
        <v>8</v>
      </c>
      <c r="G1247" s="17" t="n">
        <v>249550</v>
      </c>
      <c r="H1247" s="18" t="n">
        <f aca="false">G1247*$B$1/1000000</f>
        <v>0.550163575282668</v>
      </c>
    </row>
    <row r="1248" customFormat="false" ht="15" hidden="false" customHeight="false" outlineLevel="0" collapsed="false">
      <c r="A1248" s="4" t="s">
        <v>207</v>
      </c>
      <c r="B1248" s="4" t="s">
        <v>208</v>
      </c>
      <c r="C1248" s="4" t="s">
        <v>94</v>
      </c>
      <c r="D1248" s="16" t="n">
        <v>44197</v>
      </c>
      <c r="E1248" s="4" t="n">
        <v>2021</v>
      </c>
      <c r="F1248" s="4" t="n">
        <v>1</v>
      </c>
      <c r="G1248" s="17" t="n">
        <v>396</v>
      </c>
      <c r="H1248" s="18" t="n">
        <f aca="false">G1248*$B$1/1000000</f>
        <v>0.0008730305582526</v>
      </c>
    </row>
    <row r="1249" customFormat="false" ht="15" hidden="false" customHeight="false" outlineLevel="0" collapsed="false">
      <c r="A1249" s="4" t="s">
        <v>207</v>
      </c>
      <c r="B1249" s="4" t="s">
        <v>208</v>
      </c>
      <c r="C1249" s="4" t="s">
        <v>94</v>
      </c>
      <c r="D1249" s="16" t="n">
        <v>45261</v>
      </c>
      <c r="E1249" s="4" t="n">
        <v>2023</v>
      </c>
      <c r="F1249" s="4" t="n">
        <v>12</v>
      </c>
      <c r="G1249" s="17" t="n">
        <v>269950</v>
      </c>
      <c r="H1249" s="18" t="n">
        <f aca="false">G1249*$B$1/1000000</f>
        <v>0.595137876768408</v>
      </c>
    </row>
    <row r="1250" customFormat="false" ht="15" hidden="false" customHeight="false" outlineLevel="0" collapsed="false">
      <c r="A1250" s="4" t="s">
        <v>207</v>
      </c>
      <c r="B1250" s="4" t="s">
        <v>208</v>
      </c>
      <c r="C1250" s="4" t="s">
        <v>94</v>
      </c>
      <c r="D1250" s="16" t="n">
        <v>45292</v>
      </c>
      <c r="E1250" s="4" t="n">
        <v>2024</v>
      </c>
      <c r="F1250" s="4" t="n">
        <v>1</v>
      </c>
      <c r="G1250" s="17" t="n">
        <v>290430</v>
      </c>
      <c r="H1250" s="18" t="n">
        <f aca="false">G1250*$B$1/1000000</f>
        <v>0.640288548063896</v>
      </c>
    </row>
    <row r="1251" customFormat="false" ht="15" hidden="false" customHeight="false" outlineLevel="0" collapsed="false">
      <c r="A1251" s="4" t="s">
        <v>207</v>
      </c>
      <c r="B1251" s="4" t="s">
        <v>208</v>
      </c>
      <c r="C1251" s="4" t="s">
        <v>94</v>
      </c>
      <c r="D1251" s="16" t="n">
        <v>45352</v>
      </c>
      <c r="E1251" s="4" t="n">
        <v>2024</v>
      </c>
      <c r="F1251" s="4" t="n">
        <v>3</v>
      </c>
      <c r="G1251" s="17" t="n">
        <v>563592</v>
      </c>
      <c r="H1251" s="18" t="n">
        <f aca="false">G1251*$B$1/1000000</f>
        <v>1.24250767269369</v>
      </c>
    </row>
    <row r="1252" customFormat="false" ht="15" hidden="false" customHeight="false" outlineLevel="0" collapsed="false">
      <c r="A1252" s="4" t="s">
        <v>207</v>
      </c>
      <c r="B1252" s="4" t="s">
        <v>208</v>
      </c>
      <c r="C1252" s="4" t="s">
        <v>94</v>
      </c>
      <c r="D1252" s="16" t="n">
        <v>45383</v>
      </c>
      <c r="E1252" s="4" t="n">
        <v>2024</v>
      </c>
      <c r="F1252" s="4" t="n">
        <v>4</v>
      </c>
      <c r="G1252" s="17" t="n">
        <v>517761</v>
      </c>
      <c r="H1252" s="18" t="n">
        <f aca="false">G1252*$B$1/1000000</f>
        <v>1.14146761331168</v>
      </c>
    </row>
    <row r="1253" customFormat="false" ht="15" hidden="false" customHeight="false" outlineLevel="0" collapsed="false">
      <c r="A1253" s="4" t="s">
        <v>207</v>
      </c>
      <c r="B1253" s="4" t="s">
        <v>208</v>
      </c>
      <c r="C1253" s="4" t="s">
        <v>94</v>
      </c>
      <c r="D1253" s="16" t="n">
        <v>45474</v>
      </c>
      <c r="E1253" s="4" t="n">
        <v>2024</v>
      </c>
      <c r="F1253" s="4" t="n">
        <v>7</v>
      </c>
      <c r="G1253" s="17" t="n">
        <v>747539</v>
      </c>
      <c r="H1253" s="18" t="n">
        <f aca="false">G1253*$B$1/1000000</f>
        <v>1.64804139011513</v>
      </c>
    </row>
    <row r="1254" customFormat="false" ht="15" hidden="false" customHeight="false" outlineLevel="0" collapsed="false">
      <c r="A1254" s="4" t="s">
        <v>207</v>
      </c>
      <c r="B1254" s="4" t="s">
        <v>208</v>
      </c>
      <c r="C1254" s="4" t="s">
        <v>94</v>
      </c>
      <c r="D1254" s="16" t="n">
        <v>45505</v>
      </c>
      <c r="E1254" s="4" t="n">
        <v>2024</v>
      </c>
      <c r="F1254" s="4" t="n">
        <v>8</v>
      </c>
      <c r="G1254" s="17" t="n">
        <v>274578</v>
      </c>
      <c r="H1254" s="18" t="n">
        <f aca="false">G1254*$B$1/1000000</f>
        <v>0.605340870262329</v>
      </c>
    </row>
    <row r="1255" customFormat="false" ht="15" hidden="false" customHeight="false" outlineLevel="0" collapsed="false">
      <c r="A1255" s="4" t="s">
        <v>207</v>
      </c>
      <c r="B1255" s="4" t="s">
        <v>208</v>
      </c>
      <c r="C1255" s="4" t="s">
        <v>94</v>
      </c>
      <c r="D1255" s="16" t="n">
        <v>45536</v>
      </c>
      <c r="E1255" s="4" t="n">
        <v>2024</v>
      </c>
      <c r="F1255" s="4" t="n">
        <v>9</v>
      </c>
      <c r="G1255" s="17" t="n">
        <v>198341</v>
      </c>
      <c r="H1255" s="18" t="n">
        <f aca="false">G1255*$B$1/1000000</f>
        <v>0.437267055440351</v>
      </c>
    </row>
    <row r="1256" customFormat="false" ht="15" hidden="false" customHeight="false" outlineLevel="0" collapsed="false">
      <c r="A1256" s="4" t="s">
        <v>207</v>
      </c>
      <c r="B1256" s="4" t="s">
        <v>208</v>
      </c>
      <c r="C1256" s="4" t="s">
        <v>94</v>
      </c>
      <c r="D1256" s="16" t="n">
        <v>45566</v>
      </c>
      <c r="E1256" s="4" t="n">
        <v>2024</v>
      </c>
      <c r="F1256" s="4" t="n">
        <v>10</v>
      </c>
      <c r="G1256" s="17" t="n">
        <v>126640</v>
      </c>
      <c r="H1256" s="18" t="n">
        <f aca="false">G1256*$B$1/1000000</f>
        <v>0.279193408831084</v>
      </c>
    </row>
    <row r="1257" customFormat="false" ht="15" hidden="false" customHeight="false" outlineLevel="0" collapsed="false">
      <c r="A1257" s="4" t="s">
        <v>207</v>
      </c>
      <c r="B1257" s="4" t="s">
        <v>208</v>
      </c>
      <c r="C1257" s="4" t="s">
        <v>94</v>
      </c>
      <c r="D1257" s="16" t="n">
        <v>45627</v>
      </c>
      <c r="E1257" s="4" t="n">
        <v>2024</v>
      </c>
      <c r="F1257" s="4" t="n">
        <v>12</v>
      </c>
      <c r="G1257" s="17" t="n">
        <v>275075</v>
      </c>
      <c r="H1257" s="18" t="n">
        <f aca="false">G1257*$B$1/1000000</f>
        <v>0.606436567705389</v>
      </c>
    </row>
    <row r="1258" customFormat="false" ht="15" hidden="false" customHeight="false" outlineLevel="0" collapsed="false">
      <c r="A1258" s="4" t="s">
        <v>207</v>
      </c>
      <c r="B1258" s="4" t="s">
        <v>208</v>
      </c>
      <c r="C1258" s="4" t="s">
        <v>94</v>
      </c>
      <c r="D1258" s="16" t="n">
        <v>45870</v>
      </c>
      <c r="E1258" s="4" t="n">
        <v>2025</v>
      </c>
      <c r="F1258" s="4" t="n">
        <v>8</v>
      </c>
      <c r="G1258" s="17" t="n">
        <v>218027</v>
      </c>
      <c r="H1258" s="18" t="n">
        <f aca="false">G1258*$B$1/1000000</f>
        <v>0.48066725637409</v>
      </c>
    </row>
    <row r="1259" customFormat="false" ht="15" hidden="false" customHeight="false" outlineLevel="0" collapsed="false">
      <c r="A1259" s="4" t="s">
        <v>207</v>
      </c>
      <c r="B1259" s="4" t="s">
        <v>208</v>
      </c>
      <c r="C1259" s="4" t="s">
        <v>94</v>
      </c>
      <c r="D1259" s="16" t="n">
        <v>45901</v>
      </c>
      <c r="E1259" s="4" t="n">
        <v>2025</v>
      </c>
      <c r="F1259" s="4" t="n">
        <v>9</v>
      </c>
      <c r="G1259" s="17" t="n">
        <v>270680</v>
      </c>
      <c r="H1259" s="18" t="n">
        <f aca="false">G1259*$B$1/1000000</f>
        <v>0.596747251282358</v>
      </c>
    </row>
    <row r="1260" customFormat="false" ht="15" hidden="false" customHeight="false" outlineLevel="0" collapsed="false">
      <c r="A1260" s="4" t="s">
        <v>207</v>
      </c>
      <c r="B1260" s="4" t="s">
        <v>208</v>
      </c>
      <c r="C1260" s="4" t="s">
        <v>94</v>
      </c>
      <c r="D1260" s="16" t="n">
        <v>45962</v>
      </c>
      <c r="E1260" s="4" t="n">
        <v>2025</v>
      </c>
      <c r="F1260" s="4" t="n">
        <v>11</v>
      </c>
      <c r="G1260" s="17" t="n">
        <v>565344</v>
      </c>
      <c r="H1260" s="18" t="n">
        <f aca="false">G1260*$B$1/1000000</f>
        <v>1.24637017152717</v>
      </c>
    </row>
    <row r="1261" customFormat="false" ht="15" hidden="false" customHeight="false" outlineLevel="0" collapsed="false">
      <c r="A1261" s="4" t="s">
        <v>207</v>
      </c>
      <c r="B1261" s="4" t="s">
        <v>208</v>
      </c>
      <c r="C1261" s="4" t="s">
        <v>94</v>
      </c>
      <c r="D1261" s="16" t="n">
        <v>46235</v>
      </c>
      <c r="E1261" s="4" t="n">
        <v>2026</v>
      </c>
      <c r="F1261" s="4" t="n">
        <v>8</v>
      </c>
      <c r="G1261" s="17" t="n">
        <v>172580</v>
      </c>
      <c r="H1261" s="18" t="n">
        <f aca="false">G1261*$B$1/1000000</f>
        <v>0.380473772078873</v>
      </c>
    </row>
    <row r="1262" customFormat="false" ht="15" hidden="false" customHeight="false" outlineLevel="0" collapsed="false">
      <c r="A1262" s="4" t="s">
        <v>207</v>
      </c>
      <c r="B1262" s="4" t="s">
        <v>208</v>
      </c>
      <c r="C1262" s="4" t="s">
        <v>134</v>
      </c>
      <c r="D1262" s="16" t="n">
        <v>45170</v>
      </c>
      <c r="E1262" s="4" t="n">
        <v>2023</v>
      </c>
      <c r="F1262" s="4" t="n">
        <v>9</v>
      </c>
      <c r="G1262" s="17" t="n">
        <v>27440</v>
      </c>
      <c r="H1262" s="18" t="n">
        <f aca="false">G1262*$B$1/1000000</f>
        <v>0.060494844743564</v>
      </c>
    </row>
    <row r="1263" customFormat="false" ht="15" hidden="false" customHeight="false" outlineLevel="0" collapsed="false">
      <c r="A1263" s="4" t="s">
        <v>207</v>
      </c>
      <c r="B1263" s="4" t="s">
        <v>208</v>
      </c>
      <c r="C1263" s="4" t="s">
        <v>134</v>
      </c>
      <c r="D1263" s="16" t="n">
        <v>45200</v>
      </c>
      <c r="E1263" s="4" t="n">
        <v>2023</v>
      </c>
      <c r="F1263" s="4" t="n">
        <v>10</v>
      </c>
      <c r="G1263" s="17" t="n">
        <v>26740</v>
      </c>
      <c r="H1263" s="18" t="n">
        <f aca="false">G1263*$B$1/1000000</f>
        <v>0.058951608908269</v>
      </c>
    </row>
    <row r="1264" customFormat="false" ht="15" hidden="false" customHeight="false" outlineLevel="0" collapsed="false">
      <c r="A1264" s="4" t="s">
        <v>207</v>
      </c>
      <c r="B1264" s="4" t="s">
        <v>208</v>
      </c>
      <c r="C1264" s="4" t="s">
        <v>134</v>
      </c>
      <c r="D1264" s="16" t="n">
        <v>45261</v>
      </c>
      <c r="E1264" s="4" t="n">
        <v>2023</v>
      </c>
      <c r="F1264" s="4" t="n">
        <v>12</v>
      </c>
      <c r="G1264" s="17" t="n">
        <v>53600</v>
      </c>
      <c r="H1264" s="18" t="n">
        <f aca="false">G1264*$B$1/1000000</f>
        <v>0.11816777253116</v>
      </c>
    </row>
    <row r="1265" customFormat="false" ht="15" hidden="false" customHeight="false" outlineLevel="0" collapsed="false">
      <c r="A1265" s="4" t="s">
        <v>207</v>
      </c>
      <c r="B1265" s="4" t="s">
        <v>208</v>
      </c>
      <c r="C1265" s="4" t="s">
        <v>134</v>
      </c>
      <c r="D1265" s="16" t="n">
        <v>46174</v>
      </c>
      <c r="E1265" s="4" t="n">
        <v>2026</v>
      </c>
      <c r="F1265" s="4" t="n">
        <v>6</v>
      </c>
      <c r="G1265" s="17" t="n">
        <v>439169</v>
      </c>
      <c r="H1265" s="18" t="n">
        <f aca="false">G1265*$B$1/1000000</f>
        <v>0.968201912215243</v>
      </c>
    </row>
    <row r="1266" customFormat="false" ht="15" hidden="false" customHeight="false" outlineLevel="0" collapsed="false">
      <c r="A1266" s="4" t="s">
        <v>207</v>
      </c>
      <c r="B1266" s="4" t="s">
        <v>208</v>
      </c>
      <c r="C1266" s="4" t="s">
        <v>134</v>
      </c>
      <c r="D1266" s="16" t="n">
        <v>46235</v>
      </c>
      <c r="E1266" s="4" t="n">
        <v>2026</v>
      </c>
      <c r="F1266" s="4" t="n">
        <v>8</v>
      </c>
      <c r="G1266" s="17" t="n">
        <v>580840</v>
      </c>
      <c r="H1266" s="18" t="n">
        <f aca="false">G1266*$B$1/1000000</f>
        <v>1.28053300367535</v>
      </c>
    </row>
    <row r="1267" customFormat="false" ht="15" hidden="false" customHeight="false" outlineLevel="0" collapsed="false">
      <c r="A1267" s="4" t="s">
        <v>207</v>
      </c>
      <c r="B1267" s="4" t="s">
        <v>208</v>
      </c>
      <c r="C1267" s="4" t="s">
        <v>71</v>
      </c>
      <c r="D1267" s="16" t="n">
        <v>43891</v>
      </c>
      <c r="E1267" s="4" t="n">
        <v>2020</v>
      </c>
      <c r="F1267" s="4" t="n">
        <v>3</v>
      </c>
      <c r="G1267" s="17" t="n">
        <v>1215</v>
      </c>
      <c r="H1267" s="18" t="n">
        <f aca="false">G1267*$B$1/1000000</f>
        <v>0.00267861648554775</v>
      </c>
    </row>
    <row r="1268" customFormat="false" ht="15" hidden="false" customHeight="false" outlineLevel="0" collapsed="false">
      <c r="A1268" s="4" t="s">
        <v>207</v>
      </c>
      <c r="B1268" s="4" t="s">
        <v>208</v>
      </c>
      <c r="C1268" s="4" t="s">
        <v>71</v>
      </c>
      <c r="D1268" s="16" t="n">
        <v>43983</v>
      </c>
      <c r="E1268" s="4" t="n">
        <v>2020</v>
      </c>
      <c r="F1268" s="4" t="n">
        <v>6</v>
      </c>
      <c r="G1268" s="17" t="n">
        <v>1215</v>
      </c>
      <c r="H1268" s="18" t="n">
        <f aca="false">G1268*$B$1/1000000</f>
        <v>0.00267861648554775</v>
      </c>
    </row>
    <row r="1269" customFormat="false" ht="15" hidden="false" customHeight="false" outlineLevel="0" collapsed="false">
      <c r="A1269" s="4" t="s">
        <v>207</v>
      </c>
      <c r="B1269" s="4" t="s">
        <v>208</v>
      </c>
      <c r="C1269" s="4" t="s">
        <v>71</v>
      </c>
      <c r="D1269" s="16" t="n">
        <v>44105</v>
      </c>
      <c r="E1269" s="4" t="n">
        <v>2020</v>
      </c>
      <c r="F1269" s="4" t="n">
        <v>10</v>
      </c>
      <c r="G1269" s="17" t="n">
        <v>1215</v>
      </c>
      <c r="H1269" s="18" t="n">
        <f aca="false">G1269*$B$1/1000000</f>
        <v>0.00267861648554775</v>
      </c>
    </row>
    <row r="1270" customFormat="false" ht="15" hidden="false" customHeight="false" outlineLevel="0" collapsed="false">
      <c r="A1270" s="4" t="s">
        <v>207</v>
      </c>
      <c r="B1270" s="4" t="s">
        <v>208</v>
      </c>
      <c r="C1270" s="4" t="s">
        <v>71</v>
      </c>
      <c r="D1270" s="16" t="n">
        <v>44197</v>
      </c>
      <c r="E1270" s="4" t="n">
        <v>2021</v>
      </c>
      <c r="F1270" s="4" t="n">
        <v>1</v>
      </c>
      <c r="G1270" s="17" t="n">
        <v>1215</v>
      </c>
      <c r="H1270" s="18" t="n">
        <f aca="false">G1270*$B$1/1000000</f>
        <v>0.00267861648554775</v>
      </c>
    </row>
    <row r="1271" customFormat="false" ht="15" hidden="false" customHeight="false" outlineLevel="0" collapsed="false">
      <c r="A1271" s="4" t="s">
        <v>207</v>
      </c>
      <c r="B1271" s="4" t="s">
        <v>208</v>
      </c>
      <c r="C1271" s="4" t="s">
        <v>71</v>
      </c>
      <c r="D1271" s="16" t="n">
        <v>44287</v>
      </c>
      <c r="E1271" s="4" t="n">
        <v>2021</v>
      </c>
      <c r="F1271" s="4" t="n">
        <v>4</v>
      </c>
      <c r="G1271" s="17" t="n">
        <v>1215</v>
      </c>
      <c r="H1271" s="18" t="n">
        <f aca="false">G1271*$B$1/1000000</f>
        <v>0.00267861648554775</v>
      </c>
    </row>
    <row r="1272" customFormat="false" ht="15" hidden="false" customHeight="false" outlineLevel="0" collapsed="false">
      <c r="A1272" s="4" t="s">
        <v>207</v>
      </c>
      <c r="B1272" s="4" t="s">
        <v>208</v>
      </c>
      <c r="C1272" s="4" t="s">
        <v>71</v>
      </c>
      <c r="D1272" s="16" t="n">
        <v>44409</v>
      </c>
      <c r="E1272" s="4" t="n">
        <v>2021</v>
      </c>
      <c r="F1272" s="4" t="n">
        <v>8</v>
      </c>
      <c r="G1272" s="17" t="n">
        <v>1215</v>
      </c>
      <c r="H1272" s="18" t="n">
        <f aca="false">G1272*$B$1/1000000</f>
        <v>0.00267861648554775</v>
      </c>
    </row>
    <row r="1273" customFormat="false" ht="15" hidden="false" customHeight="false" outlineLevel="0" collapsed="false">
      <c r="A1273" s="4" t="s">
        <v>207</v>
      </c>
      <c r="B1273" s="4" t="s">
        <v>208</v>
      </c>
      <c r="C1273" s="4" t="s">
        <v>71</v>
      </c>
      <c r="D1273" s="16" t="n">
        <v>44501</v>
      </c>
      <c r="E1273" s="4" t="n">
        <v>2021</v>
      </c>
      <c r="F1273" s="4" t="n">
        <v>11</v>
      </c>
      <c r="G1273" s="17" t="n">
        <v>1215</v>
      </c>
      <c r="H1273" s="18" t="n">
        <f aca="false">G1273*$B$1/1000000</f>
        <v>0.00267861648554775</v>
      </c>
    </row>
    <row r="1274" customFormat="false" ht="15" hidden="false" customHeight="false" outlineLevel="0" collapsed="false">
      <c r="A1274" s="4" t="s">
        <v>207</v>
      </c>
      <c r="B1274" s="4" t="s">
        <v>208</v>
      </c>
      <c r="C1274" s="4" t="s">
        <v>71</v>
      </c>
      <c r="D1274" s="16" t="n">
        <v>44593</v>
      </c>
      <c r="E1274" s="4" t="n">
        <v>2022</v>
      </c>
      <c r="F1274" s="4" t="n">
        <v>2</v>
      </c>
      <c r="G1274" s="17" t="n">
        <v>1215</v>
      </c>
      <c r="H1274" s="18" t="n">
        <f aca="false">G1274*$B$1/1000000</f>
        <v>0.00267861648554775</v>
      </c>
    </row>
    <row r="1275" customFormat="false" ht="15" hidden="false" customHeight="false" outlineLevel="0" collapsed="false">
      <c r="A1275" s="4" t="s">
        <v>207</v>
      </c>
      <c r="B1275" s="4" t="s">
        <v>208</v>
      </c>
      <c r="C1275" s="4" t="s">
        <v>71</v>
      </c>
      <c r="D1275" s="16" t="n">
        <v>44682</v>
      </c>
      <c r="E1275" s="4" t="n">
        <v>2022</v>
      </c>
      <c r="F1275" s="4" t="n">
        <v>5</v>
      </c>
      <c r="G1275" s="17" t="n">
        <v>1215</v>
      </c>
      <c r="H1275" s="18" t="n">
        <f aca="false">G1275*$B$1/1000000</f>
        <v>0.00267861648554775</v>
      </c>
    </row>
    <row r="1276" customFormat="false" ht="15" hidden="false" customHeight="false" outlineLevel="0" collapsed="false">
      <c r="A1276" s="4" t="s">
        <v>207</v>
      </c>
      <c r="B1276" s="4" t="s">
        <v>208</v>
      </c>
      <c r="C1276" s="4" t="s">
        <v>71</v>
      </c>
      <c r="D1276" s="16" t="n">
        <v>44743</v>
      </c>
      <c r="E1276" s="4" t="n">
        <v>2022</v>
      </c>
      <c r="F1276" s="4" t="n">
        <v>7</v>
      </c>
      <c r="G1276" s="17" t="n">
        <v>1215</v>
      </c>
      <c r="H1276" s="18" t="n">
        <f aca="false">G1276*$B$1/1000000</f>
        <v>0.00267861648554775</v>
      </c>
    </row>
    <row r="1277" customFormat="false" ht="15" hidden="false" customHeight="false" outlineLevel="0" collapsed="false">
      <c r="A1277" s="4" t="s">
        <v>207</v>
      </c>
      <c r="B1277" s="4" t="s">
        <v>208</v>
      </c>
      <c r="C1277" s="4" t="s">
        <v>71</v>
      </c>
      <c r="D1277" s="16" t="n">
        <v>44835</v>
      </c>
      <c r="E1277" s="4" t="n">
        <v>2022</v>
      </c>
      <c r="F1277" s="4" t="n">
        <v>10</v>
      </c>
      <c r="G1277" s="17" t="n">
        <v>1215</v>
      </c>
      <c r="H1277" s="18" t="n">
        <f aca="false">G1277*$B$1/1000000</f>
        <v>0.00267861648554775</v>
      </c>
    </row>
    <row r="1278" customFormat="false" ht="15" hidden="false" customHeight="false" outlineLevel="0" collapsed="false">
      <c r="A1278" s="4" t="s">
        <v>207</v>
      </c>
      <c r="B1278" s="4" t="s">
        <v>208</v>
      </c>
      <c r="C1278" s="4" t="s">
        <v>71</v>
      </c>
      <c r="D1278" s="16" t="n">
        <v>44927</v>
      </c>
      <c r="E1278" s="4" t="n">
        <v>2023</v>
      </c>
      <c r="F1278" s="4" t="n">
        <v>1</v>
      </c>
      <c r="G1278" s="17" t="n">
        <v>22160</v>
      </c>
      <c r="H1278" s="18" t="n">
        <f aca="false">G1278*$B$1/1000000</f>
        <v>0.048854437300196</v>
      </c>
    </row>
    <row r="1279" customFormat="false" ht="15" hidden="false" customHeight="false" outlineLevel="0" collapsed="false">
      <c r="A1279" s="4" t="s">
        <v>207</v>
      </c>
      <c r="B1279" s="4" t="s">
        <v>208</v>
      </c>
      <c r="C1279" s="4" t="s">
        <v>71</v>
      </c>
      <c r="D1279" s="16" t="n">
        <v>44986</v>
      </c>
      <c r="E1279" s="4" t="n">
        <v>2023</v>
      </c>
      <c r="F1279" s="4" t="n">
        <v>3</v>
      </c>
      <c r="G1279" s="17" t="n">
        <v>1215</v>
      </c>
      <c r="H1279" s="18" t="n">
        <f aca="false">G1279*$B$1/1000000</f>
        <v>0.00267861648554775</v>
      </c>
    </row>
    <row r="1280" customFormat="false" ht="15" hidden="false" customHeight="false" outlineLevel="0" collapsed="false">
      <c r="A1280" s="4" t="s">
        <v>207</v>
      </c>
      <c r="B1280" s="4" t="s">
        <v>208</v>
      </c>
      <c r="C1280" s="4" t="s">
        <v>71</v>
      </c>
      <c r="D1280" s="16" t="n">
        <v>45108</v>
      </c>
      <c r="E1280" s="4" t="n">
        <v>2023</v>
      </c>
      <c r="F1280" s="4" t="n">
        <v>7</v>
      </c>
      <c r="G1280" s="17" t="n">
        <v>1296</v>
      </c>
      <c r="H1280" s="18" t="n">
        <f aca="false">G1280*$B$1/1000000</f>
        <v>0.0028571909179176</v>
      </c>
    </row>
    <row r="1281" customFormat="false" ht="15" hidden="false" customHeight="false" outlineLevel="0" collapsed="false">
      <c r="A1281" s="4" t="s">
        <v>207</v>
      </c>
      <c r="B1281" s="4" t="s">
        <v>208</v>
      </c>
      <c r="C1281" s="4" t="s">
        <v>71</v>
      </c>
      <c r="D1281" s="16" t="n">
        <v>45139</v>
      </c>
      <c r="E1281" s="4" t="n">
        <v>2023</v>
      </c>
      <c r="F1281" s="4" t="n">
        <v>8</v>
      </c>
      <c r="G1281" s="17" t="n">
        <v>1620</v>
      </c>
      <c r="H1281" s="18" t="n">
        <f aca="false">G1281*$B$1/1000000</f>
        <v>0.003571488647397</v>
      </c>
    </row>
    <row r="1282" customFormat="false" ht="15" hidden="false" customHeight="false" outlineLevel="0" collapsed="false">
      <c r="A1282" s="4" t="s">
        <v>207</v>
      </c>
      <c r="B1282" s="4" t="s">
        <v>208</v>
      </c>
      <c r="C1282" s="4" t="s">
        <v>71</v>
      </c>
      <c r="D1282" s="16" t="n">
        <v>45261</v>
      </c>
      <c r="E1282" s="4" t="n">
        <v>2023</v>
      </c>
      <c r="F1282" s="4" t="n">
        <v>12</v>
      </c>
      <c r="G1282" s="17" t="n">
        <v>1620</v>
      </c>
      <c r="H1282" s="18" t="n">
        <f aca="false">G1282*$B$1/1000000</f>
        <v>0.003571488647397</v>
      </c>
    </row>
    <row r="1283" customFormat="false" ht="15" hidden="false" customHeight="false" outlineLevel="0" collapsed="false">
      <c r="A1283" s="4" t="s">
        <v>207</v>
      </c>
      <c r="B1283" s="4" t="s">
        <v>208</v>
      </c>
      <c r="C1283" s="4" t="s">
        <v>71</v>
      </c>
      <c r="D1283" s="16" t="n">
        <v>45323</v>
      </c>
      <c r="E1283" s="4" t="n">
        <v>2024</v>
      </c>
      <c r="F1283" s="4" t="n">
        <v>2</v>
      </c>
      <c r="G1283" s="17" t="n">
        <v>1620</v>
      </c>
      <c r="H1283" s="18" t="n">
        <f aca="false">G1283*$B$1/1000000</f>
        <v>0.003571488647397</v>
      </c>
    </row>
    <row r="1284" customFormat="false" ht="15" hidden="false" customHeight="false" outlineLevel="0" collapsed="false">
      <c r="A1284" s="4" t="s">
        <v>207</v>
      </c>
      <c r="B1284" s="4" t="s">
        <v>208</v>
      </c>
      <c r="C1284" s="4" t="s">
        <v>71</v>
      </c>
      <c r="D1284" s="16" t="n">
        <v>45444</v>
      </c>
      <c r="E1284" s="4" t="n">
        <v>2024</v>
      </c>
      <c r="F1284" s="4" t="n">
        <v>6</v>
      </c>
      <c r="G1284" s="17" t="n">
        <v>2203</v>
      </c>
      <c r="H1284" s="18" t="n">
        <f aca="false">G1284*$B$1/1000000</f>
        <v>0.00485678363593555</v>
      </c>
    </row>
    <row r="1285" customFormat="false" ht="15" hidden="false" customHeight="false" outlineLevel="0" collapsed="false">
      <c r="A1285" s="4" t="s">
        <v>207</v>
      </c>
      <c r="B1285" s="4" t="s">
        <v>208</v>
      </c>
      <c r="C1285" s="4" t="s">
        <v>71</v>
      </c>
      <c r="D1285" s="16" t="n">
        <v>45505</v>
      </c>
      <c r="E1285" s="4" t="n">
        <v>2024</v>
      </c>
      <c r="F1285" s="4" t="n">
        <v>8</v>
      </c>
      <c r="G1285" s="17" t="n">
        <v>3888</v>
      </c>
      <c r="H1285" s="18" t="n">
        <f aca="false">G1285*$B$1/1000000</f>
        <v>0.0085715727537528</v>
      </c>
    </row>
    <row r="1286" customFormat="false" ht="15" hidden="false" customHeight="false" outlineLevel="0" collapsed="false">
      <c r="A1286" s="4" t="s">
        <v>207</v>
      </c>
      <c r="B1286" s="4" t="s">
        <v>208</v>
      </c>
      <c r="C1286" s="4" t="s">
        <v>71</v>
      </c>
      <c r="D1286" s="16" t="n">
        <v>45566</v>
      </c>
      <c r="E1286" s="4" t="n">
        <v>2024</v>
      </c>
      <c r="F1286" s="4" t="n">
        <v>10</v>
      </c>
      <c r="G1286" s="17" t="n">
        <v>901</v>
      </c>
      <c r="H1286" s="18" t="n">
        <f aca="false">G1286*$B$1/1000000</f>
        <v>0.00198636498228685</v>
      </c>
    </row>
    <row r="1287" customFormat="false" ht="15" hidden="false" customHeight="false" outlineLevel="0" collapsed="false">
      <c r="A1287" s="4" t="s">
        <v>207</v>
      </c>
      <c r="B1287" s="4" t="s">
        <v>208</v>
      </c>
      <c r="C1287" s="4" t="s">
        <v>71</v>
      </c>
      <c r="D1287" s="16" t="n">
        <v>45748</v>
      </c>
      <c r="E1287" s="4" t="n">
        <v>2025</v>
      </c>
      <c r="F1287" s="4" t="n">
        <v>4</v>
      </c>
      <c r="G1287" s="17" t="n">
        <v>4050</v>
      </c>
      <c r="H1287" s="18" t="n">
        <f aca="false">G1287*$B$1/1000000</f>
        <v>0.0089287216184925</v>
      </c>
    </row>
    <row r="1288" customFormat="false" ht="15" hidden="false" customHeight="false" outlineLevel="0" collapsed="false">
      <c r="A1288" s="4" t="s">
        <v>207</v>
      </c>
      <c r="B1288" s="4" t="s">
        <v>208</v>
      </c>
      <c r="C1288" s="4" t="s">
        <v>71</v>
      </c>
      <c r="D1288" s="16" t="n">
        <v>46023</v>
      </c>
      <c r="E1288" s="4" t="n">
        <v>2026</v>
      </c>
      <c r="F1288" s="4" t="n">
        <v>1</v>
      </c>
      <c r="G1288" s="17" t="n">
        <v>3888</v>
      </c>
      <c r="H1288" s="18" t="n">
        <f aca="false">G1288*$B$1/1000000</f>
        <v>0.0085715727537528</v>
      </c>
    </row>
    <row r="1289" customFormat="false" ht="15" hidden="false" customHeight="false" outlineLevel="0" collapsed="false">
      <c r="A1289" s="4" t="s">
        <v>207</v>
      </c>
      <c r="B1289" s="4" t="s">
        <v>208</v>
      </c>
      <c r="C1289" s="4" t="s">
        <v>71</v>
      </c>
      <c r="D1289" s="16" t="n">
        <v>46174</v>
      </c>
      <c r="E1289" s="4" t="n">
        <v>2026</v>
      </c>
      <c r="F1289" s="4" t="n">
        <v>6</v>
      </c>
      <c r="G1289" s="17" t="n">
        <v>3888</v>
      </c>
      <c r="H1289" s="18" t="n">
        <f aca="false">G1289*$B$1/1000000</f>
        <v>0.0085715727537528</v>
      </c>
    </row>
    <row r="1290" customFormat="false" ht="15" hidden="false" customHeight="false" outlineLevel="0" collapsed="false">
      <c r="A1290" s="4" t="s">
        <v>207</v>
      </c>
      <c r="B1290" s="4" t="s">
        <v>208</v>
      </c>
      <c r="C1290" s="4" t="s">
        <v>157</v>
      </c>
      <c r="D1290" s="16" t="n">
        <v>45597</v>
      </c>
      <c r="E1290" s="4" t="n">
        <v>2024</v>
      </c>
      <c r="F1290" s="4" t="n">
        <v>11</v>
      </c>
      <c r="G1290" s="17" t="n">
        <v>2228693</v>
      </c>
      <c r="H1290" s="18" t="n">
        <f aca="false">G1290*$B$1/1000000</f>
        <v>4.91342700495874</v>
      </c>
    </row>
    <row r="1291" customFormat="false" ht="15" hidden="false" customHeight="false" outlineLevel="0" collapsed="false">
      <c r="A1291" s="4" t="s">
        <v>207</v>
      </c>
      <c r="B1291" s="4" t="s">
        <v>208</v>
      </c>
      <c r="C1291" s="4" t="s">
        <v>136</v>
      </c>
      <c r="D1291" s="16" t="n">
        <v>44958</v>
      </c>
      <c r="E1291" s="4" t="n">
        <v>2023</v>
      </c>
      <c r="F1291" s="4" t="n">
        <v>2</v>
      </c>
      <c r="G1291" s="17" t="n">
        <v>39653</v>
      </c>
      <c r="H1291" s="18" t="n">
        <f aca="false">G1291*$B$1/1000000</f>
        <v>0.0874199008242181</v>
      </c>
    </row>
    <row r="1292" customFormat="false" ht="15" hidden="false" customHeight="false" outlineLevel="0" collapsed="false">
      <c r="A1292" s="4" t="s">
        <v>207</v>
      </c>
      <c r="B1292" s="4" t="s">
        <v>208</v>
      </c>
      <c r="C1292" s="4" t="s">
        <v>136</v>
      </c>
      <c r="D1292" s="16" t="n">
        <v>44986</v>
      </c>
      <c r="E1292" s="4" t="n">
        <v>2023</v>
      </c>
      <c r="F1292" s="4" t="n">
        <v>3</v>
      </c>
      <c r="G1292" s="17" t="n">
        <v>21445</v>
      </c>
      <c r="H1292" s="18" t="n">
        <f aca="false">G1292*$B$1/1000000</f>
        <v>0.0472781321255733</v>
      </c>
    </row>
    <row r="1293" customFormat="false" ht="15" hidden="false" customHeight="false" outlineLevel="0" collapsed="false">
      <c r="A1293" s="4" t="s">
        <v>207</v>
      </c>
      <c r="B1293" s="4" t="s">
        <v>208</v>
      </c>
      <c r="C1293" s="4" t="s">
        <v>136</v>
      </c>
      <c r="D1293" s="16" t="n">
        <v>45047</v>
      </c>
      <c r="E1293" s="4" t="n">
        <v>2023</v>
      </c>
      <c r="F1293" s="4" t="n">
        <v>5</v>
      </c>
      <c r="G1293" s="17" t="n">
        <v>25686</v>
      </c>
      <c r="H1293" s="18" t="n">
        <f aca="false">G1293*$B$1/1000000</f>
        <v>0.0566279366648391</v>
      </c>
    </row>
    <row r="1294" customFormat="false" ht="15" hidden="false" customHeight="false" outlineLevel="0" collapsed="false">
      <c r="A1294" s="4" t="s">
        <v>207</v>
      </c>
      <c r="B1294" s="4" t="s">
        <v>208</v>
      </c>
      <c r="C1294" s="4" t="s">
        <v>136</v>
      </c>
      <c r="D1294" s="16" t="n">
        <v>45627</v>
      </c>
      <c r="E1294" s="4" t="n">
        <v>2024</v>
      </c>
      <c r="F1294" s="4" t="n">
        <v>12</v>
      </c>
      <c r="G1294" s="17" t="n">
        <v>64500</v>
      </c>
      <c r="H1294" s="18" t="n">
        <f aca="false">G1294*$B$1/1000000</f>
        <v>0.142198159109325</v>
      </c>
    </row>
    <row r="1295" customFormat="false" ht="15" hidden="false" customHeight="false" outlineLevel="0" collapsed="false">
      <c r="A1295" s="4" t="s">
        <v>207</v>
      </c>
      <c r="B1295" s="4" t="s">
        <v>208</v>
      </c>
      <c r="C1295" s="4" t="s">
        <v>139</v>
      </c>
      <c r="D1295" s="16" t="n">
        <v>45261</v>
      </c>
      <c r="E1295" s="4" t="n">
        <v>2023</v>
      </c>
      <c r="F1295" s="4" t="n">
        <v>12</v>
      </c>
      <c r="G1295" s="17" t="n">
        <v>71843</v>
      </c>
      <c r="H1295" s="18" t="n">
        <f aca="false">G1295*$B$1/1000000</f>
        <v>0.15838670302157</v>
      </c>
    </row>
    <row r="1296" customFormat="false" ht="15" hidden="false" customHeight="false" outlineLevel="0" collapsed="false">
      <c r="A1296" s="4" t="s">
        <v>207</v>
      </c>
      <c r="B1296" s="4" t="s">
        <v>208</v>
      </c>
      <c r="C1296" s="4" t="s">
        <v>53</v>
      </c>
      <c r="D1296" s="16" t="n">
        <v>43831</v>
      </c>
      <c r="E1296" s="4" t="n">
        <v>2020</v>
      </c>
      <c r="F1296" s="4" t="n">
        <v>1</v>
      </c>
      <c r="G1296" s="17" t="n">
        <v>6459</v>
      </c>
      <c r="H1296" s="18" t="n">
        <f aca="false">G1296*$B$1/1000000</f>
        <v>0.0142396575145292</v>
      </c>
    </row>
    <row r="1297" customFormat="false" ht="15" hidden="false" customHeight="false" outlineLevel="0" collapsed="false">
      <c r="A1297" s="4" t="s">
        <v>207</v>
      </c>
      <c r="B1297" s="4" t="s">
        <v>208</v>
      </c>
      <c r="C1297" s="4" t="s">
        <v>53</v>
      </c>
      <c r="D1297" s="16" t="n">
        <v>43862</v>
      </c>
      <c r="E1297" s="4" t="n">
        <v>2020</v>
      </c>
      <c r="F1297" s="4" t="n">
        <v>2</v>
      </c>
      <c r="G1297" s="17" t="n">
        <v>29089</v>
      </c>
      <c r="H1297" s="18" t="n">
        <f aca="false">G1297*$B$1/1000000</f>
        <v>0.0641302674469947</v>
      </c>
    </row>
    <row r="1298" customFormat="false" ht="15" hidden="false" customHeight="false" outlineLevel="0" collapsed="false">
      <c r="A1298" s="4" t="s">
        <v>207</v>
      </c>
      <c r="B1298" s="4" t="s">
        <v>208</v>
      </c>
      <c r="C1298" s="4" t="s">
        <v>53</v>
      </c>
      <c r="D1298" s="16" t="n">
        <v>43891</v>
      </c>
      <c r="E1298" s="4" t="n">
        <v>2020</v>
      </c>
      <c r="F1298" s="4" t="n">
        <v>3</v>
      </c>
      <c r="G1298" s="17" t="n">
        <v>39441</v>
      </c>
      <c r="H1298" s="18" t="n">
        <f aca="false">G1298*$B$1/1000000</f>
        <v>0.0869525208283859</v>
      </c>
    </row>
    <row r="1299" customFormat="false" ht="15" hidden="false" customHeight="false" outlineLevel="0" collapsed="false">
      <c r="A1299" s="4" t="s">
        <v>207</v>
      </c>
      <c r="B1299" s="4" t="s">
        <v>208</v>
      </c>
      <c r="C1299" s="4" t="s">
        <v>53</v>
      </c>
      <c r="D1299" s="16" t="n">
        <v>43922</v>
      </c>
      <c r="E1299" s="4" t="n">
        <v>2020</v>
      </c>
      <c r="F1299" s="4" t="n">
        <v>4</v>
      </c>
      <c r="G1299" s="17" t="n">
        <v>91877</v>
      </c>
      <c r="H1299" s="18" t="n">
        <f aca="false">G1299*$B$1/1000000</f>
        <v>0.202554112627712</v>
      </c>
    </row>
    <row r="1300" customFormat="false" ht="15" hidden="false" customHeight="false" outlineLevel="0" collapsed="false">
      <c r="A1300" s="4" t="s">
        <v>207</v>
      </c>
      <c r="B1300" s="4" t="s">
        <v>208</v>
      </c>
      <c r="C1300" s="4" t="s">
        <v>53</v>
      </c>
      <c r="D1300" s="16" t="n">
        <v>43952</v>
      </c>
      <c r="E1300" s="4" t="n">
        <v>2020</v>
      </c>
      <c r="F1300" s="4" t="n">
        <v>5</v>
      </c>
      <c r="G1300" s="17" t="n">
        <v>18788</v>
      </c>
      <c r="H1300" s="18" t="n">
        <f aca="false">G1300*$B$1/1000000</f>
        <v>0.0414204498193178</v>
      </c>
    </row>
    <row r="1301" customFormat="false" ht="15" hidden="false" customHeight="false" outlineLevel="0" collapsed="false">
      <c r="A1301" s="4" t="s">
        <v>207</v>
      </c>
      <c r="B1301" s="4" t="s">
        <v>208</v>
      </c>
      <c r="C1301" s="4" t="s">
        <v>53</v>
      </c>
      <c r="D1301" s="16" t="n">
        <v>43983</v>
      </c>
      <c r="E1301" s="4" t="n">
        <v>2020</v>
      </c>
      <c r="F1301" s="4" t="n">
        <v>6</v>
      </c>
      <c r="G1301" s="17" t="n">
        <v>13499</v>
      </c>
      <c r="H1301" s="18" t="n">
        <f aca="false">G1301*$B$1/1000000</f>
        <v>0.0297602007723532</v>
      </c>
    </row>
    <row r="1302" customFormat="false" ht="15" hidden="false" customHeight="false" outlineLevel="0" collapsed="false">
      <c r="A1302" s="4" t="s">
        <v>207</v>
      </c>
      <c r="B1302" s="4" t="s">
        <v>208</v>
      </c>
      <c r="C1302" s="4" t="s">
        <v>53</v>
      </c>
      <c r="D1302" s="16" t="n">
        <v>44013</v>
      </c>
      <c r="E1302" s="4" t="n">
        <v>2020</v>
      </c>
      <c r="F1302" s="4" t="n">
        <v>7</v>
      </c>
      <c r="G1302" s="17" t="n">
        <v>7655</v>
      </c>
      <c r="H1302" s="18" t="n">
        <f aca="false">G1302*$B$1/1000000</f>
        <v>0.0168763861702618</v>
      </c>
    </row>
    <row r="1303" customFormat="false" ht="15" hidden="false" customHeight="false" outlineLevel="0" collapsed="false">
      <c r="A1303" s="4" t="s">
        <v>207</v>
      </c>
      <c r="B1303" s="4" t="s">
        <v>208</v>
      </c>
      <c r="C1303" s="4" t="s">
        <v>53</v>
      </c>
      <c r="D1303" s="16" t="n">
        <v>44044</v>
      </c>
      <c r="E1303" s="4" t="n">
        <v>2020</v>
      </c>
      <c r="F1303" s="4" t="n">
        <v>8</v>
      </c>
      <c r="G1303" s="17" t="n">
        <v>14353</v>
      </c>
      <c r="H1303" s="18" t="n">
        <f aca="false">G1303*$B$1/1000000</f>
        <v>0.0316429484914131</v>
      </c>
    </row>
    <row r="1304" customFormat="false" ht="15" hidden="false" customHeight="false" outlineLevel="0" collapsed="false">
      <c r="A1304" s="4" t="s">
        <v>207</v>
      </c>
      <c r="B1304" s="4" t="s">
        <v>208</v>
      </c>
      <c r="C1304" s="4" t="s">
        <v>53</v>
      </c>
      <c r="D1304" s="16" t="n">
        <v>44075</v>
      </c>
      <c r="E1304" s="4" t="n">
        <v>2020</v>
      </c>
      <c r="F1304" s="4" t="n">
        <v>9</v>
      </c>
      <c r="G1304" s="17" t="n">
        <v>1154</v>
      </c>
      <c r="H1304" s="18" t="n">
        <f aca="false">G1304*$B$1/1000000</f>
        <v>0.0025441345056149</v>
      </c>
    </row>
    <row r="1305" customFormat="false" ht="15" hidden="false" customHeight="false" outlineLevel="0" collapsed="false">
      <c r="A1305" s="4" t="s">
        <v>207</v>
      </c>
      <c r="B1305" s="4" t="s">
        <v>208</v>
      </c>
      <c r="C1305" s="4" t="s">
        <v>53</v>
      </c>
      <c r="D1305" s="16" t="n">
        <v>44105</v>
      </c>
      <c r="E1305" s="4" t="n">
        <v>2020</v>
      </c>
      <c r="F1305" s="4" t="n">
        <v>10</v>
      </c>
      <c r="G1305" s="17" t="n">
        <v>5696</v>
      </c>
      <c r="H1305" s="18" t="n">
        <f aca="false">G1305*$B$1/1000000</f>
        <v>0.0125575304540576</v>
      </c>
    </row>
    <row r="1306" customFormat="false" ht="15" hidden="false" customHeight="false" outlineLevel="0" collapsed="false">
      <c r="A1306" s="4" t="s">
        <v>207</v>
      </c>
      <c r="B1306" s="4" t="s">
        <v>208</v>
      </c>
      <c r="C1306" s="4" t="s">
        <v>53</v>
      </c>
      <c r="D1306" s="16" t="n">
        <v>44136</v>
      </c>
      <c r="E1306" s="4" t="n">
        <v>2020</v>
      </c>
      <c r="F1306" s="4" t="n">
        <v>11</v>
      </c>
      <c r="G1306" s="17" t="n">
        <v>9910</v>
      </c>
      <c r="H1306" s="18" t="n">
        <f aca="false">G1306*$B$1/1000000</f>
        <v>0.0218478101825335</v>
      </c>
    </row>
    <row r="1307" customFormat="false" ht="15" hidden="false" customHeight="false" outlineLevel="0" collapsed="false">
      <c r="A1307" s="4" t="s">
        <v>207</v>
      </c>
      <c r="B1307" s="4" t="s">
        <v>208</v>
      </c>
      <c r="C1307" s="4" t="s">
        <v>53</v>
      </c>
      <c r="D1307" s="16" t="n">
        <v>44166</v>
      </c>
      <c r="E1307" s="4" t="n">
        <v>2020</v>
      </c>
      <c r="F1307" s="4" t="n">
        <v>12</v>
      </c>
      <c r="G1307" s="17" t="n">
        <v>15570</v>
      </c>
      <c r="H1307" s="18" t="n">
        <f aca="false">G1307*$B$1/1000000</f>
        <v>0.0343259742222045</v>
      </c>
    </row>
    <row r="1308" customFormat="false" ht="15" hidden="false" customHeight="false" outlineLevel="0" collapsed="false">
      <c r="A1308" s="4" t="s">
        <v>207</v>
      </c>
      <c r="B1308" s="4" t="s">
        <v>208</v>
      </c>
      <c r="C1308" s="4" t="s">
        <v>53</v>
      </c>
      <c r="D1308" s="16" t="n">
        <v>44197</v>
      </c>
      <c r="E1308" s="4" t="n">
        <v>2021</v>
      </c>
      <c r="F1308" s="4" t="n">
        <v>1</v>
      </c>
      <c r="G1308" s="17" t="n">
        <v>22868</v>
      </c>
      <c r="H1308" s="18" t="n">
        <f aca="false">G1308*$B$1/1000000</f>
        <v>0.0504153101164658</v>
      </c>
    </row>
    <row r="1309" customFormat="false" ht="15" hidden="false" customHeight="false" outlineLevel="0" collapsed="false">
      <c r="A1309" s="4" t="s">
        <v>207</v>
      </c>
      <c r="B1309" s="4" t="s">
        <v>208</v>
      </c>
      <c r="C1309" s="4" t="s">
        <v>53</v>
      </c>
      <c r="D1309" s="16" t="n">
        <v>44228</v>
      </c>
      <c r="E1309" s="4" t="n">
        <v>2021</v>
      </c>
      <c r="F1309" s="4" t="n">
        <v>2</v>
      </c>
      <c r="G1309" s="17" t="n">
        <v>77534</v>
      </c>
      <c r="H1309" s="18" t="n">
        <f aca="false">G1309*$B$1/1000000</f>
        <v>0.170933210362518</v>
      </c>
    </row>
    <row r="1310" customFormat="false" ht="15" hidden="false" customHeight="false" outlineLevel="0" collapsed="false">
      <c r="A1310" s="4" t="s">
        <v>207</v>
      </c>
      <c r="B1310" s="4" t="s">
        <v>208</v>
      </c>
      <c r="C1310" s="4" t="s">
        <v>53</v>
      </c>
      <c r="D1310" s="16" t="n">
        <v>44256</v>
      </c>
      <c r="E1310" s="4" t="n">
        <v>2021</v>
      </c>
      <c r="F1310" s="4" t="n">
        <v>3</v>
      </c>
      <c r="G1310" s="17" t="n">
        <v>27138</v>
      </c>
      <c r="H1310" s="18" t="n">
        <f aca="false">G1310*$B$1/1000000</f>
        <v>0.0598290487117653</v>
      </c>
    </row>
    <row r="1311" customFormat="false" ht="15" hidden="false" customHeight="false" outlineLevel="0" collapsed="false">
      <c r="A1311" s="4" t="s">
        <v>207</v>
      </c>
      <c r="B1311" s="4" t="s">
        <v>208</v>
      </c>
      <c r="C1311" s="4" t="s">
        <v>53</v>
      </c>
      <c r="D1311" s="16" t="n">
        <v>44287</v>
      </c>
      <c r="E1311" s="4" t="n">
        <v>2021</v>
      </c>
      <c r="F1311" s="4" t="n">
        <v>4</v>
      </c>
      <c r="G1311" s="17" t="n">
        <v>53320</v>
      </c>
      <c r="H1311" s="18" t="n">
        <f aca="false">G1311*$B$1/1000000</f>
        <v>0.117550478197042</v>
      </c>
    </row>
    <row r="1312" customFormat="false" ht="15" hidden="false" customHeight="false" outlineLevel="0" collapsed="false">
      <c r="A1312" s="4" t="s">
        <v>207</v>
      </c>
      <c r="B1312" s="4" t="s">
        <v>208</v>
      </c>
      <c r="C1312" s="4" t="s">
        <v>53</v>
      </c>
      <c r="D1312" s="16" t="n">
        <v>44317</v>
      </c>
      <c r="E1312" s="4" t="n">
        <v>2021</v>
      </c>
      <c r="F1312" s="4" t="n">
        <v>5</v>
      </c>
      <c r="G1312" s="17" t="n">
        <v>22737</v>
      </c>
      <c r="H1312" s="18" t="n">
        <f aca="false">G1312*$B$1/1000000</f>
        <v>0.0501265045530035</v>
      </c>
    </row>
    <row r="1313" customFormat="false" ht="15" hidden="false" customHeight="false" outlineLevel="0" collapsed="false">
      <c r="A1313" s="4" t="s">
        <v>207</v>
      </c>
      <c r="B1313" s="4" t="s">
        <v>208</v>
      </c>
      <c r="C1313" s="4" t="s">
        <v>53</v>
      </c>
      <c r="D1313" s="16" t="n">
        <v>44348</v>
      </c>
      <c r="E1313" s="4" t="n">
        <v>2021</v>
      </c>
      <c r="F1313" s="4" t="n">
        <v>6</v>
      </c>
      <c r="G1313" s="17" t="n">
        <v>95824</v>
      </c>
      <c r="H1313" s="18" t="n">
        <f aca="false">G1313*$B$1/1000000</f>
        <v>0.211255758116154</v>
      </c>
    </row>
    <row r="1314" customFormat="false" ht="15" hidden="false" customHeight="false" outlineLevel="0" collapsed="false">
      <c r="A1314" s="4" t="s">
        <v>207</v>
      </c>
      <c r="B1314" s="4" t="s">
        <v>208</v>
      </c>
      <c r="C1314" s="4" t="s">
        <v>53</v>
      </c>
      <c r="D1314" s="16" t="n">
        <v>44378</v>
      </c>
      <c r="E1314" s="4" t="n">
        <v>2021</v>
      </c>
      <c r="F1314" s="4" t="n">
        <v>7</v>
      </c>
      <c r="G1314" s="17" t="n">
        <v>18637</v>
      </c>
      <c r="H1314" s="18" t="n">
        <f aca="false">G1314*$B$1/1000000</f>
        <v>0.0410875518034185</v>
      </c>
    </row>
    <row r="1315" customFormat="false" ht="15" hidden="false" customHeight="false" outlineLevel="0" collapsed="false">
      <c r="A1315" s="4" t="s">
        <v>207</v>
      </c>
      <c r="B1315" s="4" t="s">
        <v>208</v>
      </c>
      <c r="C1315" s="4" t="s">
        <v>53</v>
      </c>
      <c r="D1315" s="16" t="n">
        <v>44409</v>
      </c>
      <c r="E1315" s="4" t="n">
        <v>2021</v>
      </c>
      <c r="F1315" s="4" t="n">
        <v>8</v>
      </c>
      <c r="G1315" s="17" t="n">
        <v>39420</v>
      </c>
      <c r="H1315" s="18" t="n">
        <f aca="false">G1315*$B$1/1000000</f>
        <v>0.086906223753327</v>
      </c>
    </row>
    <row r="1316" customFormat="false" ht="15" hidden="false" customHeight="false" outlineLevel="0" collapsed="false">
      <c r="A1316" s="4" t="s">
        <v>207</v>
      </c>
      <c r="B1316" s="4" t="s">
        <v>208</v>
      </c>
      <c r="C1316" s="4" t="s">
        <v>53</v>
      </c>
      <c r="D1316" s="16" t="n">
        <v>44440</v>
      </c>
      <c r="E1316" s="4" t="n">
        <v>2021</v>
      </c>
      <c r="F1316" s="4" t="n">
        <v>9</v>
      </c>
      <c r="G1316" s="17" t="n">
        <v>3288</v>
      </c>
      <c r="H1316" s="18" t="n">
        <f aca="false">G1316*$B$1/1000000</f>
        <v>0.0072487991806428</v>
      </c>
    </row>
    <row r="1317" customFormat="false" ht="15" hidden="false" customHeight="false" outlineLevel="0" collapsed="false">
      <c r="A1317" s="4" t="s">
        <v>207</v>
      </c>
      <c r="B1317" s="4" t="s">
        <v>208</v>
      </c>
      <c r="C1317" s="4" t="s">
        <v>53</v>
      </c>
      <c r="D1317" s="16" t="n">
        <v>44470</v>
      </c>
      <c r="E1317" s="4" t="n">
        <v>2021</v>
      </c>
      <c r="F1317" s="4" t="n">
        <v>10</v>
      </c>
      <c r="G1317" s="17" t="n">
        <v>52745</v>
      </c>
      <c r="H1317" s="18" t="n">
        <f aca="false">G1317*$B$1/1000000</f>
        <v>0.116282820189478</v>
      </c>
    </row>
    <row r="1318" customFormat="false" ht="15" hidden="false" customHeight="false" outlineLevel="0" collapsed="false">
      <c r="A1318" s="4" t="s">
        <v>207</v>
      </c>
      <c r="B1318" s="4" t="s">
        <v>208</v>
      </c>
      <c r="C1318" s="4" t="s">
        <v>53</v>
      </c>
      <c r="D1318" s="16" t="n">
        <v>44501</v>
      </c>
      <c r="E1318" s="4" t="n">
        <v>2021</v>
      </c>
      <c r="F1318" s="4" t="n">
        <v>11</v>
      </c>
      <c r="G1318" s="17" t="n">
        <v>56440</v>
      </c>
      <c r="H1318" s="18" t="n">
        <f aca="false">G1318*$B$1/1000000</f>
        <v>0.124428900777214</v>
      </c>
    </row>
    <row r="1319" customFormat="false" ht="15" hidden="false" customHeight="false" outlineLevel="0" collapsed="false">
      <c r="A1319" s="4" t="s">
        <v>207</v>
      </c>
      <c r="B1319" s="4" t="s">
        <v>208</v>
      </c>
      <c r="C1319" s="4" t="s">
        <v>53</v>
      </c>
      <c r="D1319" s="16" t="n">
        <v>44531</v>
      </c>
      <c r="E1319" s="4" t="n">
        <v>2021</v>
      </c>
      <c r="F1319" s="4" t="n">
        <v>12</v>
      </c>
      <c r="G1319" s="17" t="n">
        <v>26145</v>
      </c>
      <c r="H1319" s="18" t="n">
        <f aca="false">G1319*$B$1/1000000</f>
        <v>0.0576398584482683</v>
      </c>
    </row>
    <row r="1320" customFormat="false" ht="15" hidden="false" customHeight="false" outlineLevel="0" collapsed="false">
      <c r="A1320" s="4" t="s">
        <v>207</v>
      </c>
      <c r="B1320" s="4" t="s">
        <v>208</v>
      </c>
      <c r="C1320" s="4" t="s">
        <v>53</v>
      </c>
      <c r="D1320" s="16" t="n">
        <v>44562</v>
      </c>
      <c r="E1320" s="4" t="n">
        <v>2022</v>
      </c>
      <c r="F1320" s="4" t="n">
        <v>1</v>
      </c>
      <c r="G1320" s="17" t="n">
        <v>17186</v>
      </c>
      <c r="H1320" s="18" t="n">
        <f aca="false">G1320*$B$1/1000000</f>
        <v>0.0378886443791141</v>
      </c>
    </row>
    <row r="1321" customFormat="false" ht="15" hidden="false" customHeight="false" outlineLevel="0" collapsed="false">
      <c r="A1321" s="4" t="s">
        <v>207</v>
      </c>
      <c r="B1321" s="4" t="s">
        <v>208</v>
      </c>
      <c r="C1321" s="4" t="s">
        <v>53</v>
      </c>
      <c r="D1321" s="16" t="n">
        <v>44593</v>
      </c>
      <c r="E1321" s="4" t="n">
        <v>2022</v>
      </c>
      <c r="F1321" s="4" t="n">
        <v>2</v>
      </c>
      <c r="G1321" s="17" t="n">
        <v>17679</v>
      </c>
      <c r="H1321" s="18" t="n">
        <f aca="false">G1321*$B$1/1000000</f>
        <v>0.0389755233316862</v>
      </c>
    </row>
    <row r="1322" customFormat="false" ht="15" hidden="false" customHeight="false" outlineLevel="0" collapsed="false">
      <c r="A1322" s="4" t="s">
        <v>207</v>
      </c>
      <c r="B1322" s="4" t="s">
        <v>208</v>
      </c>
      <c r="C1322" s="4" t="s">
        <v>53</v>
      </c>
      <c r="D1322" s="16" t="n">
        <v>44621</v>
      </c>
      <c r="E1322" s="4" t="n">
        <v>2022</v>
      </c>
      <c r="F1322" s="4" t="n">
        <v>3</v>
      </c>
      <c r="G1322" s="17" t="n">
        <v>58582</v>
      </c>
      <c r="H1322" s="18" t="n">
        <f aca="false">G1322*$B$1/1000000</f>
        <v>0.129151202433217</v>
      </c>
    </row>
    <row r="1323" customFormat="false" ht="15" hidden="false" customHeight="false" outlineLevel="0" collapsed="false">
      <c r="A1323" s="4" t="s">
        <v>207</v>
      </c>
      <c r="B1323" s="4" t="s">
        <v>208</v>
      </c>
      <c r="C1323" s="4" t="s">
        <v>53</v>
      </c>
      <c r="D1323" s="16" t="n">
        <v>44652</v>
      </c>
      <c r="E1323" s="4" t="n">
        <v>2022</v>
      </c>
      <c r="F1323" s="4" t="n">
        <v>4</v>
      </c>
      <c r="G1323" s="17" t="n">
        <v>2650</v>
      </c>
      <c r="H1323" s="18" t="n">
        <f aca="false">G1323*$B$1/1000000</f>
        <v>0.0058422499479025</v>
      </c>
    </row>
    <row r="1324" customFormat="false" ht="15" hidden="false" customHeight="false" outlineLevel="0" collapsed="false">
      <c r="A1324" s="4" t="s">
        <v>207</v>
      </c>
      <c r="B1324" s="4" t="s">
        <v>208</v>
      </c>
      <c r="C1324" s="4" t="s">
        <v>53</v>
      </c>
      <c r="D1324" s="16" t="n">
        <v>44682</v>
      </c>
      <c r="E1324" s="4" t="n">
        <v>2022</v>
      </c>
      <c r="F1324" s="4" t="n">
        <v>5</v>
      </c>
      <c r="G1324" s="17" t="n">
        <v>68330</v>
      </c>
      <c r="H1324" s="18" t="n">
        <f aca="false">G1324*$B$1/1000000</f>
        <v>0.150641863751011</v>
      </c>
    </row>
    <row r="1325" customFormat="false" ht="15" hidden="false" customHeight="false" outlineLevel="0" collapsed="false">
      <c r="A1325" s="4" t="s">
        <v>207</v>
      </c>
      <c r="B1325" s="4" t="s">
        <v>208</v>
      </c>
      <c r="C1325" s="4" t="s">
        <v>53</v>
      </c>
      <c r="D1325" s="16" t="n">
        <v>44713</v>
      </c>
      <c r="E1325" s="4" t="n">
        <v>2022</v>
      </c>
      <c r="F1325" s="4" t="n">
        <v>6</v>
      </c>
      <c r="G1325" s="17" t="n">
        <v>39430</v>
      </c>
      <c r="H1325" s="18" t="n">
        <f aca="false">G1325*$B$1/1000000</f>
        <v>0.0869282699795455</v>
      </c>
    </row>
    <row r="1326" customFormat="false" ht="15" hidden="false" customHeight="false" outlineLevel="0" collapsed="false">
      <c r="A1326" s="4" t="s">
        <v>207</v>
      </c>
      <c r="B1326" s="4" t="s">
        <v>208</v>
      </c>
      <c r="C1326" s="4" t="s">
        <v>53</v>
      </c>
      <c r="D1326" s="16" t="n">
        <v>44743</v>
      </c>
      <c r="E1326" s="4" t="n">
        <v>2022</v>
      </c>
      <c r="F1326" s="4" t="n">
        <v>7</v>
      </c>
      <c r="G1326" s="17" t="n">
        <v>13694</v>
      </c>
      <c r="H1326" s="18" t="n">
        <f aca="false">G1326*$B$1/1000000</f>
        <v>0.0301901021836139</v>
      </c>
    </row>
    <row r="1327" customFormat="false" ht="15" hidden="false" customHeight="false" outlineLevel="0" collapsed="false">
      <c r="A1327" s="4" t="s">
        <v>207</v>
      </c>
      <c r="B1327" s="4" t="s">
        <v>208</v>
      </c>
      <c r="C1327" s="4" t="s">
        <v>53</v>
      </c>
      <c r="D1327" s="16" t="n">
        <v>44774</v>
      </c>
      <c r="E1327" s="4" t="n">
        <v>2022</v>
      </c>
      <c r="F1327" s="4" t="n">
        <v>8</v>
      </c>
      <c r="G1327" s="17" t="n">
        <v>32455</v>
      </c>
      <c r="H1327" s="18" t="n">
        <f aca="false">G1327*$B$1/1000000</f>
        <v>0.0715510271921418</v>
      </c>
    </row>
    <row r="1328" customFormat="false" ht="15" hidden="false" customHeight="false" outlineLevel="0" collapsed="false">
      <c r="A1328" s="4" t="s">
        <v>207</v>
      </c>
      <c r="B1328" s="4" t="s">
        <v>208</v>
      </c>
      <c r="C1328" s="4" t="s">
        <v>53</v>
      </c>
      <c r="D1328" s="16" t="n">
        <v>44805</v>
      </c>
      <c r="E1328" s="4" t="n">
        <v>2022</v>
      </c>
      <c r="F1328" s="4" t="n">
        <v>9</v>
      </c>
      <c r="G1328" s="17" t="n">
        <v>31322</v>
      </c>
      <c r="H1328" s="18" t="n">
        <f aca="false">G1328*$B$1/1000000</f>
        <v>0.0690531897615857</v>
      </c>
    </row>
    <row r="1329" customFormat="false" ht="15" hidden="false" customHeight="false" outlineLevel="0" collapsed="false">
      <c r="A1329" s="4" t="s">
        <v>207</v>
      </c>
      <c r="B1329" s="4" t="s">
        <v>208</v>
      </c>
      <c r="C1329" s="4" t="s">
        <v>53</v>
      </c>
      <c r="D1329" s="16" t="n">
        <v>44835</v>
      </c>
      <c r="E1329" s="4" t="n">
        <v>2022</v>
      </c>
      <c r="F1329" s="4" t="n">
        <v>10</v>
      </c>
      <c r="G1329" s="17" t="n">
        <v>5945</v>
      </c>
      <c r="H1329" s="18" t="n">
        <f aca="false">G1329*$B$1/1000000</f>
        <v>0.0131064814868983</v>
      </c>
    </row>
    <row r="1330" customFormat="false" ht="15" hidden="false" customHeight="false" outlineLevel="0" collapsed="false">
      <c r="A1330" s="4" t="s">
        <v>207</v>
      </c>
      <c r="B1330" s="4" t="s">
        <v>208</v>
      </c>
      <c r="C1330" s="4" t="s">
        <v>53</v>
      </c>
      <c r="D1330" s="16" t="n">
        <v>44866</v>
      </c>
      <c r="E1330" s="4" t="n">
        <v>2022</v>
      </c>
      <c r="F1330" s="4" t="n">
        <v>11</v>
      </c>
      <c r="G1330" s="17" t="n">
        <v>10772</v>
      </c>
      <c r="H1330" s="18" t="n">
        <f aca="false">G1330*$B$1/1000000</f>
        <v>0.0237481948825682</v>
      </c>
    </row>
    <row r="1331" customFormat="false" ht="15" hidden="false" customHeight="false" outlineLevel="0" collapsed="false">
      <c r="A1331" s="4" t="s">
        <v>207</v>
      </c>
      <c r="B1331" s="4" t="s">
        <v>208</v>
      </c>
      <c r="C1331" s="4" t="s">
        <v>53</v>
      </c>
      <c r="D1331" s="16" t="n">
        <v>44896</v>
      </c>
      <c r="E1331" s="4" t="n">
        <v>2022</v>
      </c>
      <c r="F1331" s="4" t="n">
        <v>12</v>
      </c>
      <c r="G1331" s="17" t="n">
        <v>48633</v>
      </c>
      <c r="H1331" s="18" t="n">
        <f aca="false">G1331*$B$1/1000000</f>
        <v>0.107217411968431</v>
      </c>
    </row>
    <row r="1332" customFormat="false" ht="15" hidden="false" customHeight="false" outlineLevel="0" collapsed="false">
      <c r="A1332" s="4" t="s">
        <v>207</v>
      </c>
      <c r="B1332" s="4" t="s">
        <v>208</v>
      </c>
      <c r="C1332" s="4" t="s">
        <v>53</v>
      </c>
      <c r="D1332" s="16" t="n">
        <v>44927</v>
      </c>
      <c r="E1332" s="4" t="n">
        <v>2023</v>
      </c>
      <c r="F1332" s="4" t="n">
        <v>1</v>
      </c>
      <c r="G1332" s="17" t="n">
        <v>39213</v>
      </c>
      <c r="H1332" s="18" t="n">
        <f aca="false">G1332*$B$1/1000000</f>
        <v>0.0864498668706041</v>
      </c>
    </row>
    <row r="1333" customFormat="false" ht="15" hidden="false" customHeight="false" outlineLevel="0" collapsed="false">
      <c r="A1333" s="4" t="s">
        <v>207</v>
      </c>
      <c r="B1333" s="4" t="s">
        <v>208</v>
      </c>
      <c r="C1333" s="4" t="s">
        <v>53</v>
      </c>
      <c r="D1333" s="16" t="n">
        <v>44958</v>
      </c>
      <c r="E1333" s="4" t="n">
        <v>2023</v>
      </c>
      <c r="F1333" s="4" t="n">
        <v>2</v>
      </c>
      <c r="G1333" s="17" t="n">
        <v>50997</v>
      </c>
      <c r="H1333" s="18" t="n">
        <f aca="false">G1333*$B$1/1000000</f>
        <v>0.112429139846484</v>
      </c>
    </row>
    <row r="1334" customFormat="false" ht="15" hidden="false" customHeight="false" outlineLevel="0" collapsed="false">
      <c r="A1334" s="4" t="s">
        <v>207</v>
      </c>
      <c r="B1334" s="4" t="s">
        <v>208</v>
      </c>
      <c r="C1334" s="4" t="s">
        <v>53</v>
      </c>
      <c r="D1334" s="16" t="n">
        <v>44986</v>
      </c>
      <c r="E1334" s="4" t="n">
        <v>2023</v>
      </c>
      <c r="F1334" s="4" t="n">
        <v>3</v>
      </c>
      <c r="G1334" s="17" t="n">
        <v>5754</v>
      </c>
      <c r="H1334" s="18" t="n">
        <f aca="false">G1334*$B$1/1000000</f>
        <v>0.0126853985661249</v>
      </c>
    </row>
    <row r="1335" customFormat="false" ht="15" hidden="false" customHeight="false" outlineLevel="0" collapsed="false">
      <c r="A1335" s="4" t="s">
        <v>207</v>
      </c>
      <c r="B1335" s="4" t="s">
        <v>208</v>
      </c>
      <c r="C1335" s="4" t="s">
        <v>53</v>
      </c>
      <c r="D1335" s="16" t="n">
        <v>45017</v>
      </c>
      <c r="E1335" s="4" t="n">
        <v>2023</v>
      </c>
      <c r="F1335" s="4" t="n">
        <v>4</v>
      </c>
      <c r="G1335" s="17" t="n">
        <v>1921</v>
      </c>
      <c r="H1335" s="18" t="n">
        <f aca="false">G1335*$B$1/1000000</f>
        <v>0.00423508005657385</v>
      </c>
    </row>
    <row r="1336" customFormat="false" ht="15" hidden="false" customHeight="false" outlineLevel="0" collapsed="false">
      <c r="A1336" s="4" t="s">
        <v>207</v>
      </c>
      <c r="B1336" s="4" t="s">
        <v>208</v>
      </c>
      <c r="C1336" s="4" t="s">
        <v>53</v>
      </c>
      <c r="D1336" s="16" t="n">
        <v>45047</v>
      </c>
      <c r="E1336" s="4" t="n">
        <v>2023</v>
      </c>
      <c r="F1336" s="4" t="n">
        <v>5</v>
      </c>
      <c r="G1336" s="17" t="n">
        <v>41327</v>
      </c>
      <c r="H1336" s="18" t="n">
        <f aca="false">G1336*$B$1/1000000</f>
        <v>0.0911104390931949</v>
      </c>
    </row>
    <row r="1337" customFormat="false" ht="15" hidden="false" customHeight="false" outlineLevel="0" collapsed="false">
      <c r="A1337" s="4" t="s">
        <v>207</v>
      </c>
      <c r="B1337" s="4" t="s">
        <v>208</v>
      </c>
      <c r="C1337" s="4" t="s">
        <v>53</v>
      </c>
      <c r="D1337" s="16" t="n">
        <v>45078</v>
      </c>
      <c r="E1337" s="4" t="n">
        <v>2023</v>
      </c>
      <c r="F1337" s="4" t="n">
        <v>6</v>
      </c>
      <c r="G1337" s="17" t="n">
        <v>5074</v>
      </c>
      <c r="H1337" s="18" t="n">
        <f aca="false">G1337*$B$1/1000000</f>
        <v>0.0111862551832669</v>
      </c>
    </row>
    <row r="1338" customFormat="false" ht="15" hidden="false" customHeight="false" outlineLevel="0" collapsed="false">
      <c r="A1338" s="4" t="s">
        <v>207</v>
      </c>
      <c r="B1338" s="4" t="s">
        <v>208</v>
      </c>
      <c r="C1338" s="4" t="s">
        <v>53</v>
      </c>
      <c r="D1338" s="16" t="n">
        <v>45108</v>
      </c>
      <c r="E1338" s="4" t="n">
        <v>2023</v>
      </c>
      <c r="F1338" s="4" t="n">
        <v>7</v>
      </c>
      <c r="G1338" s="17" t="n">
        <v>10283</v>
      </c>
      <c r="H1338" s="18" t="n">
        <f aca="false">G1338*$B$1/1000000</f>
        <v>0.0226701344204836</v>
      </c>
    </row>
    <row r="1339" customFormat="false" ht="15" hidden="false" customHeight="false" outlineLevel="0" collapsed="false">
      <c r="A1339" s="4" t="s">
        <v>207</v>
      </c>
      <c r="B1339" s="4" t="s">
        <v>208</v>
      </c>
      <c r="C1339" s="4" t="s">
        <v>53</v>
      </c>
      <c r="D1339" s="16" t="n">
        <v>45139</v>
      </c>
      <c r="E1339" s="4" t="n">
        <v>2023</v>
      </c>
      <c r="F1339" s="4" t="n">
        <v>8</v>
      </c>
      <c r="G1339" s="17" t="n">
        <v>23293</v>
      </c>
      <c r="H1339" s="18" t="n">
        <f aca="false">G1339*$B$1/1000000</f>
        <v>0.051352274730752</v>
      </c>
    </row>
    <row r="1340" customFormat="false" ht="15" hidden="false" customHeight="false" outlineLevel="0" collapsed="false">
      <c r="A1340" s="4" t="s">
        <v>207</v>
      </c>
      <c r="B1340" s="4" t="s">
        <v>208</v>
      </c>
      <c r="C1340" s="4" t="s">
        <v>53</v>
      </c>
      <c r="D1340" s="16" t="n">
        <v>45170</v>
      </c>
      <c r="E1340" s="4" t="n">
        <v>2023</v>
      </c>
      <c r="F1340" s="4" t="n">
        <v>9</v>
      </c>
      <c r="G1340" s="17" t="n">
        <v>2471</v>
      </c>
      <c r="H1340" s="18" t="n">
        <f aca="false">G1340*$B$1/1000000</f>
        <v>0.00544762249859135</v>
      </c>
    </row>
    <row r="1341" customFormat="false" ht="15" hidden="false" customHeight="false" outlineLevel="0" collapsed="false">
      <c r="A1341" s="4" t="s">
        <v>207</v>
      </c>
      <c r="B1341" s="4" t="s">
        <v>208</v>
      </c>
      <c r="C1341" s="4" t="s">
        <v>53</v>
      </c>
      <c r="D1341" s="16" t="n">
        <v>45200</v>
      </c>
      <c r="E1341" s="4" t="n">
        <v>2023</v>
      </c>
      <c r="F1341" s="4" t="n">
        <v>10</v>
      </c>
      <c r="G1341" s="17" t="n">
        <v>10921</v>
      </c>
      <c r="H1341" s="18" t="n">
        <f aca="false">G1341*$B$1/1000000</f>
        <v>0.0240766836532238</v>
      </c>
    </row>
    <row r="1342" customFormat="false" ht="15" hidden="false" customHeight="false" outlineLevel="0" collapsed="false">
      <c r="A1342" s="4" t="s">
        <v>207</v>
      </c>
      <c r="B1342" s="4" t="s">
        <v>208</v>
      </c>
      <c r="C1342" s="4" t="s">
        <v>53</v>
      </c>
      <c r="D1342" s="16" t="n">
        <v>45231</v>
      </c>
      <c r="E1342" s="4" t="n">
        <v>2023</v>
      </c>
      <c r="F1342" s="4" t="n">
        <v>11</v>
      </c>
      <c r="G1342" s="17" t="n">
        <v>36120</v>
      </c>
      <c r="H1342" s="18" t="n">
        <f aca="false">G1342*$B$1/1000000</f>
        <v>0.079630969101222</v>
      </c>
    </row>
    <row r="1343" customFormat="false" ht="15" hidden="false" customHeight="false" outlineLevel="0" collapsed="false">
      <c r="A1343" s="4" t="s">
        <v>207</v>
      </c>
      <c r="B1343" s="4" t="s">
        <v>208</v>
      </c>
      <c r="C1343" s="4" t="s">
        <v>53</v>
      </c>
      <c r="D1343" s="16" t="n">
        <v>45261</v>
      </c>
      <c r="E1343" s="4" t="n">
        <v>2023</v>
      </c>
      <c r="F1343" s="4" t="n">
        <v>12</v>
      </c>
      <c r="G1343" s="17" t="n">
        <v>60900</v>
      </c>
      <c r="H1343" s="18" t="n">
        <f aca="false">G1343*$B$1/1000000</f>
        <v>0.134261517670665</v>
      </c>
    </row>
    <row r="1344" customFormat="false" ht="15" hidden="false" customHeight="false" outlineLevel="0" collapsed="false">
      <c r="A1344" s="4" t="s">
        <v>207</v>
      </c>
      <c r="B1344" s="4" t="s">
        <v>208</v>
      </c>
      <c r="C1344" s="4" t="s">
        <v>53</v>
      </c>
      <c r="D1344" s="16" t="n">
        <v>45292</v>
      </c>
      <c r="E1344" s="4" t="n">
        <v>2024</v>
      </c>
      <c r="F1344" s="4" t="n">
        <v>1</v>
      </c>
      <c r="G1344" s="17" t="n">
        <v>100883</v>
      </c>
      <c r="H1344" s="18" t="n">
        <f aca="false">G1344*$B$1/1000000</f>
        <v>0.222408943960094</v>
      </c>
    </row>
    <row r="1345" customFormat="false" ht="15" hidden="false" customHeight="false" outlineLevel="0" collapsed="false">
      <c r="A1345" s="4" t="s">
        <v>207</v>
      </c>
      <c r="B1345" s="4" t="s">
        <v>208</v>
      </c>
      <c r="C1345" s="4" t="s">
        <v>53</v>
      </c>
      <c r="D1345" s="16" t="n">
        <v>45323</v>
      </c>
      <c r="E1345" s="4" t="n">
        <v>2024</v>
      </c>
      <c r="F1345" s="4" t="n">
        <v>2</v>
      </c>
      <c r="G1345" s="17" t="n">
        <v>18923</v>
      </c>
      <c r="H1345" s="18" t="n">
        <f aca="false">G1345*$B$1/1000000</f>
        <v>0.0417180738732676</v>
      </c>
    </row>
    <row r="1346" customFormat="false" ht="15" hidden="false" customHeight="false" outlineLevel="0" collapsed="false">
      <c r="A1346" s="4" t="s">
        <v>207</v>
      </c>
      <c r="B1346" s="4" t="s">
        <v>208</v>
      </c>
      <c r="C1346" s="4" t="s">
        <v>53</v>
      </c>
      <c r="D1346" s="16" t="n">
        <v>45352</v>
      </c>
      <c r="E1346" s="4" t="n">
        <v>2024</v>
      </c>
      <c r="F1346" s="4" t="n">
        <v>3</v>
      </c>
      <c r="G1346" s="17" t="n">
        <v>246536</v>
      </c>
      <c r="H1346" s="18" t="n">
        <f aca="false">G1346*$B$1/1000000</f>
        <v>0.543518842700412</v>
      </c>
    </row>
    <row r="1347" customFormat="false" ht="15" hidden="false" customHeight="false" outlineLevel="0" collapsed="false">
      <c r="A1347" s="4" t="s">
        <v>207</v>
      </c>
      <c r="B1347" s="4" t="s">
        <v>208</v>
      </c>
      <c r="C1347" s="4" t="s">
        <v>53</v>
      </c>
      <c r="D1347" s="16" t="n">
        <v>45383</v>
      </c>
      <c r="E1347" s="4" t="n">
        <v>2024</v>
      </c>
      <c r="F1347" s="4" t="n">
        <v>4</v>
      </c>
      <c r="G1347" s="17" t="n">
        <v>552662</v>
      </c>
      <c r="H1347" s="18" t="n">
        <f aca="false">G1347*$B$1/1000000</f>
        <v>1.21841114743686</v>
      </c>
    </row>
    <row r="1348" customFormat="false" ht="15" hidden="false" customHeight="false" outlineLevel="0" collapsed="false">
      <c r="A1348" s="4" t="s">
        <v>207</v>
      </c>
      <c r="B1348" s="4" t="s">
        <v>208</v>
      </c>
      <c r="C1348" s="4" t="s">
        <v>53</v>
      </c>
      <c r="D1348" s="16" t="n">
        <v>45413</v>
      </c>
      <c r="E1348" s="4" t="n">
        <v>2024</v>
      </c>
      <c r="F1348" s="4" t="n">
        <v>5</v>
      </c>
      <c r="G1348" s="17" t="n">
        <v>15766</v>
      </c>
      <c r="H1348" s="18" t="n">
        <f aca="false">G1348*$B$1/1000000</f>
        <v>0.0347580802560871</v>
      </c>
    </row>
    <row r="1349" customFormat="false" ht="15" hidden="false" customHeight="false" outlineLevel="0" collapsed="false">
      <c r="A1349" s="4" t="s">
        <v>207</v>
      </c>
      <c r="B1349" s="4" t="s">
        <v>208</v>
      </c>
      <c r="C1349" s="4" t="s">
        <v>53</v>
      </c>
      <c r="D1349" s="16" t="n">
        <v>45444</v>
      </c>
      <c r="E1349" s="4" t="n">
        <v>2024</v>
      </c>
      <c r="F1349" s="4" t="n">
        <v>6</v>
      </c>
      <c r="G1349" s="17" t="n">
        <v>22306</v>
      </c>
      <c r="H1349" s="18" t="n">
        <f aca="false">G1349*$B$1/1000000</f>
        <v>0.0491763122029861</v>
      </c>
    </row>
    <row r="1350" customFormat="false" ht="15" hidden="false" customHeight="false" outlineLevel="0" collapsed="false">
      <c r="A1350" s="4" t="s">
        <v>207</v>
      </c>
      <c r="B1350" s="4" t="s">
        <v>208</v>
      </c>
      <c r="C1350" s="4" t="s">
        <v>53</v>
      </c>
      <c r="D1350" s="16" t="n">
        <v>45474</v>
      </c>
      <c r="E1350" s="4" t="n">
        <v>2024</v>
      </c>
      <c r="F1350" s="4" t="n">
        <v>7</v>
      </c>
      <c r="G1350" s="17" t="n">
        <v>353087</v>
      </c>
      <c r="H1350" s="18" t="n">
        <f aca="false">G1350*$B$1/1000000</f>
        <v>0.778423587681151</v>
      </c>
    </row>
    <row r="1351" customFormat="false" ht="15" hidden="false" customHeight="false" outlineLevel="0" collapsed="false">
      <c r="A1351" s="4" t="s">
        <v>207</v>
      </c>
      <c r="B1351" s="4" t="s">
        <v>208</v>
      </c>
      <c r="C1351" s="4" t="s">
        <v>53</v>
      </c>
      <c r="D1351" s="16" t="n">
        <v>45505</v>
      </c>
      <c r="E1351" s="4" t="n">
        <v>2024</v>
      </c>
      <c r="F1351" s="4" t="n">
        <v>8</v>
      </c>
      <c r="G1351" s="17" t="n">
        <v>1238097</v>
      </c>
      <c r="H1351" s="18" t="n">
        <f aca="false">G1351*$B$1/1000000</f>
        <v>2.72953665424462</v>
      </c>
    </row>
    <row r="1352" customFormat="false" ht="15" hidden="false" customHeight="false" outlineLevel="0" collapsed="false">
      <c r="A1352" s="4" t="s">
        <v>207</v>
      </c>
      <c r="B1352" s="4" t="s">
        <v>208</v>
      </c>
      <c r="C1352" s="4" t="s">
        <v>53</v>
      </c>
      <c r="D1352" s="16" t="n">
        <v>45536</v>
      </c>
      <c r="E1352" s="4" t="n">
        <v>2024</v>
      </c>
      <c r="F1352" s="4" t="n">
        <v>9</v>
      </c>
      <c r="G1352" s="17" t="n">
        <v>1481890</v>
      </c>
      <c r="H1352" s="18" t="n">
        <f aca="false">G1352*$B$1/1000000</f>
        <v>3.2670082170933</v>
      </c>
    </row>
    <row r="1353" customFormat="false" ht="15" hidden="false" customHeight="false" outlineLevel="0" collapsed="false">
      <c r="A1353" s="4" t="s">
        <v>207</v>
      </c>
      <c r="B1353" s="4" t="s">
        <v>208</v>
      </c>
      <c r="C1353" s="4" t="s">
        <v>53</v>
      </c>
      <c r="D1353" s="16" t="n">
        <v>45566</v>
      </c>
      <c r="E1353" s="4" t="n">
        <v>2024</v>
      </c>
      <c r="F1353" s="4" t="n">
        <v>10</v>
      </c>
      <c r="G1353" s="17" t="n">
        <v>1217303</v>
      </c>
      <c r="H1353" s="18" t="n">
        <f aca="false">G1353*$B$1/1000000</f>
        <v>2.68369373144587</v>
      </c>
    </row>
    <row r="1354" customFormat="false" ht="15" hidden="false" customHeight="false" outlineLevel="0" collapsed="false">
      <c r="A1354" s="4" t="s">
        <v>207</v>
      </c>
      <c r="B1354" s="4" t="s">
        <v>208</v>
      </c>
      <c r="C1354" s="4" t="s">
        <v>53</v>
      </c>
      <c r="D1354" s="16" t="n">
        <v>45597</v>
      </c>
      <c r="E1354" s="4" t="n">
        <v>2024</v>
      </c>
      <c r="F1354" s="4" t="n">
        <v>11</v>
      </c>
      <c r="G1354" s="17" t="n">
        <v>9565</v>
      </c>
      <c r="H1354" s="18" t="n">
        <f aca="false">G1354*$B$1/1000000</f>
        <v>0.0210872153779953</v>
      </c>
    </row>
    <row r="1355" customFormat="false" ht="15" hidden="false" customHeight="false" outlineLevel="0" collapsed="false">
      <c r="A1355" s="4" t="s">
        <v>207</v>
      </c>
      <c r="B1355" s="4" t="s">
        <v>208</v>
      </c>
      <c r="C1355" s="4" t="s">
        <v>53</v>
      </c>
      <c r="D1355" s="16" t="n">
        <v>45627</v>
      </c>
      <c r="E1355" s="4" t="n">
        <v>2024</v>
      </c>
      <c r="F1355" s="4" t="n">
        <v>12</v>
      </c>
      <c r="G1355" s="17" t="n">
        <v>728413</v>
      </c>
      <c r="H1355" s="18" t="n">
        <f aca="false">G1355*$B$1/1000000</f>
        <v>1.60587577784962</v>
      </c>
    </row>
    <row r="1356" customFormat="false" ht="15" hidden="false" customHeight="false" outlineLevel="0" collapsed="false">
      <c r="A1356" s="4" t="s">
        <v>207</v>
      </c>
      <c r="B1356" s="4" t="s">
        <v>208</v>
      </c>
      <c r="C1356" s="4" t="s">
        <v>53</v>
      </c>
      <c r="D1356" s="16" t="n">
        <v>45658</v>
      </c>
      <c r="E1356" s="4" t="n">
        <v>2025</v>
      </c>
      <c r="F1356" s="4" t="n">
        <v>1</v>
      </c>
      <c r="G1356" s="17" t="n">
        <v>11524</v>
      </c>
      <c r="H1356" s="18" t="n">
        <f aca="false">G1356*$B$1/1000000</f>
        <v>0.0254060710941994</v>
      </c>
    </row>
    <row r="1357" customFormat="false" ht="15" hidden="false" customHeight="false" outlineLevel="0" collapsed="false">
      <c r="A1357" s="4" t="s">
        <v>207</v>
      </c>
      <c r="B1357" s="4" t="s">
        <v>208</v>
      </c>
      <c r="C1357" s="4" t="s">
        <v>53</v>
      </c>
      <c r="D1357" s="16" t="n">
        <v>45689</v>
      </c>
      <c r="E1357" s="4" t="n">
        <v>2025</v>
      </c>
      <c r="F1357" s="4" t="n">
        <v>2</v>
      </c>
      <c r="G1357" s="17" t="n">
        <v>548555</v>
      </c>
      <c r="H1357" s="18" t="n">
        <f aca="false">G1357*$B$1/1000000</f>
        <v>1.20935676232893</v>
      </c>
    </row>
    <row r="1358" customFormat="false" ht="15" hidden="false" customHeight="false" outlineLevel="0" collapsed="false">
      <c r="A1358" s="4" t="s">
        <v>207</v>
      </c>
      <c r="B1358" s="4" t="s">
        <v>208</v>
      </c>
      <c r="C1358" s="4" t="s">
        <v>53</v>
      </c>
      <c r="D1358" s="16" t="n">
        <v>45717</v>
      </c>
      <c r="E1358" s="4" t="n">
        <v>2025</v>
      </c>
      <c r="F1358" s="4" t="n">
        <v>3</v>
      </c>
      <c r="G1358" s="17" t="n">
        <v>21757</v>
      </c>
      <c r="H1358" s="18" t="n">
        <f aca="false">G1358*$B$1/1000000</f>
        <v>0.0479659743835905</v>
      </c>
    </row>
    <row r="1359" customFormat="false" ht="15" hidden="false" customHeight="false" outlineLevel="0" collapsed="false">
      <c r="A1359" s="4" t="s">
        <v>207</v>
      </c>
      <c r="B1359" s="4" t="s">
        <v>208</v>
      </c>
      <c r="C1359" s="4" t="s">
        <v>53</v>
      </c>
      <c r="D1359" s="16" t="n">
        <v>45748</v>
      </c>
      <c r="E1359" s="4" t="n">
        <v>2025</v>
      </c>
      <c r="F1359" s="4" t="n">
        <v>4</v>
      </c>
      <c r="G1359" s="17" t="n">
        <v>25660</v>
      </c>
      <c r="H1359" s="18" t="n">
        <f aca="false">G1359*$B$1/1000000</f>
        <v>0.056570616476671</v>
      </c>
    </row>
    <row r="1360" customFormat="false" ht="15" hidden="false" customHeight="false" outlineLevel="0" collapsed="false">
      <c r="A1360" s="4" t="s">
        <v>207</v>
      </c>
      <c r="B1360" s="4" t="s">
        <v>208</v>
      </c>
      <c r="C1360" s="4" t="s">
        <v>53</v>
      </c>
      <c r="D1360" s="16" t="n">
        <v>45778</v>
      </c>
      <c r="E1360" s="4" t="n">
        <v>2025</v>
      </c>
      <c r="F1360" s="4" t="n">
        <v>5</v>
      </c>
      <c r="G1360" s="17" t="n">
        <v>4409</v>
      </c>
      <c r="H1360" s="18" t="n">
        <f aca="false">G1360*$B$1/1000000</f>
        <v>0.00972018113973665</v>
      </c>
    </row>
    <row r="1361" customFormat="false" ht="15" hidden="false" customHeight="false" outlineLevel="0" collapsed="false">
      <c r="A1361" s="4" t="s">
        <v>207</v>
      </c>
      <c r="B1361" s="4" t="s">
        <v>208</v>
      </c>
      <c r="C1361" s="4" t="s">
        <v>53</v>
      </c>
      <c r="D1361" s="16" t="n">
        <v>45809</v>
      </c>
      <c r="E1361" s="4" t="n">
        <v>2025</v>
      </c>
      <c r="F1361" s="4" t="n">
        <v>6</v>
      </c>
      <c r="G1361" s="17" t="n">
        <v>6903</v>
      </c>
      <c r="H1361" s="18" t="n">
        <f aca="false">G1361*$B$1/1000000</f>
        <v>0.0152185099586306</v>
      </c>
    </row>
    <row r="1362" customFormat="false" ht="15" hidden="false" customHeight="false" outlineLevel="0" collapsed="false">
      <c r="A1362" s="4" t="s">
        <v>207</v>
      </c>
      <c r="B1362" s="4" t="s">
        <v>208</v>
      </c>
      <c r="C1362" s="4" t="s">
        <v>53</v>
      </c>
      <c r="D1362" s="16" t="n">
        <v>45839</v>
      </c>
      <c r="E1362" s="4" t="n">
        <v>2025</v>
      </c>
      <c r="F1362" s="4" t="n">
        <v>7</v>
      </c>
      <c r="G1362" s="17" t="n">
        <v>8188</v>
      </c>
      <c r="H1362" s="18" t="n">
        <f aca="false">G1362*$B$1/1000000</f>
        <v>0.0180514500277078</v>
      </c>
    </row>
    <row r="1363" customFormat="false" ht="15" hidden="false" customHeight="false" outlineLevel="0" collapsed="false">
      <c r="A1363" s="4" t="s">
        <v>207</v>
      </c>
      <c r="B1363" s="4" t="s">
        <v>208</v>
      </c>
      <c r="C1363" s="4" t="s">
        <v>53</v>
      </c>
      <c r="D1363" s="16" t="n">
        <v>45870</v>
      </c>
      <c r="E1363" s="4" t="n">
        <v>2025</v>
      </c>
      <c r="F1363" s="4" t="n">
        <v>8</v>
      </c>
      <c r="G1363" s="17" t="n">
        <v>76259</v>
      </c>
      <c r="H1363" s="18" t="n">
        <f aca="false">G1363*$B$1/1000000</f>
        <v>0.168122316519659</v>
      </c>
    </row>
    <row r="1364" customFormat="false" ht="15" hidden="false" customHeight="false" outlineLevel="0" collapsed="false">
      <c r="A1364" s="4" t="s">
        <v>207</v>
      </c>
      <c r="B1364" s="4" t="s">
        <v>208</v>
      </c>
      <c r="C1364" s="4" t="s">
        <v>53</v>
      </c>
      <c r="D1364" s="16" t="n">
        <v>45901</v>
      </c>
      <c r="E1364" s="4" t="n">
        <v>2025</v>
      </c>
      <c r="F1364" s="4" t="n">
        <v>9</v>
      </c>
      <c r="G1364" s="17" t="n">
        <v>442749</v>
      </c>
      <c r="H1364" s="18" t="n">
        <f aca="false">G1364*$B$1/1000000</f>
        <v>0.976094461201466</v>
      </c>
    </row>
    <row r="1365" customFormat="false" ht="15" hidden="false" customHeight="false" outlineLevel="0" collapsed="false">
      <c r="A1365" s="4" t="s">
        <v>207</v>
      </c>
      <c r="B1365" s="4" t="s">
        <v>208</v>
      </c>
      <c r="C1365" s="4" t="s">
        <v>53</v>
      </c>
      <c r="D1365" s="16" t="n">
        <v>45931</v>
      </c>
      <c r="E1365" s="4" t="n">
        <v>2025</v>
      </c>
      <c r="F1365" s="4" t="n">
        <v>10</v>
      </c>
      <c r="G1365" s="17" t="n">
        <v>6489</v>
      </c>
      <c r="H1365" s="18" t="n">
        <f aca="false">G1365*$B$1/1000000</f>
        <v>0.0143057961931847</v>
      </c>
    </row>
    <row r="1366" customFormat="false" ht="15" hidden="false" customHeight="false" outlineLevel="0" collapsed="false">
      <c r="A1366" s="4" t="s">
        <v>207</v>
      </c>
      <c r="B1366" s="4" t="s">
        <v>208</v>
      </c>
      <c r="C1366" s="4" t="s">
        <v>53</v>
      </c>
      <c r="D1366" s="16" t="n">
        <v>45962</v>
      </c>
      <c r="E1366" s="4" t="n">
        <v>2025</v>
      </c>
      <c r="F1366" s="4" t="n">
        <v>11</v>
      </c>
      <c r="G1366" s="17" t="n">
        <v>532823</v>
      </c>
      <c r="H1366" s="18" t="n">
        <f aca="false">G1366*$B$1/1000000</f>
        <v>1.17467363924198</v>
      </c>
    </row>
    <row r="1367" customFormat="false" ht="15" hidden="false" customHeight="false" outlineLevel="0" collapsed="false">
      <c r="A1367" s="4" t="s">
        <v>207</v>
      </c>
      <c r="B1367" s="4" t="s">
        <v>208</v>
      </c>
      <c r="C1367" s="4" t="s">
        <v>53</v>
      </c>
      <c r="D1367" s="16" t="n">
        <v>45992</v>
      </c>
      <c r="E1367" s="4" t="n">
        <v>2025</v>
      </c>
      <c r="F1367" s="4" t="n">
        <v>12</v>
      </c>
      <c r="G1367" s="17" t="n">
        <v>13747</v>
      </c>
      <c r="H1367" s="18" t="n">
        <f aca="false">G1367*$B$1/1000000</f>
        <v>0.030306947182572</v>
      </c>
    </row>
    <row r="1368" customFormat="false" ht="15" hidden="false" customHeight="false" outlineLevel="0" collapsed="false">
      <c r="A1368" s="4" t="s">
        <v>207</v>
      </c>
      <c r="B1368" s="4" t="s">
        <v>208</v>
      </c>
      <c r="C1368" s="4" t="s">
        <v>53</v>
      </c>
      <c r="D1368" s="16" t="n">
        <v>46023</v>
      </c>
      <c r="E1368" s="4" t="n">
        <v>2026</v>
      </c>
      <c r="F1368" s="4" t="n">
        <v>1</v>
      </c>
      <c r="G1368" s="17" t="n">
        <v>9485</v>
      </c>
      <c r="H1368" s="18" t="n">
        <f aca="false">G1368*$B$1/1000000</f>
        <v>0.0209108455682473</v>
      </c>
    </row>
    <row r="1369" customFormat="false" ht="15" hidden="false" customHeight="false" outlineLevel="0" collapsed="false">
      <c r="A1369" s="4" t="s">
        <v>207</v>
      </c>
      <c r="B1369" s="4" t="s">
        <v>208</v>
      </c>
      <c r="C1369" s="4" t="s">
        <v>53</v>
      </c>
      <c r="D1369" s="16" t="n">
        <v>46054</v>
      </c>
      <c r="E1369" s="4" t="n">
        <v>2026</v>
      </c>
      <c r="F1369" s="4" t="n">
        <v>2</v>
      </c>
      <c r="G1369" s="17" t="n">
        <v>36112</v>
      </c>
      <c r="H1369" s="18" t="n">
        <f aca="false">G1369*$B$1/1000000</f>
        <v>0.0796133321202472</v>
      </c>
    </row>
    <row r="1370" customFormat="false" ht="15" hidden="false" customHeight="false" outlineLevel="0" collapsed="false">
      <c r="A1370" s="4" t="s">
        <v>207</v>
      </c>
      <c r="B1370" s="4" t="s">
        <v>208</v>
      </c>
      <c r="C1370" s="4" t="s">
        <v>53</v>
      </c>
      <c r="D1370" s="16" t="n">
        <v>46082</v>
      </c>
      <c r="E1370" s="4" t="n">
        <v>2026</v>
      </c>
      <c r="F1370" s="4" t="n">
        <v>3</v>
      </c>
      <c r="G1370" s="17" t="n">
        <v>11170</v>
      </c>
      <c r="H1370" s="18" t="n">
        <f aca="false">G1370*$B$1/1000000</f>
        <v>0.0246256346860645</v>
      </c>
    </row>
    <row r="1371" customFormat="false" ht="15" hidden="false" customHeight="false" outlineLevel="0" collapsed="false">
      <c r="A1371" s="4" t="s">
        <v>207</v>
      </c>
      <c r="B1371" s="4" t="s">
        <v>208</v>
      </c>
      <c r="C1371" s="4" t="s">
        <v>53</v>
      </c>
      <c r="D1371" s="16" t="n">
        <v>46113</v>
      </c>
      <c r="E1371" s="4" t="n">
        <v>2026</v>
      </c>
      <c r="F1371" s="4" t="n">
        <v>4</v>
      </c>
      <c r="G1371" s="17" t="n">
        <v>16472</v>
      </c>
      <c r="H1371" s="18" t="n">
        <f aca="false">G1371*$B$1/1000000</f>
        <v>0.0363145438271132</v>
      </c>
    </row>
    <row r="1372" customFormat="false" ht="15" hidden="false" customHeight="false" outlineLevel="0" collapsed="false">
      <c r="A1372" s="4" t="s">
        <v>207</v>
      </c>
      <c r="B1372" s="4" t="s">
        <v>208</v>
      </c>
      <c r="C1372" s="4" t="s">
        <v>53</v>
      </c>
      <c r="D1372" s="16" t="n">
        <v>46143</v>
      </c>
      <c r="E1372" s="4" t="n">
        <v>2026</v>
      </c>
      <c r="F1372" s="4" t="n">
        <v>5</v>
      </c>
      <c r="G1372" s="17" t="n">
        <v>9480</v>
      </c>
      <c r="H1372" s="18" t="n">
        <f aca="false">G1372*$B$1/1000000</f>
        <v>0.020899822455138</v>
      </c>
    </row>
    <row r="1373" customFormat="false" ht="15" hidden="false" customHeight="false" outlineLevel="0" collapsed="false">
      <c r="A1373" s="4" t="s">
        <v>207</v>
      </c>
      <c r="B1373" s="4" t="s">
        <v>208</v>
      </c>
      <c r="C1373" s="4" t="s">
        <v>53</v>
      </c>
      <c r="D1373" s="16" t="n">
        <v>46174</v>
      </c>
      <c r="E1373" s="4" t="n">
        <v>2026</v>
      </c>
      <c r="F1373" s="4" t="n">
        <v>6</v>
      </c>
      <c r="G1373" s="17" t="n">
        <v>3768164</v>
      </c>
      <c r="H1373" s="18" t="n">
        <f aca="false">G1373*$B$1/1000000</f>
        <v>8.30737959724078</v>
      </c>
    </row>
    <row r="1374" customFormat="false" ht="15" hidden="false" customHeight="false" outlineLevel="0" collapsed="false">
      <c r="A1374" s="4" t="s">
        <v>207</v>
      </c>
      <c r="B1374" s="4" t="s">
        <v>208</v>
      </c>
      <c r="C1374" s="4" t="s">
        <v>53</v>
      </c>
      <c r="D1374" s="16" t="n">
        <v>46204</v>
      </c>
      <c r="E1374" s="4" t="n">
        <v>2026</v>
      </c>
      <c r="F1374" s="4" t="n">
        <v>7</v>
      </c>
      <c r="G1374" s="17" t="n">
        <v>13144</v>
      </c>
      <c r="H1374" s="18" t="n">
        <f aca="false">G1374*$B$1/1000000</f>
        <v>0.0289775597415964</v>
      </c>
    </row>
    <row r="1375" customFormat="false" ht="15" hidden="false" customHeight="false" outlineLevel="0" collapsed="false">
      <c r="A1375" s="4" t="s">
        <v>207</v>
      </c>
      <c r="B1375" s="4" t="s">
        <v>208</v>
      </c>
      <c r="C1375" s="4" t="s">
        <v>53</v>
      </c>
      <c r="D1375" s="16" t="n">
        <v>46235</v>
      </c>
      <c r="E1375" s="4" t="n">
        <v>2026</v>
      </c>
      <c r="F1375" s="4" t="n">
        <v>8</v>
      </c>
      <c r="G1375" s="17" t="n">
        <v>3580193</v>
      </c>
      <c r="H1375" s="18" t="n">
        <f aca="false">G1375*$B$1/1000000</f>
        <v>7.89297447838902</v>
      </c>
    </row>
    <row r="1376" customFormat="false" ht="15" hidden="false" customHeight="false" outlineLevel="0" collapsed="false">
      <c r="A1376" s="4" t="s">
        <v>207</v>
      </c>
      <c r="B1376" s="4" t="s">
        <v>208</v>
      </c>
      <c r="C1376" s="4" t="s">
        <v>59</v>
      </c>
      <c r="D1376" s="16" t="n">
        <v>43831</v>
      </c>
      <c r="E1376" s="4" t="n">
        <v>2020</v>
      </c>
      <c r="F1376" s="4" t="n">
        <v>1</v>
      </c>
      <c r="G1376" s="17" t="n">
        <v>34</v>
      </c>
      <c r="H1376" s="18" t="n">
        <f aca="false">G1376*$B$1/1000000</f>
        <v>7.49571691429E-005</v>
      </c>
    </row>
    <row r="1377" customFormat="false" ht="15" hidden="false" customHeight="false" outlineLevel="0" collapsed="false">
      <c r="A1377" s="4" t="s">
        <v>207</v>
      </c>
      <c r="B1377" s="4" t="s">
        <v>208</v>
      </c>
      <c r="C1377" s="4" t="s">
        <v>59</v>
      </c>
      <c r="D1377" s="16" t="n">
        <v>43862</v>
      </c>
      <c r="E1377" s="4" t="n">
        <v>2020</v>
      </c>
      <c r="F1377" s="4" t="n">
        <v>2</v>
      </c>
      <c r="G1377" s="17" t="n">
        <v>3465</v>
      </c>
      <c r="H1377" s="18" t="n">
        <f aca="false">G1377*$B$1/1000000</f>
        <v>0.00763901738471025</v>
      </c>
    </row>
    <row r="1378" customFormat="false" ht="15" hidden="false" customHeight="false" outlineLevel="0" collapsed="false">
      <c r="A1378" s="4" t="s">
        <v>207</v>
      </c>
      <c r="B1378" s="4" t="s">
        <v>208</v>
      </c>
      <c r="C1378" s="4" t="s">
        <v>59</v>
      </c>
      <c r="D1378" s="16" t="n">
        <v>43891</v>
      </c>
      <c r="E1378" s="4" t="n">
        <v>2020</v>
      </c>
      <c r="F1378" s="4" t="n">
        <v>3</v>
      </c>
      <c r="G1378" s="17" t="n">
        <v>3792</v>
      </c>
      <c r="H1378" s="18" t="n">
        <f aca="false">G1378*$B$1/1000000</f>
        <v>0.0083599289820552</v>
      </c>
    </row>
    <row r="1379" customFormat="false" ht="15" hidden="false" customHeight="false" outlineLevel="0" collapsed="false">
      <c r="A1379" s="4" t="s">
        <v>207</v>
      </c>
      <c r="B1379" s="4" t="s">
        <v>208</v>
      </c>
      <c r="C1379" s="4" t="s">
        <v>59</v>
      </c>
      <c r="D1379" s="16" t="n">
        <v>43922</v>
      </c>
      <c r="E1379" s="4" t="n">
        <v>2020</v>
      </c>
      <c r="F1379" s="4" t="n">
        <v>4</v>
      </c>
      <c r="G1379" s="17" t="n">
        <v>42</v>
      </c>
      <c r="H1379" s="18" t="n">
        <f aca="false">G1379*$B$1/1000000</f>
        <v>9.25941501177E-005</v>
      </c>
    </row>
    <row r="1380" customFormat="false" ht="15" hidden="false" customHeight="false" outlineLevel="0" collapsed="false">
      <c r="A1380" s="4" t="s">
        <v>207</v>
      </c>
      <c r="B1380" s="4" t="s">
        <v>208</v>
      </c>
      <c r="C1380" s="4" t="s">
        <v>59</v>
      </c>
      <c r="D1380" s="16" t="n">
        <v>43952</v>
      </c>
      <c r="E1380" s="4" t="n">
        <v>2020</v>
      </c>
      <c r="F1380" s="4" t="n">
        <v>5</v>
      </c>
      <c r="G1380" s="17" t="n">
        <v>843</v>
      </c>
      <c r="H1380" s="18" t="n">
        <f aca="false">G1380*$B$1/1000000</f>
        <v>0.00185849687021955</v>
      </c>
    </row>
    <row r="1381" customFormat="false" ht="15" hidden="false" customHeight="false" outlineLevel="0" collapsed="false">
      <c r="A1381" s="4" t="s">
        <v>207</v>
      </c>
      <c r="B1381" s="4" t="s">
        <v>208</v>
      </c>
      <c r="C1381" s="4" t="s">
        <v>59</v>
      </c>
      <c r="D1381" s="16" t="n">
        <v>43983</v>
      </c>
      <c r="E1381" s="4" t="n">
        <v>2020</v>
      </c>
      <c r="F1381" s="4" t="n">
        <v>6</v>
      </c>
      <c r="G1381" s="17" t="n">
        <v>6697</v>
      </c>
      <c r="H1381" s="18" t="n">
        <f aca="false">G1381*$B$1/1000000</f>
        <v>0.0147643576985295</v>
      </c>
    </row>
    <row r="1382" customFormat="false" ht="15" hidden="false" customHeight="false" outlineLevel="0" collapsed="false">
      <c r="A1382" s="4" t="s">
        <v>207</v>
      </c>
      <c r="B1382" s="4" t="s">
        <v>208</v>
      </c>
      <c r="C1382" s="4" t="s">
        <v>59</v>
      </c>
      <c r="D1382" s="16" t="n">
        <v>44013</v>
      </c>
      <c r="E1382" s="4" t="n">
        <v>2020</v>
      </c>
      <c r="F1382" s="4" t="n">
        <v>7</v>
      </c>
      <c r="G1382" s="17" t="n">
        <v>1657</v>
      </c>
      <c r="H1382" s="18" t="n">
        <f aca="false">G1382*$B$1/1000000</f>
        <v>0.00365305968440545</v>
      </c>
    </row>
    <row r="1383" customFormat="false" ht="15" hidden="false" customHeight="false" outlineLevel="0" collapsed="false">
      <c r="A1383" s="4" t="s">
        <v>207</v>
      </c>
      <c r="B1383" s="4" t="s">
        <v>208</v>
      </c>
      <c r="C1383" s="4" t="s">
        <v>59</v>
      </c>
      <c r="D1383" s="16" t="n">
        <v>44044</v>
      </c>
      <c r="E1383" s="4" t="n">
        <v>2020</v>
      </c>
      <c r="F1383" s="4" t="n">
        <v>8</v>
      </c>
      <c r="G1383" s="17" t="n">
        <v>3077</v>
      </c>
      <c r="H1383" s="18" t="n">
        <f aca="false">G1383*$B$1/1000000</f>
        <v>0.00678362380743245</v>
      </c>
    </row>
    <row r="1384" customFormat="false" ht="15" hidden="false" customHeight="false" outlineLevel="0" collapsed="false">
      <c r="A1384" s="4" t="s">
        <v>207</v>
      </c>
      <c r="B1384" s="4" t="s">
        <v>208</v>
      </c>
      <c r="C1384" s="4" t="s">
        <v>59</v>
      </c>
      <c r="D1384" s="16" t="n">
        <v>44075</v>
      </c>
      <c r="E1384" s="4" t="n">
        <v>2020</v>
      </c>
      <c r="F1384" s="4" t="n">
        <v>9</v>
      </c>
      <c r="G1384" s="17" t="n">
        <v>58850</v>
      </c>
      <c r="H1384" s="18" t="n">
        <f aca="false">G1384*$B$1/1000000</f>
        <v>0.129742041295873</v>
      </c>
    </row>
    <row r="1385" customFormat="false" ht="15" hidden="false" customHeight="false" outlineLevel="0" collapsed="false">
      <c r="A1385" s="4" t="s">
        <v>207</v>
      </c>
      <c r="B1385" s="4" t="s">
        <v>208</v>
      </c>
      <c r="C1385" s="4" t="s">
        <v>59</v>
      </c>
      <c r="D1385" s="16" t="n">
        <v>44105</v>
      </c>
      <c r="E1385" s="4" t="n">
        <v>2020</v>
      </c>
      <c r="F1385" s="4" t="n">
        <v>10</v>
      </c>
      <c r="G1385" s="17" t="n">
        <v>5486</v>
      </c>
      <c r="H1385" s="18" t="n">
        <f aca="false">G1385*$B$1/1000000</f>
        <v>0.0120945597034691</v>
      </c>
    </row>
    <row r="1386" customFormat="false" ht="15" hidden="false" customHeight="false" outlineLevel="0" collapsed="false">
      <c r="A1386" s="4" t="s">
        <v>207</v>
      </c>
      <c r="B1386" s="4" t="s">
        <v>208</v>
      </c>
      <c r="C1386" s="4" t="s">
        <v>59</v>
      </c>
      <c r="D1386" s="16" t="n">
        <v>44136</v>
      </c>
      <c r="E1386" s="4" t="n">
        <v>2020</v>
      </c>
      <c r="F1386" s="4" t="n">
        <v>11</v>
      </c>
      <c r="G1386" s="17" t="n">
        <v>7429</v>
      </c>
      <c r="H1386" s="18" t="n">
        <f aca="false">G1386*$B$1/1000000</f>
        <v>0.0163781414577237</v>
      </c>
    </row>
    <row r="1387" customFormat="false" ht="15" hidden="false" customHeight="false" outlineLevel="0" collapsed="false">
      <c r="A1387" s="4" t="s">
        <v>207</v>
      </c>
      <c r="B1387" s="4" t="s">
        <v>208</v>
      </c>
      <c r="C1387" s="4" t="s">
        <v>59</v>
      </c>
      <c r="D1387" s="16" t="n">
        <v>44166</v>
      </c>
      <c r="E1387" s="4" t="n">
        <v>2020</v>
      </c>
      <c r="F1387" s="4" t="n">
        <v>12</v>
      </c>
      <c r="G1387" s="17" t="n">
        <v>2823</v>
      </c>
      <c r="H1387" s="18" t="n">
        <f aca="false">G1387*$B$1/1000000</f>
        <v>0.00622364966148255</v>
      </c>
    </row>
    <row r="1388" customFormat="false" ht="15" hidden="false" customHeight="false" outlineLevel="0" collapsed="false">
      <c r="A1388" s="4" t="s">
        <v>207</v>
      </c>
      <c r="B1388" s="4" t="s">
        <v>208</v>
      </c>
      <c r="C1388" s="4" t="s">
        <v>59</v>
      </c>
      <c r="D1388" s="16" t="n">
        <v>44197</v>
      </c>
      <c r="E1388" s="4" t="n">
        <v>2021</v>
      </c>
      <c r="F1388" s="4" t="n">
        <v>1</v>
      </c>
      <c r="G1388" s="17" t="n">
        <v>4530</v>
      </c>
      <c r="H1388" s="18" t="n">
        <f aca="false">G1388*$B$1/1000000</f>
        <v>0.0099869404769805</v>
      </c>
    </row>
    <row r="1389" customFormat="false" ht="15" hidden="false" customHeight="false" outlineLevel="0" collapsed="false">
      <c r="A1389" s="4" t="s">
        <v>207</v>
      </c>
      <c r="B1389" s="4" t="s">
        <v>208</v>
      </c>
      <c r="C1389" s="4" t="s">
        <v>59</v>
      </c>
      <c r="D1389" s="16" t="n">
        <v>44228</v>
      </c>
      <c r="E1389" s="4" t="n">
        <v>2021</v>
      </c>
      <c r="F1389" s="4" t="n">
        <v>2</v>
      </c>
      <c r="G1389" s="17" t="n">
        <v>2790</v>
      </c>
      <c r="H1389" s="18" t="n">
        <f aca="false">G1389*$B$1/1000000</f>
        <v>0.0061508971149615</v>
      </c>
    </row>
    <row r="1390" customFormat="false" ht="15" hidden="false" customHeight="false" outlineLevel="0" collapsed="false">
      <c r="A1390" s="4" t="s">
        <v>207</v>
      </c>
      <c r="B1390" s="4" t="s">
        <v>208</v>
      </c>
      <c r="C1390" s="4" t="s">
        <v>59</v>
      </c>
      <c r="D1390" s="16" t="n">
        <v>44256</v>
      </c>
      <c r="E1390" s="4" t="n">
        <v>2021</v>
      </c>
      <c r="F1390" s="4" t="n">
        <v>3</v>
      </c>
      <c r="G1390" s="17" t="n">
        <v>5345</v>
      </c>
      <c r="H1390" s="18" t="n">
        <f aca="false">G1390*$B$1/1000000</f>
        <v>0.0117837079137883</v>
      </c>
    </row>
    <row r="1391" customFormat="false" ht="15" hidden="false" customHeight="false" outlineLevel="0" collapsed="false">
      <c r="A1391" s="4" t="s">
        <v>207</v>
      </c>
      <c r="B1391" s="4" t="s">
        <v>208</v>
      </c>
      <c r="C1391" s="4" t="s">
        <v>59</v>
      </c>
      <c r="D1391" s="16" t="n">
        <v>44287</v>
      </c>
      <c r="E1391" s="4" t="n">
        <v>2021</v>
      </c>
      <c r="F1391" s="4" t="n">
        <v>4</v>
      </c>
      <c r="G1391" s="17" t="n">
        <v>471</v>
      </c>
      <c r="H1391" s="18" t="n">
        <f aca="false">G1391*$B$1/1000000</f>
        <v>0.00103837725489135</v>
      </c>
    </row>
    <row r="1392" customFormat="false" ht="15" hidden="false" customHeight="false" outlineLevel="0" collapsed="false">
      <c r="A1392" s="4" t="s">
        <v>207</v>
      </c>
      <c r="B1392" s="4" t="s">
        <v>208</v>
      </c>
      <c r="C1392" s="4" t="s">
        <v>59</v>
      </c>
      <c r="D1392" s="16" t="n">
        <v>44317</v>
      </c>
      <c r="E1392" s="4" t="n">
        <v>2021</v>
      </c>
      <c r="F1392" s="4" t="n">
        <v>5</v>
      </c>
      <c r="G1392" s="17" t="n">
        <v>3600</v>
      </c>
      <c r="H1392" s="18" t="n">
        <f aca="false">G1392*$B$1/1000000</f>
        <v>0.00793664143866</v>
      </c>
    </row>
    <row r="1393" customFormat="false" ht="15" hidden="false" customHeight="false" outlineLevel="0" collapsed="false">
      <c r="A1393" s="4" t="s">
        <v>207</v>
      </c>
      <c r="B1393" s="4" t="s">
        <v>208</v>
      </c>
      <c r="C1393" s="4" t="s">
        <v>59</v>
      </c>
      <c r="D1393" s="16" t="n">
        <v>44348</v>
      </c>
      <c r="E1393" s="4" t="n">
        <v>2021</v>
      </c>
      <c r="F1393" s="4" t="n">
        <v>6</v>
      </c>
      <c r="G1393" s="17" t="n">
        <v>3870</v>
      </c>
      <c r="H1393" s="18" t="n">
        <f aca="false">G1393*$B$1/1000000</f>
        <v>0.0085318895465595</v>
      </c>
    </row>
    <row r="1394" customFormat="false" ht="15" hidden="false" customHeight="false" outlineLevel="0" collapsed="false">
      <c r="A1394" s="4" t="s">
        <v>207</v>
      </c>
      <c r="B1394" s="4" t="s">
        <v>208</v>
      </c>
      <c r="C1394" s="4" t="s">
        <v>59</v>
      </c>
      <c r="D1394" s="16" t="n">
        <v>44378</v>
      </c>
      <c r="E1394" s="4" t="n">
        <v>2021</v>
      </c>
      <c r="F1394" s="4" t="n">
        <v>7</v>
      </c>
      <c r="G1394" s="17" t="n">
        <v>4697</v>
      </c>
      <c r="H1394" s="18" t="n">
        <f aca="false">G1394*$B$1/1000000</f>
        <v>0.0103551124548295</v>
      </c>
    </row>
    <row r="1395" customFormat="false" ht="15" hidden="false" customHeight="false" outlineLevel="0" collapsed="false">
      <c r="A1395" s="4" t="s">
        <v>207</v>
      </c>
      <c r="B1395" s="4" t="s">
        <v>208</v>
      </c>
      <c r="C1395" s="4" t="s">
        <v>59</v>
      </c>
      <c r="D1395" s="16" t="n">
        <v>44409</v>
      </c>
      <c r="E1395" s="4" t="n">
        <v>2021</v>
      </c>
      <c r="F1395" s="4" t="n">
        <v>8</v>
      </c>
      <c r="G1395" s="17" t="n">
        <v>11096</v>
      </c>
      <c r="H1395" s="18" t="n">
        <f aca="false">G1395*$B$1/1000000</f>
        <v>0.0244624926120476</v>
      </c>
    </row>
    <row r="1396" customFormat="false" ht="15" hidden="false" customHeight="false" outlineLevel="0" collapsed="false">
      <c r="A1396" s="4" t="s">
        <v>207</v>
      </c>
      <c r="B1396" s="4" t="s">
        <v>208</v>
      </c>
      <c r="C1396" s="4" t="s">
        <v>59</v>
      </c>
      <c r="D1396" s="16" t="n">
        <v>44440</v>
      </c>
      <c r="E1396" s="4" t="n">
        <v>2021</v>
      </c>
      <c r="F1396" s="4" t="n">
        <v>9</v>
      </c>
      <c r="G1396" s="17" t="n">
        <v>10297</v>
      </c>
      <c r="H1396" s="18" t="n">
        <f aca="false">G1396*$B$1/1000000</f>
        <v>0.0227009991371895</v>
      </c>
    </row>
    <row r="1397" customFormat="false" ht="15" hidden="false" customHeight="false" outlineLevel="0" collapsed="false">
      <c r="A1397" s="4" t="s">
        <v>207</v>
      </c>
      <c r="B1397" s="4" t="s">
        <v>208</v>
      </c>
      <c r="C1397" s="4" t="s">
        <v>59</v>
      </c>
      <c r="D1397" s="16" t="n">
        <v>44470</v>
      </c>
      <c r="E1397" s="4" t="n">
        <v>2021</v>
      </c>
      <c r="F1397" s="4" t="n">
        <v>10</v>
      </c>
      <c r="G1397" s="17" t="n">
        <v>216</v>
      </c>
      <c r="H1397" s="18" t="n">
        <f aca="false">G1397*$B$1/1000000</f>
        <v>0.0004761984863196</v>
      </c>
    </row>
    <row r="1398" customFormat="false" ht="15" hidden="false" customHeight="false" outlineLevel="0" collapsed="false">
      <c r="A1398" s="4" t="s">
        <v>207</v>
      </c>
      <c r="B1398" s="4" t="s">
        <v>208</v>
      </c>
      <c r="C1398" s="4" t="s">
        <v>59</v>
      </c>
      <c r="D1398" s="16" t="n">
        <v>44501</v>
      </c>
      <c r="E1398" s="4" t="n">
        <v>2021</v>
      </c>
      <c r="F1398" s="4" t="n">
        <v>11</v>
      </c>
      <c r="G1398" s="17" t="n">
        <v>5743</v>
      </c>
      <c r="H1398" s="18" t="n">
        <f aca="false">G1398*$B$1/1000000</f>
        <v>0.0126611477172846</v>
      </c>
    </row>
    <row r="1399" customFormat="false" ht="15" hidden="false" customHeight="false" outlineLevel="0" collapsed="false">
      <c r="A1399" s="4" t="s">
        <v>207</v>
      </c>
      <c r="B1399" s="4" t="s">
        <v>208</v>
      </c>
      <c r="C1399" s="4" t="s">
        <v>59</v>
      </c>
      <c r="D1399" s="16" t="n">
        <v>44531</v>
      </c>
      <c r="E1399" s="4" t="n">
        <v>2021</v>
      </c>
      <c r="F1399" s="4" t="n">
        <v>12</v>
      </c>
      <c r="G1399" s="17" t="n">
        <v>18486</v>
      </c>
      <c r="H1399" s="18" t="n">
        <f aca="false">G1399*$B$1/1000000</f>
        <v>0.0407546537875191</v>
      </c>
    </row>
    <row r="1400" customFormat="false" ht="15" hidden="false" customHeight="false" outlineLevel="0" collapsed="false">
      <c r="A1400" s="4" t="s">
        <v>207</v>
      </c>
      <c r="B1400" s="4" t="s">
        <v>208</v>
      </c>
      <c r="C1400" s="4" t="s">
        <v>59</v>
      </c>
      <c r="D1400" s="16" t="n">
        <v>44562</v>
      </c>
      <c r="E1400" s="4" t="n">
        <v>2022</v>
      </c>
      <c r="F1400" s="4" t="n">
        <v>1</v>
      </c>
      <c r="G1400" s="17" t="n">
        <v>4510</v>
      </c>
      <c r="H1400" s="18" t="n">
        <f aca="false">G1400*$B$1/1000000</f>
        <v>0.0099428480245435</v>
      </c>
    </row>
    <row r="1401" customFormat="false" ht="15" hidden="false" customHeight="false" outlineLevel="0" collapsed="false">
      <c r="A1401" s="4" t="s">
        <v>207</v>
      </c>
      <c r="B1401" s="4" t="s">
        <v>208</v>
      </c>
      <c r="C1401" s="4" t="s">
        <v>59</v>
      </c>
      <c r="D1401" s="16" t="n">
        <v>44593</v>
      </c>
      <c r="E1401" s="4" t="n">
        <v>2022</v>
      </c>
      <c r="F1401" s="4" t="n">
        <v>2</v>
      </c>
      <c r="G1401" s="17" t="n">
        <v>2600</v>
      </c>
      <c r="H1401" s="18" t="n">
        <f aca="false">G1401*$B$1/1000000</f>
        <v>0.00573201881681</v>
      </c>
    </row>
    <row r="1402" customFormat="false" ht="15" hidden="false" customHeight="false" outlineLevel="0" collapsed="false">
      <c r="A1402" s="4" t="s">
        <v>207</v>
      </c>
      <c r="B1402" s="4" t="s">
        <v>208</v>
      </c>
      <c r="C1402" s="4" t="s">
        <v>59</v>
      </c>
      <c r="D1402" s="16" t="n">
        <v>44621</v>
      </c>
      <c r="E1402" s="4" t="n">
        <v>2022</v>
      </c>
      <c r="F1402" s="4" t="n">
        <v>3</v>
      </c>
      <c r="G1402" s="17" t="n">
        <v>20188</v>
      </c>
      <c r="H1402" s="18" t="n">
        <f aca="false">G1402*$B$1/1000000</f>
        <v>0.0445069214899078</v>
      </c>
    </row>
    <row r="1403" customFormat="false" ht="15" hidden="false" customHeight="false" outlineLevel="0" collapsed="false">
      <c r="A1403" s="4" t="s">
        <v>207</v>
      </c>
      <c r="B1403" s="4" t="s">
        <v>208</v>
      </c>
      <c r="C1403" s="4" t="s">
        <v>59</v>
      </c>
      <c r="D1403" s="16" t="n">
        <v>44652</v>
      </c>
      <c r="E1403" s="4" t="n">
        <v>2022</v>
      </c>
      <c r="F1403" s="4" t="n">
        <v>4</v>
      </c>
      <c r="G1403" s="17" t="n">
        <v>37585</v>
      </c>
      <c r="H1403" s="18" t="n">
        <f aca="false">G1403*$B$1/1000000</f>
        <v>0.0828607412422323</v>
      </c>
    </row>
    <row r="1404" customFormat="false" ht="15" hidden="false" customHeight="false" outlineLevel="0" collapsed="false">
      <c r="A1404" s="4" t="s">
        <v>207</v>
      </c>
      <c r="B1404" s="4" t="s">
        <v>208</v>
      </c>
      <c r="C1404" s="4" t="s">
        <v>59</v>
      </c>
      <c r="D1404" s="16" t="n">
        <v>44682</v>
      </c>
      <c r="E1404" s="4" t="n">
        <v>2022</v>
      </c>
      <c r="F1404" s="4" t="n">
        <v>5</v>
      </c>
      <c r="G1404" s="17" t="n">
        <v>15626</v>
      </c>
      <c r="H1404" s="18" t="n">
        <f aca="false">G1404*$B$1/1000000</f>
        <v>0.0344494330890281</v>
      </c>
    </row>
    <row r="1405" customFormat="false" ht="15" hidden="false" customHeight="false" outlineLevel="0" collapsed="false">
      <c r="A1405" s="4" t="s">
        <v>207</v>
      </c>
      <c r="B1405" s="4" t="s">
        <v>208</v>
      </c>
      <c r="C1405" s="4" t="s">
        <v>59</v>
      </c>
      <c r="D1405" s="16" t="n">
        <v>44713</v>
      </c>
      <c r="E1405" s="4" t="n">
        <v>2022</v>
      </c>
      <c r="F1405" s="4" t="n">
        <v>6</v>
      </c>
      <c r="G1405" s="17" t="n">
        <v>7480</v>
      </c>
      <c r="H1405" s="18" t="n">
        <f aca="false">G1405*$B$1/1000000</f>
        <v>0.016490577211438</v>
      </c>
    </row>
    <row r="1406" customFormat="false" ht="15" hidden="false" customHeight="false" outlineLevel="0" collapsed="false">
      <c r="A1406" s="4" t="s">
        <v>207</v>
      </c>
      <c r="B1406" s="4" t="s">
        <v>208</v>
      </c>
      <c r="C1406" s="4" t="s">
        <v>59</v>
      </c>
      <c r="D1406" s="16" t="n">
        <v>44743</v>
      </c>
      <c r="E1406" s="4" t="n">
        <v>2022</v>
      </c>
      <c r="F1406" s="4" t="n">
        <v>7</v>
      </c>
      <c r="G1406" s="17" t="n">
        <v>12167</v>
      </c>
      <c r="H1406" s="18" t="n">
        <f aca="false">G1406*$B$1/1000000</f>
        <v>0.026823643440049</v>
      </c>
    </row>
    <row r="1407" customFormat="false" ht="15" hidden="false" customHeight="false" outlineLevel="0" collapsed="false">
      <c r="A1407" s="4" t="s">
        <v>207</v>
      </c>
      <c r="B1407" s="4" t="s">
        <v>208</v>
      </c>
      <c r="C1407" s="4" t="s">
        <v>59</v>
      </c>
      <c r="D1407" s="16" t="n">
        <v>44774</v>
      </c>
      <c r="E1407" s="4" t="n">
        <v>2022</v>
      </c>
      <c r="F1407" s="4" t="n">
        <v>8</v>
      </c>
      <c r="G1407" s="17" t="n">
        <v>25892</v>
      </c>
      <c r="H1407" s="18" t="n">
        <f aca="false">G1407*$B$1/1000000</f>
        <v>0.0570820889249402</v>
      </c>
    </row>
    <row r="1408" customFormat="false" ht="15" hidden="false" customHeight="false" outlineLevel="0" collapsed="false">
      <c r="A1408" s="4" t="s">
        <v>207</v>
      </c>
      <c r="B1408" s="4" t="s">
        <v>208</v>
      </c>
      <c r="C1408" s="4" t="s">
        <v>59</v>
      </c>
      <c r="D1408" s="16" t="n">
        <v>44805</v>
      </c>
      <c r="E1408" s="4" t="n">
        <v>2022</v>
      </c>
      <c r="F1408" s="4" t="n">
        <v>9</v>
      </c>
      <c r="G1408" s="17" t="n">
        <v>34243</v>
      </c>
      <c r="H1408" s="18" t="n">
        <f aca="false">G1408*$B$1/1000000</f>
        <v>0.0754928924400096</v>
      </c>
    </row>
    <row r="1409" customFormat="false" ht="15" hidden="false" customHeight="false" outlineLevel="0" collapsed="false">
      <c r="A1409" s="4" t="s">
        <v>207</v>
      </c>
      <c r="B1409" s="4" t="s">
        <v>208</v>
      </c>
      <c r="C1409" s="4" t="s">
        <v>59</v>
      </c>
      <c r="D1409" s="16" t="n">
        <v>44835</v>
      </c>
      <c r="E1409" s="4" t="n">
        <v>2022</v>
      </c>
      <c r="F1409" s="4" t="n">
        <v>10</v>
      </c>
      <c r="G1409" s="17" t="n">
        <v>20261</v>
      </c>
      <c r="H1409" s="18" t="n">
        <f aca="false">G1409*$B$1/1000000</f>
        <v>0.0446678589413029</v>
      </c>
    </row>
    <row r="1410" customFormat="false" ht="15" hidden="false" customHeight="false" outlineLevel="0" collapsed="false">
      <c r="A1410" s="4" t="s">
        <v>207</v>
      </c>
      <c r="B1410" s="4" t="s">
        <v>208</v>
      </c>
      <c r="C1410" s="4" t="s">
        <v>59</v>
      </c>
      <c r="D1410" s="16" t="n">
        <v>44866</v>
      </c>
      <c r="E1410" s="4" t="n">
        <v>2022</v>
      </c>
      <c r="F1410" s="4" t="n">
        <v>11</v>
      </c>
      <c r="G1410" s="17" t="n">
        <v>2800</v>
      </c>
      <c r="H1410" s="18" t="n">
        <f aca="false">G1410*$B$1/1000000</f>
        <v>0.00617294334118</v>
      </c>
    </row>
    <row r="1411" customFormat="false" ht="15" hidden="false" customHeight="false" outlineLevel="0" collapsed="false">
      <c r="A1411" s="4" t="s">
        <v>207</v>
      </c>
      <c r="B1411" s="4" t="s">
        <v>208</v>
      </c>
      <c r="C1411" s="4" t="s">
        <v>59</v>
      </c>
      <c r="D1411" s="16" t="n">
        <v>44896</v>
      </c>
      <c r="E1411" s="4" t="n">
        <v>2022</v>
      </c>
      <c r="F1411" s="4" t="n">
        <v>12</v>
      </c>
      <c r="G1411" s="17" t="n">
        <v>6420</v>
      </c>
      <c r="H1411" s="18" t="n">
        <f aca="false">G1411*$B$1/1000000</f>
        <v>0.014153677232277</v>
      </c>
    </row>
    <row r="1412" customFormat="false" ht="15" hidden="false" customHeight="false" outlineLevel="0" collapsed="false">
      <c r="A1412" s="4" t="s">
        <v>207</v>
      </c>
      <c r="B1412" s="4" t="s">
        <v>208</v>
      </c>
      <c r="C1412" s="4" t="s">
        <v>59</v>
      </c>
      <c r="D1412" s="16" t="n">
        <v>44927</v>
      </c>
      <c r="E1412" s="4" t="n">
        <v>2023</v>
      </c>
      <c r="F1412" s="4" t="n">
        <v>1</v>
      </c>
      <c r="G1412" s="17" t="n">
        <v>34004</v>
      </c>
      <c r="H1412" s="18" t="n">
        <f aca="false">G1412*$B$1/1000000</f>
        <v>0.0749659876333874</v>
      </c>
    </row>
    <row r="1413" customFormat="false" ht="15" hidden="false" customHeight="false" outlineLevel="0" collapsed="false">
      <c r="A1413" s="4" t="s">
        <v>207</v>
      </c>
      <c r="B1413" s="4" t="s">
        <v>208</v>
      </c>
      <c r="C1413" s="4" t="s">
        <v>59</v>
      </c>
      <c r="D1413" s="16" t="n">
        <v>44958</v>
      </c>
      <c r="E1413" s="4" t="n">
        <v>2023</v>
      </c>
      <c r="F1413" s="4" t="n">
        <v>2</v>
      </c>
      <c r="G1413" s="17" t="n">
        <v>41630</v>
      </c>
      <c r="H1413" s="18" t="n">
        <f aca="false">G1413*$B$1/1000000</f>
        <v>0.0917784397476155</v>
      </c>
    </row>
    <row r="1414" customFormat="false" ht="15" hidden="false" customHeight="false" outlineLevel="0" collapsed="false">
      <c r="A1414" s="4" t="s">
        <v>207</v>
      </c>
      <c r="B1414" s="4" t="s">
        <v>208</v>
      </c>
      <c r="C1414" s="4" t="s">
        <v>59</v>
      </c>
      <c r="D1414" s="16" t="n">
        <v>44986</v>
      </c>
      <c r="E1414" s="4" t="n">
        <v>2023</v>
      </c>
      <c r="F1414" s="4" t="n">
        <v>3</v>
      </c>
      <c r="G1414" s="17" t="n">
        <v>21200</v>
      </c>
      <c r="H1414" s="18" t="n">
        <f aca="false">G1414*$B$1/1000000</f>
        <v>0.04673799958322</v>
      </c>
    </row>
    <row r="1415" customFormat="false" ht="15" hidden="false" customHeight="false" outlineLevel="0" collapsed="false">
      <c r="A1415" s="4" t="s">
        <v>207</v>
      </c>
      <c r="B1415" s="4" t="s">
        <v>208</v>
      </c>
      <c r="C1415" s="4" t="s">
        <v>59</v>
      </c>
      <c r="D1415" s="16" t="n">
        <v>45017</v>
      </c>
      <c r="E1415" s="4" t="n">
        <v>2023</v>
      </c>
      <c r="F1415" s="4" t="n">
        <v>4</v>
      </c>
      <c r="G1415" s="17" t="n">
        <v>10447</v>
      </c>
      <c r="H1415" s="18" t="n">
        <f aca="false">G1415*$B$1/1000000</f>
        <v>0.023031692530467</v>
      </c>
    </row>
    <row r="1416" customFormat="false" ht="15" hidden="false" customHeight="false" outlineLevel="0" collapsed="false">
      <c r="A1416" s="4" t="s">
        <v>207</v>
      </c>
      <c r="B1416" s="4" t="s">
        <v>208</v>
      </c>
      <c r="C1416" s="4" t="s">
        <v>59</v>
      </c>
      <c r="D1416" s="16" t="n">
        <v>45047</v>
      </c>
      <c r="E1416" s="4" t="n">
        <v>2023</v>
      </c>
      <c r="F1416" s="4" t="n">
        <v>5</v>
      </c>
      <c r="G1416" s="17" t="n">
        <v>3762</v>
      </c>
      <c r="H1416" s="18" t="n">
        <f aca="false">G1416*$B$1/1000000</f>
        <v>0.0082937903033997</v>
      </c>
    </row>
    <row r="1417" customFormat="false" ht="15" hidden="false" customHeight="false" outlineLevel="0" collapsed="false">
      <c r="A1417" s="4" t="s">
        <v>207</v>
      </c>
      <c r="B1417" s="4" t="s">
        <v>208</v>
      </c>
      <c r="C1417" s="4" t="s">
        <v>59</v>
      </c>
      <c r="D1417" s="16" t="n">
        <v>45078</v>
      </c>
      <c r="E1417" s="4" t="n">
        <v>2023</v>
      </c>
      <c r="F1417" s="4" t="n">
        <v>6</v>
      </c>
      <c r="G1417" s="17" t="n">
        <v>1424579</v>
      </c>
      <c r="H1417" s="18" t="n">
        <f aca="false">G1417*$B$1/1000000</f>
        <v>3.14065909001245</v>
      </c>
    </row>
    <row r="1418" customFormat="false" ht="15" hidden="false" customHeight="false" outlineLevel="0" collapsed="false">
      <c r="A1418" s="4" t="s">
        <v>207</v>
      </c>
      <c r="B1418" s="4" t="s">
        <v>208</v>
      </c>
      <c r="C1418" s="4" t="s">
        <v>59</v>
      </c>
      <c r="D1418" s="16" t="n">
        <v>45108</v>
      </c>
      <c r="E1418" s="4" t="n">
        <v>2023</v>
      </c>
      <c r="F1418" s="4" t="n">
        <v>7</v>
      </c>
      <c r="G1418" s="17" t="n">
        <v>930</v>
      </c>
      <c r="H1418" s="18" t="n">
        <f aca="false">G1418*$B$1/1000000</f>
        <v>0.0020502990383205</v>
      </c>
    </row>
    <row r="1419" customFormat="false" ht="15" hidden="false" customHeight="false" outlineLevel="0" collapsed="false">
      <c r="A1419" s="4" t="s">
        <v>207</v>
      </c>
      <c r="B1419" s="4" t="s">
        <v>208</v>
      </c>
      <c r="C1419" s="4" t="s">
        <v>59</v>
      </c>
      <c r="D1419" s="16" t="n">
        <v>45139</v>
      </c>
      <c r="E1419" s="4" t="n">
        <v>2023</v>
      </c>
      <c r="F1419" s="4" t="n">
        <v>8</v>
      </c>
      <c r="G1419" s="17" t="n">
        <v>1667730</v>
      </c>
      <c r="H1419" s="18" t="n">
        <f aca="false">G1419*$B$1/1000000</f>
        <v>3.6767152851379</v>
      </c>
    </row>
    <row r="1420" customFormat="false" ht="15" hidden="false" customHeight="false" outlineLevel="0" collapsed="false">
      <c r="A1420" s="4" t="s">
        <v>207</v>
      </c>
      <c r="B1420" s="4" t="s">
        <v>208</v>
      </c>
      <c r="C1420" s="4" t="s">
        <v>59</v>
      </c>
      <c r="D1420" s="16" t="n">
        <v>45170</v>
      </c>
      <c r="E1420" s="4" t="n">
        <v>2023</v>
      </c>
      <c r="F1420" s="4" t="n">
        <v>9</v>
      </c>
      <c r="G1420" s="17" t="n">
        <v>5070918</v>
      </c>
      <c r="H1420" s="18" t="n">
        <f aca="false">G1420*$B$1/1000000</f>
        <v>11.1794605363464</v>
      </c>
    </row>
    <row r="1421" customFormat="false" ht="15" hidden="false" customHeight="false" outlineLevel="0" collapsed="false">
      <c r="A1421" s="4" t="s">
        <v>207</v>
      </c>
      <c r="B1421" s="4" t="s">
        <v>208</v>
      </c>
      <c r="C1421" s="4" t="s">
        <v>59</v>
      </c>
      <c r="D1421" s="16" t="n">
        <v>45200</v>
      </c>
      <c r="E1421" s="4" t="n">
        <v>2023</v>
      </c>
      <c r="F1421" s="4" t="n">
        <v>10</v>
      </c>
      <c r="G1421" s="17" t="n">
        <v>2824386</v>
      </c>
      <c r="H1421" s="18" t="n">
        <f aca="false">G1421*$B$1/1000000</f>
        <v>6.22670526843643</v>
      </c>
    </row>
    <row r="1422" customFormat="false" ht="15" hidden="false" customHeight="false" outlineLevel="0" collapsed="false">
      <c r="A1422" s="4" t="s">
        <v>207</v>
      </c>
      <c r="B1422" s="4" t="s">
        <v>208</v>
      </c>
      <c r="C1422" s="4" t="s">
        <v>59</v>
      </c>
      <c r="D1422" s="16" t="n">
        <v>45231</v>
      </c>
      <c r="E1422" s="4" t="n">
        <v>2023</v>
      </c>
      <c r="F1422" s="4" t="n">
        <v>11</v>
      </c>
      <c r="G1422" s="17" t="n">
        <v>3058</v>
      </c>
      <c r="H1422" s="18" t="n">
        <f aca="false">G1422*$B$1/1000000</f>
        <v>0.0067417359776173</v>
      </c>
    </row>
    <row r="1423" customFormat="false" ht="15" hidden="false" customHeight="false" outlineLevel="0" collapsed="false">
      <c r="A1423" s="4" t="s">
        <v>207</v>
      </c>
      <c r="B1423" s="4" t="s">
        <v>208</v>
      </c>
      <c r="C1423" s="4" t="s">
        <v>59</v>
      </c>
      <c r="D1423" s="16" t="n">
        <v>45261</v>
      </c>
      <c r="E1423" s="4" t="n">
        <v>2023</v>
      </c>
      <c r="F1423" s="4" t="n">
        <v>12</v>
      </c>
      <c r="G1423" s="17" t="n">
        <v>4697884</v>
      </c>
      <c r="H1423" s="18" t="n">
        <f aca="false">G1423*$B$1/1000000</f>
        <v>10.3570613412272</v>
      </c>
    </row>
    <row r="1424" customFormat="false" ht="15" hidden="false" customHeight="false" outlineLevel="0" collapsed="false">
      <c r="A1424" s="4" t="s">
        <v>207</v>
      </c>
      <c r="B1424" s="4" t="s">
        <v>208</v>
      </c>
      <c r="C1424" s="4" t="s">
        <v>59</v>
      </c>
      <c r="D1424" s="16" t="n">
        <v>45292</v>
      </c>
      <c r="E1424" s="4" t="n">
        <v>2024</v>
      </c>
      <c r="F1424" s="4" t="n">
        <v>1</v>
      </c>
      <c r="G1424" s="17" t="n">
        <v>11695454</v>
      </c>
      <c r="H1424" s="18" t="n">
        <f aca="false">G1424*$B$1/1000000</f>
        <v>25.7840624612061</v>
      </c>
    </row>
    <row r="1425" customFormat="false" ht="15" hidden="false" customHeight="false" outlineLevel="0" collapsed="false">
      <c r="A1425" s="4" t="s">
        <v>207</v>
      </c>
      <c r="B1425" s="4" t="s">
        <v>208</v>
      </c>
      <c r="C1425" s="4" t="s">
        <v>59</v>
      </c>
      <c r="D1425" s="16" t="n">
        <v>45323</v>
      </c>
      <c r="E1425" s="4" t="n">
        <v>2024</v>
      </c>
      <c r="F1425" s="4" t="n">
        <v>2</v>
      </c>
      <c r="G1425" s="17" t="n">
        <v>22</v>
      </c>
      <c r="H1425" s="18" t="n">
        <f aca="false">G1425*$B$1/1000000</f>
        <v>4.85016976807E-005</v>
      </c>
    </row>
    <row r="1426" customFormat="false" ht="15" hidden="false" customHeight="false" outlineLevel="0" collapsed="false">
      <c r="A1426" s="4" t="s">
        <v>207</v>
      </c>
      <c r="B1426" s="4" t="s">
        <v>208</v>
      </c>
      <c r="C1426" s="4" t="s">
        <v>59</v>
      </c>
      <c r="D1426" s="16" t="n">
        <v>45352</v>
      </c>
      <c r="E1426" s="4" t="n">
        <v>2024</v>
      </c>
      <c r="F1426" s="4" t="n">
        <v>3</v>
      </c>
      <c r="G1426" s="17" t="n">
        <v>7056963</v>
      </c>
      <c r="H1426" s="18" t="n">
        <f aca="false">G1426*$B$1/1000000</f>
        <v>15.5579402713584</v>
      </c>
    </row>
    <row r="1427" customFormat="false" ht="15" hidden="false" customHeight="false" outlineLevel="0" collapsed="false">
      <c r="A1427" s="4" t="s">
        <v>207</v>
      </c>
      <c r="B1427" s="4" t="s">
        <v>208</v>
      </c>
      <c r="C1427" s="4" t="s">
        <v>59</v>
      </c>
      <c r="D1427" s="16" t="n">
        <v>45383</v>
      </c>
      <c r="E1427" s="4" t="n">
        <v>2024</v>
      </c>
      <c r="F1427" s="4" t="n">
        <v>4</v>
      </c>
      <c r="G1427" s="17" t="n">
        <v>6494225</v>
      </c>
      <c r="H1427" s="18" t="n">
        <f aca="false">G1427*$B$1/1000000</f>
        <v>14.3173153463838</v>
      </c>
    </row>
    <row r="1428" customFormat="false" ht="15" hidden="false" customHeight="false" outlineLevel="0" collapsed="false">
      <c r="A1428" s="4" t="s">
        <v>207</v>
      </c>
      <c r="B1428" s="4" t="s">
        <v>208</v>
      </c>
      <c r="C1428" s="4" t="s">
        <v>59</v>
      </c>
      <c r="D1428" s="16" t="n">
        <v>45413</v>
      </c>
      <c r="E1428" s="4" t="n">
        <v>2024</v>
      </c>
      <c r="F1428" s="4" t="n">
        <v>5</v>
      </c>
      <c r="G1428" s="17" t="n">
        <v>4448</v>
      </c>
      <c r="H1428" s="18" t="n">
        <f aca="false">G1428*$B$1/1000000</f>
        <v>0.0098061614219888</v>
      </c>
    </row>
    <row r="1429" customFormat="false" ht="15" hidden="false" customHeight="false" outlineLevel="0" collapsed="false">
      <c r="A1429" s="4" t="s">
        <v>207</v>
      </c>
      <c r="B1429" s="4" t="s">
        <v>208</v>
      </c>
      <c r="C1429" s="4" t="s">
        <v>59</v>
      </c>
      <c r="D1429" s="16" t="n">
        <v>45444</v>
      </c>
      <c r="E1429" s="4" t="n">
        <v>2024</v>
      </c>
      <c r="F1429" s="4" t="n">
        <v>6</v>
      </c>
      <c r="G1429" s="17" t="n">
        <v>3497</v>
      </c>
      <c r="H1429" s="18" t="n">
        <f aca="false">G1429*$B$1/1000000</f>
        <v>0.00770956530860945</v>
      </c>
    </row>
    <row r="1430" customFormat="false" ht="15" hidden="false" customHeight="false" outlineLevel="0" collapsed="false">
      <c r="A1430" s="4" t="s">
        <v>207</v>
      </c>
      <c r="B1430" s="4" t="s">
        <v>208</v>
      </c>
      <c r="C1430" s="4" t="s">
        <v>59</v>
      </c>
      <c r="D1430" s="16" t="n">
        <v>45474</v>
      </c>
      <c r="E1430" s="4" t="n">
        <v>2024</v>
      </c>
      <c r="F1430" s="4" t="n">
        <v>7</v>
      </c>
      <c r="G1430" s="17" t="n">
        <v>1466463</v>
      </c>
      <c r="H1430" s="18" t="n">
        <f aca="false">G1430*$B$1/1000000</f>
        <v>3.23299750390602</v>
      </c>
    </row>
    <row r="1431" customFormat="false" ht="15" hidden="false" customHeight="false" outlineLevel="0" collapsed="false">
      <c r="A1431" s="4" t="s">
        <v>207</v>
      </c>
      <c r="B1431" s="4" t="s">
        <v>208</v>
      </c>
      <c r="C1431" s="4" t="s">
        <v>59</v>
      </c>
      <c r="D1431" s="16" t="n">
        <v>45505</v>
      </c>
      <c r="E1431" s="4" t="n">
        <v>2024</v>
      </c>
      <c r="F1431" s="4" t="n">
        <v>8</v>
      </c>
      <c r="G1431" s="17" t="n">
        <v>3581700</v>
      </c>
      <c r="H1431" s="18" t="n">
        <f aca="false">G1431*$B$1/1000000</f>
        <v>7.89629684468015</v>
      </c>
    </row>
    <row r="1432" customFormat="false" ht="15" hidden="false" customHeight="false" outlineLevel="0" collapsed="false">
      <c r="A1432" s="4" t="s">
        <v>207</v>
      </c>
      <c r="B1432" s="4" t="s">
        <v>208</v>
      </c>
      <c r="C1432" s="4" t="s">
        <v>59</v>
      </c>
      <c r="D1432" s="16" t="n">
        <v>45536</v>
      </c>
      <c r="E1432" s="4" t="n">
        <v>2024</v>
      </c>
      <c r="F1432" s="4" t="n">
        <v>9</v>
      </c>
      <c r="G1432" s="17" t="n">
        <v>6359740</v>
      </c>
      <c r="H1432" s="18" t="n">
        <f aca="false">G1432*$B$1/1000000</f>
        <v>14.0208266730843</v>
      </c>
    </row>
    <row r="1433" customFormat="false" ht="15" hidden="false" customHeight="false" outlineLevel="0" collapsed="false">
      <c r="A1433" s="4" t="s">
        <v>207</v>
      </c>
      <c r="B1433" s="4" t="s">
        <v>208</v>
      </c>
      <c r="C1433" s="4" t="s">
        <v>59</v>
      </c>
      <c r="D1433" s="16" t="n">
        <v>45566</v>
      </c>
      <c r="E1433" s="4" t="n">
        <v>2024</v>
      </c>
      <c r="F1433" s="4" t="n">
        <v>10</v>
      </c>
      <c r="G1433" s="17" t="n">
        <v>6538685</v>
      </c>
      <c r="H1433" s="18" t="n">
        <f aca="false">G1433*$B$1/1000000</f>
        <v>14.4153328681513</v>
      </c>
    </row>
    <row r="1434" customFormat="false" ht="15" hidden="false" customHeight="false" outlineLevel="0" collapsed="false">
      <c r="A1434" s="4" t="s">
        <v>207</v>
      </c>
      <c r="B1434" s="4" t="s">
        <v>208</v>
      </c>
      <c r="C1434" s="4" t="s">
        <v>59</v>
      </c>
      <c r="D1434" s="16" t="n">
        <v>45597</v>
      </c>
      <c r="E1434" s="4" t="n">
        <v>2024</v>
      </c>
      <c r="F1434" s="4" t="n">
        <v>11</v>
      </c>
      <c r="G1434" s="17" t="n">
        <v>11320</v>
      </c>
      <c r="H1434" s="18" t="n">
        <f aca="false">G1434*$B$1/1000000</f>
        <v>0.024956328079342</v>
      </c>
    </row>
    <row r="1435" customFormat="false" ht="15" hidden="false" customHeight="false" outlineLevel="0" collapsed="false">
      <c r="A1435" s="4" t="s">
        <v>207</v>
      </c>
      <c r="B1435" s="4" t="s">
        <v>208</v>
      </c>
      <c r="C1435" s="4" t="s">
        <v>59</v>
      </c>
      <c r="D1435" s="16" t="n">
        <v>45627</v>
      </c>
      <c r="E1435" s="4" t="n">
        <v>2024</v>
      </c>
      <c r="F1435" s="4" t="n">
        <v>12</v>
      </c>
      <c r="G1435" s="17" t="n">
        <v>3485702</v>
      </c>
      <c r="H1435" s="18" t="n">
        <f aca="false">G1435*$B$1/1000000</f>
        <v>7.68465748222779</v>
      </c>
    </row>
    <row r="1436" customFormat="false" ht="15" hidden="false" customHeight="false" outlineLevel="0" collapsed="false">
      <c r="A1436" s="4" t="s">
        <v>207</v>
      </c>
      <c r="B1436" s="4" t="s">
        <v>208</v>
      </c>
      <c r="C1436" s="4" t="s">
        <v>59</v>
      </c>
      <c r="D1436" s="16" t="n">
        <v>45658</v>
      </c>
      <c r="E1436" s="4" t="n">
        <v>2025</v>
      </c>
      <c r="F1436" s="4" t="n">
        <v>1</v>
      </c>
      <c r="G1436" s="17" t="n">
        <v>5001</v>
      </c>
      <c r="H1436" s="18" t="n">
        <f aca="false">G1436*$B$1/1000000</f>
        <v>0.0110253177318719</v>
      </c>
    </row>
    <row r="1437" customFormat="false" ht="15" hidden="false" customHeight="false" outlineLevel="0" collapsed="false">
      <c r="A1437" s="4" t="s">
        <v>207</v>
      </c>
      <c r="B1437" s="4" t="s">
        <v>208</v>
      </c>
      <c r="C1437" s="4" t="s">
        <v>59</v>
      </c>
      <c r="D1437" s="16" t="n">
        <v>45689</v>
      </c>
      <c r="E1437" s="4" t="n">
        <v>2025</v>
      </c>
      <c r="F1437" s="4" t="n">
        <v>2</v>
      </c>
      <c r="G1437" s="17" t="n">
        <v>5457236</v>
      </c>
      <c r="H1437" s="18" t="n">
        <f aca="false">G1437*$B$1/1000000</f>
        <v>12.0311459383742</v>
      </c>
    </row>
    <row r="1438" customFormat="false" ht="15" hidden="false" customHeight="false" outlineLevel="0" collapsed="false">
      <c r="A1438" s="4" t="s">
        <v>207</v>
      </c>
      <c r="B1438" s="4" t="s">
        <v>208</v>
      </c>
      <c r="C1438" s="4" t="s">
        <v>59</v>
      </c>
      <c r="D1438" s="16" t="n">
        <v>45717</v>
      </c>
      <c r="E1438" s="4" t="n">
        <v>2025</v>
      </c>
      <c r="F1438" s="4" t="n">
        <v>3</v>
      </c>
      <c r="G1438" s="17" t="n">
        <v>1820</v>
      </c>
      <c r="H1438" s="18" t="n">
        <f aca="false">G1438*$B$1/1000000</f>
        <v>0.004012413171767</v>
      </c>
    </row>
    <row r="1439" customFormat="false" ht="15" hidden="false" customHeight="false" outlineLevel="0" collapsed="false">
      <c r="A1439" s="4" t="s">
        <v>207</v>
      </c>
      <c r="B1439" s="4" t="s">
        <v>208</v>
      </c>
      <c r="C1439" s="4" t="s">
        <v>59</v>
      </c>
      <c r="D1439" s="16" t="n">
        <v>45748</v>
      </c>
      <c r="E1439" s="4" t="n">
        <v>2025</v>
      </c>
      <c r="F1439" s="4" t="n">
        <v>4</v>
      </c>
      <c r="G1439" s="17" t="n">
        <v>3400</v>
      </c>
      <c r="H1439" s="18" t="n">
        <f aca="false">G1439*$B$1/1000000</f>
        <v>0.00749571691429</v>
      </c>
    </row>
    <row r="1440" customFormat="false" ht="15" hidden="false" customHeight="false" outlineLevel="0" collapsed="false">
      <c r="A1440" s="4" t="s">
        <v>207</v>
      </c>
      <c r="B1440" s="4" t="s">
        <v>208</v>
      </c>
      <c r="C1440" s="4" t="s">
        <v>59</v>
      </c>
      <c r="D1440" s="16" t="n">
        <v>45778</v>
      </c>
      <c r="E1440" s="4" t="n">
        <v>2025</v>
      </c>
      <c r="F1440" s="4" t="n">
        <v>5</v>
      </c>
      <c r="G1440" s="17" t="n">
        <v>4499691</v>
      </c>
      <c r="H1440" s="18" t="n">
        <f aca="false">G1440*$B$1/1000000</f>
        <v>9.92012056993485</v>
      </c>
    </row>
    <row r="1441" customFormat="false" ht="15" hidden="false" customHeight="false" outlineLevel="0" collapsed="false">
      <c r="A1441" s="4" t="s">
        <v>207</v>
      </c>
      <c r="B1441" s="4" t="s">
        <v>208</v>
      </c>
      <c r="C1441" s="4" t="s">
        <v>59</v>
      </c>
      <c r="D1441" s="16" t="n">
        <v>45809</v>
      </c>
      <c r="E1441" s="4" t="n">
        <v>2025</v>
      </c>
      <c r="F1441" s="4" t="n">
        <v>6</v>
      </c>
      <c r="G1441" s="17" t="n">
        <v>9015410</v>
      </c>
      <c r="H1441" s="18" t="n">
        <f aca="false">G1441*$B$1/1000000</f>
        <v>19.8755768312527</v>
      </c>
    </row>
    <row r="1442" customFormat="false" ht="15" hidden="false" customHeight="false" outlineLevel="0" collapsed="false">
      <c r="A1442" s="4" t="s">
        <v>207</v>
      </c>
      <c r="B1442" s="4" t="s">
        <v>208</v>
      </c>
      <c r="C1442" s="4" t="s">
        <v>59</v>
      </c>
      <c r="D1442" s="16" t="n">
        <v>45839</v>
      </c>
      <c r="E1442" s="4" t="n">
        <v>2025</v>
      </c>
      <c r="F1442" s="4" t="n">
        <v>7</v>
      </c>
      <c r="G1442" s="17" t="n">
        <v>6368845</v>
      </c>
      <c r="H1442" s="18" t="n">
        <f aca="false">G1442*$B$1/1000000</f>
        <v>14.0408997620563</v>
      </c>
    </row>
    <row r="1443" customFormat="false" ht="15" hidden="false" customHeight="false" outlineLevel="0" collapsed="false">
      <c r="A1443" s="4" t="s">
        <v>207</v>
      </c>
      <c r="B1443" s="4" t="s">
        <v>208</v>
      </c>
      <c r="C1443" s="4" t="s">
        <v>59</v>
      </c>
      <c r="D1443" s="16" t="n">
        <v>45870</v>
      </c>
      <c r="E1443" s="4" t="n">
        <v>2025</v>
      </c>
      <c r="F1443" s="4" t="n">
        <v>8</v>
      </c>
      <c r="G1443" s="17" t="n">
        <v>4244679</v>
      </c>
      <c r="H1443" s="18" t="n">
        <f aca="false">G1443*$B$1/1000000</f>
        <v>9.35791534589164</v>
      </c>
    </row>
    <row r="1444" customFormat="false" ht="15" hidden="false" customHeight="false" outlineLevel="0" collapsed="false">
      <c r="A1444" s="4" t="s">
        <v>207</v>
      </c>
      <c r="B1444" s="4" t="s">
        <v>208</v>
      </c>
      <c r="C1444" s="4" t="s">
        <v>59</v>
      </c>
      <c r="D1444" s="16" t="n">
        <v>45901</v>
      </c>
      <c r="E1444" s="4" t="n">
        <v>2025</v>
      </c>
      <c r="F1444" s="4" t="n">
        <v>9</v>
      </c>
      <c r="G1444" s="17" t="n">
        <v>4236055</v>
      </c>
      <c r="H1444" s="18" t="n">
        <f aca="false">G1444*$B$1/1000000</f>
        <v>9.3389026804008</v>
      </c>
    </row>
    <row r="1445" customFormat="false" ht="15" hidden="false" customHeight="false" outlineLevel="0" collapsed="false">
      <c r="A1445" s="4" t="s">
        <v>207</v>
      </c>
      <c r="B1445" s="4" t="s">
        <v>208</v>
      </c>
      <c r="C1445" s="4" t="s">
        <v>59</v>
      </c>
      <c r="D1445" s="16" t="n">
        <v>45931</v>
      </c>
      <c r="E1445" s="4" t="n">
        <v>2025</v>
      </c>
      <c r="F1445" s="4" t="n">
        <v>10</v>
      </c>
      <c r="G1445" s="17" t="n">
        <v>27353</v>
      </c>
      <c r="H1445" s="18" t="n">
        <f aca="false">G1445*$B$1/1000000</f>
        <v>0.060303042575463</v>
      </c>
    </row>
    <row r="1446" customFormat="false" ht="15" hidden="false" customHeight="false" outlineLevel="0" collapsed="false">
      <c r="A1446" s="4" t="s">
        <v>207</v>
      </c>
      <c r="B1446" s="4" t="s">
        <v>208</v>
      </c>
      <c r="C1446" s="4" t="s">
        <v>59</v>
      </c>
      <c r="D1446" s="16" t="n">
        <v>45962</v>
      </c>
      <c r="E1446" s="4" t="n">
        <v>2025</v>
      </c>
      <c r="F1446" s="4" t="n">
        <v>11</v>
      </c>
      <c r="G1446" s="17" t="n">
        <v>1794714</v>
      </c>
      <c r="H1446" s="18" t="n">
        <f aca="false">G1446*$B$1/1000000</f>
        <v>3.9566670841509</v>
      </c>
    </row>
    <row r="1447" customFormat="false" ht="15" hidden="false" customHeight="false" outlineLevel="0" collapsed="false">
      <c r="A1447" s="4" t="s">
        <v>207</v>
      </c>
      <c r="B1447" s="4" t="s">
        <v>208</v>
      </c>
      <c r="C1447" s="4" t="s">
        <v>59</v>
      </c>
      <c r="D1447" s="16" t="n">
        <v>45992</v>
      </c>
      <c r="E1447" s="4" t="n">
        <v>2025</v>
      </c>
      <c r="F1447" s="4" t="n">
        <v>12</v>
      </c>
      <c r="G1447" s="17" t="n">
        <v>5982</v>
      </c>
      <c r="H1447" s="18" t="n">
        <f aca="false">G1447*$B$1/1000000</f>
        <v>0.0131880525239067</v>
      </c>
    </row>
    <row r="1448" customFormat="false" ht="15" hidden="false" customHeight="false" outlineLevel="0" collapsed="false">
      <c r="A1448" s="4" t="s">
        <v>207</v>
      </c>
      <c r="B1448" s="4" t="s">
        <v>208</v>
      </c>
      <c r="C1448" s="4" t="s">
        <v>59</v>
      </c>
      <c r="D1448" s="16" t="n">
        <v>46023</v>
      </c>
      <c r="E1448" s="4" t="n">
        <v>2026</v>
      </c>
      <c r="F1448" s="4" t="n">
        <v>1</v>
      </c>
      <c r="G1448" s="17" t="n">
        <v>4000</v>
      </c>
      <c r="H1448" s="18" t="n">
        <f aca="false">G1448*$B$1/1000000</f>
        <v>0.0088184904874</v>
      </c>
    </row>
    <row r="1449" customFormat="false" ht="15" hidden="false" customHeight="false" outlineLevel="0" collapsed="false">
      <c r="A1449" s="4" t="s">
        <v>207</v>
      </c>
      <c r="B1449" s="4" t="s">
        <v>208</v>
      </c>
      <c r="C1449" s="4" t="s">
        <v>59</v>
      </c>
      <c r="D1449" s="16" t="n">
        <v>46054</v>
      </c>
      <c r="E1449" s="4" t="n">
        <v>2026</v>
      </c>
      <c r="F1449" s="4" t="n">
        <v>2</v>
      </c>
      <c r="G1449" s="17" t="n">
        <v>4377</v>
      </c>
      <c r="H1449" s="18" t="n">
        <f aca="false">G1449*$B$1/1000000</f>
        <v>0.00964963321583745</v>
      </c>
    </row>
    <row r="1450" customFormat="false" ht="15" hidden="false" customHeight="false" outlineLevel="0" collapsed="false">
      <c r="A1450" s="4" t="s">
        <v>207</v>
      </c>
      <c r="B1450" s="4" t="s">
        <v>208</v>
      </c>
      <c r="C1450" s="4" t="s">
        <v>59</v>
      </c>
      <c r="D1450" s="16" t="n">
        <v>46082</v>
      </c>
      <c r="E1450" s="4" t="n">
        <v>2026</v>
      </c>
      <c r="F1450" s="4" t="n">
        <v>3</v>
      </c>
      <c r="G1450" s="17" t="n">
        <v>7346</v>
      </c>
      <c r="H1450" s="18" t="n">
        <f aca="false">G1450*$B$1/1000000</f>
        <v>0.0161951577801101</v>
      </c>
    </row>
    <row r="1451" customFormat="false" ht="15" hidden="false" customHeight="false" outlineLevel="0" collapsed="false">
      <c r="A1451" s="4" t="s">
        <v>207</v>
      </c>
      <c r="B1451" s="4" t="s">
        <v>208</v>
      </c>
      <c r="C1451" s="4" t="s">
        <v>59</v>
      </c>
      <c r="D1451" s="16" t="n">
        <v>46113</v>
      </c>
      <c r="E1451" s="4" t="n">
        <v>2026</v>
      </c>
      <c r="F1451" s="4" t="n">
        <v>4</v>
      </c>
      <c r="G1451" s="17" t="n">
        <v>6330</v>
      </c>
      <c r="H1451" s="18" t="n">
        <f aca="false">G1451*$B$1/1000000</f>
        <v>0.0139552611963105</v>
      </c>
    </row>
    <row r="1452" customFormat="false" ht="15" hidden="false" customHeight="false" outlineLevel="0" collapsed="false">
      <c r="A1452" s="4" t="s">
        <v>207</v>
      </c>
      <c r="B1452" s="4" t="s">
        <v>208</v>
      </c>
      <c r="C1452" s="4" t="s">
        <v>59</v>
      </c>
      <c r="D1452" s="16" t="n">
        <v>46143</v>
      </c>
      <c r="E1452" s="4" t="n">
        <v>2026</v>
      </c>
      <c r="F1452" s="4" t="n">
        <v>5</v>
      </c>
      <c r="G1452" s="17" t="n">
        <v>2710</v>
      </c>
      <c r="H1452" s="18" t="n">
        <f aca="false">G1452*$B$1/1000000</f>
        <v>0.0059745273052135</v>
      </c>
    </row>
    <row r="1453" customFormat="false" ht="15" hidden="false" customHeight="false" outlineLevel="0" collapsed="false">
      <c r="A1453" s="4" t="s">
        <v>207</v>
      </c>
      <c r="B1453" s="4" t="s">
        <v>208</v>
      </c>
      <c r="C1453" s="4" t="s">
        <v>59</v>
      </c>
      <c r="D1453" s="16" t="n">
        <v>46174</v>
      </c>
      <c r="E1453" s="4" t="n">
        <v>2026</v>
      </c>
      <c r="F1453" s="4" t="n">
        <v>6</v>
      </c>
      <c r="G1453" s="17" t="n">
        <v>7200796</v>
      </c>
      <c r="H1453" s="18" t="n">
        <f aca="false">G1453*$B$1/1000000</f>
        <v>15.875037756927</v>
      </c>
    </row>
    <row r="1454" customFormat="false" ht="15" hidden="false" customHeight="false" outlineLevel="0" collapsed="false">
      <c r="A1454" s="4" t="s">
        <v>207</v>
      </c>
      <c r="B1454" s="4" t="s">
        <v>208</v>
      </c>
      <c r="C1454" s="4" t="s">
        <v>59</v>
      </c>
      <c r="D1454" s="16" t="n">
        <v>46204</v>
      </c>
      <c r="E1454" s="4" t="n">
        <v>2026</v>
      </c>
      <c r="F1454" s="4" t="n">
        <v>7</v>
      </c>
      <c r="G1454" s="17" t="n">
        <v>5810</v>
      </c>
      <c r="H1454" s="18" t="n">
        <f aca="false">G1454*$B$1/1000000</f>
        <v>0.0128088574329485</v>
      </c>
    </row>
    <row r="1455" customFormat="false" ht="15" hidden="false" customHeight="false" outlineLevel="0" collapsed="false">
      <c r="A1455" s="4" t="s">
        <v>207</v>
      </c>
      <c r="B1455" s="4" t="s">
        <v>208</v>
      </c>
      <c r="C1455" s="4" t="s">
        <v>59</v>
      </c>
      <c r="D1455" s="16" t="n">
        <v>46235</v>
      </c>
      <c r="E1455" s="4" t="n">
        <v>2026</v>
      </c>
      <c r="F1455" s="4" t="n">
        <v>8</v>
      </c>
      <c r="G1455" s="17" t="n">
        <v>13073741</v>
      </c>
      <c r="H1455" s="18" t="n">
        <f aca="false">G1455*$B$1/1000000</f>
        <v>28.8226651608078</v>
      </c>
    </row>
    <row r="1456" customFormat="false" ht="15" hidden="false" customHeight="false" outlineLevel="0" collapsed="false">
      <c r="A1456" s="4" t="s">
        <v>207</v>
      </c>
      <c r="B1456" s="4" t="s">
        <v>208</v>
      </c>
      <c r="C1456" s="4" t="s">
        <v>96</v>
      </c>
      <c r="D1456" s="16" t="n">
        <v>44317</v>
      </c>
      <c r="E1456" s="4" t="n">
        <v>2021</v>
      </c>
      <c r="F1456" s="4" t="n">
        <v>5</v>
      </c>
      <c r="G1456" s="17" t="n">
        <v>10</v>
      </c>
      <c r="H1456" s="18" t="n">
        <f aca="false">G1456*$B$1/1000000</f>
        <v>2.20462262185E-005</v>
      </c>
    </row>
    <row r="1457" customFormat="false" ht="15" hidden="false" customHeight="false" outlineLevel="0" collapsed="false">
      <c r="A1457" s="4" t="s">
        <v>207</v>
      </c>
      <c r="B1457" s="4" t="s">
        <v>208</v>
      </c>
      <c r="C1457" s="4" t="s">
        <v>96</v>
      </c>
      <c r="D1457" s="16" t="n">
        <v>45261</v>
      </c>
      <c r="E1457" s="4" t="n">
        <v>2023</v>
      </c>
      <c r="F1457" s="4" t="n">
        <v>12</v>
      </c>
      <c r="G1457" s="17" t="n">
        <v>84521</v>
      </c>
      <c r="H1457" s="18" t="n">
        <f aca="false">G1457*$B$1/1000000</f>
        <v>0.186336908621384</v>
      </c>
    </row>
    <row r="1458" customFormat="false" ht="15" hidden="false" customHeight="false" outlineLevel="0" collapsed="false">
      <c r="A1458" s="4" t="s">
        <v>207</v>
      </c>
      <c r="B1458" s="4" t="s">
        <v>208</v>
      </c>
      <c r="C1458" s="4" t="s">
        <v>96</v>
      </c>
      <c r="D1458" s="16" t="n">
        <v>45292</v>
      </c>
      <c r="E1458" s="4" t="n">
        <v>2024</v>
      </c>
      <c r="F1458" s="4" t="n">
        <v>1</v>
      </c>
      <c r="G1458" s="17" t="n">
        <v>345744</v>
      </c>
      <c r="H1458" s="18" t="n">
        <f aca="false">G1458*$B$1/1000000</f>
        <v>0.762235043768906</v>
      </c>
    </row>
    <row r="1459" customFormat="false" ht="15" hidden="false" customHeight="false" outlineLevel="0" collapsed="false">
      <c r="A1459" s="4" t="s">
        <v>207</v>
      </c>
      <c r="B1459" s="4" t="s">
        <v>208</v>
      </c>
      <c r="C1459" s="4" t="s">
        <v>96</v>
      </c>
      <c r="D1459" s="16" t="n">
        <v>45352</v>
      </c>
      <c r="E1459" s="4" t="n">
        <v>2024</v>
      </c>
      <c r="F1459" s="4" t="n">
        <v>3</v>
      </c>
      <c r="G1459" s="17" t="n">
        <v>106866</v>
      </c>
      <c r="H1459" s="18" t="n">
        <f aca="false">G1459*$B$1/1000000</f>
        <v>0.235599201106622</v>
      </c>
    </row>
    <row r="1460" customFormat="false" ht="15" hidden="false" customHeight="false" outlineLevel="0" collapsed="false">
      <c r="A1460" s="4" t="s">
        <v>207</v>
      </c>
      <c r="B1460" s="4" t="s">
        <v>208</v>
      </c>
      <c r="C1460" s="4" t="s">
        <v>96</v>
      </c>
      <c r="D1460" s="16" t="n">
        <v>45505</v>
      </c>
      <c r="E1460" s="4" t="n">
        <v>2024</v>
      </c>
      <c r="F1460" s="4" t="n">
        <v>8</v>
      </c>
      <c r="G1460" s="17" t="n">
        <v>43640</v>
      </c>
      <c r="H1460" s="18" t="n">
        <f aca="false">G1460*$B$1/1000000</f>
        <v>0.096209731217534</v>
      </c>
    </row>
    <row r="1461" customFormat="false" ht="15" hidden="false" customHeight="false" outlineLevel="0" collapsed="false">
      <c r="A1461" s="4" t="s">
        <v>207</v>
      </c>
      <c r="B1461" s="4" t="s">
        <v>208</v>
      </c>
      <c r="C1461" s="4" t="s">
        <v>96</v>
      </c>
      <c r="D1461" s="16" t="n">
        <v>45566</v>
      </c>
      <c r="E1461" s="4" t="n">
        <v>2024</v>
      </c>
      <c r="F1461" s="4" t="n">
        <v>10</v>
      </c>
      <c r="G1461" s="17" t="n">
        <v>330064</v>
      </c>
      <c r="H1461" s="18" t="n">
        <f aca="false">G1461*$B$1/1000000</f>
        <v>0.727666561058298</v>
      </c>
    </row>
    <row r="1462" customFormat="false" ht="15" hidden="false" customHeight="false" outlineLevel="0" collapsed="false">
      <c r="A1462" s="4" t="s">
        <v>207</v>
      </c>
      <c r="B1462" s="4" t="s">
        <v>208</v>
      </c>
      <c r="C1462" s="4" t="s">
        <v>96</v>
      </c>
      <c r="D1462" s="16" t="n">
        <v>45627</v>
      </c>
      <c r="E1462" s="4" t="n">
        <v>2024</v>
      </c>
      <c r="F1462" s="4" t="n">
        <v>12</v>
      </c>
      <c r="G1462" s="17" t="n">
        <v>200676</v>
      </c>
      <c r="H1462" s="18" t="n">
        <f aca="false">G1462*$B$1/1000000</f>
        <v>0.442414849262371</v>
      </c>
    </row>
    <row r="1463" customFormat="false" ht="15" hidden="false" customHeight="false" outlineLevel="0" collapsed="false">
      <c r="A1463" s="4" t="s">
        <v>207</v>
      </c>
      <c r="B1463" s="4" t="s">
        <v>208</v>
      </c>
      <c r="C1463" s="4" t="s">
        <v>96</v>
      </c>
      <c r="D1463" s="16" t="n">
        <v>45689</v>
      </c>
      <c r="E1463" s="4" t="n">
        <v>2025</v>
      </c>
      <c r="F1463" s="4" t="n">
        <v>2</v>
      </c>
      <c r="G1463" s="17" t="n">
        <v>221160</v>
      </c>
      <c r="H1463" s="18" t="n">
        <f aca="false">G1463*$B$1/1000000</f>
        <v>0.487574339048346</v>
      </c>
    </row>
    <row r="1464" customFormat="false" ht="15" hidden="false" customHeight="false" outlineLevel="0" collapsed="false">
      <c r="A1464" s="4" t="s">
        <v>207</v>
      </c>
      <c r="B1464" s="4" t="s">
        <v>208</v>
      </c>
      <c r="C1464" s="4" t="s">
        <v>137</v>
      </c>
      <c r="D1464" s="16" t="n">
        <v>44927</v>
      </c>
      <c r="E1464" s="4" t="n">
        <v>2023</v>
      </c>
      <c r="F1464" s="4" t="n">
        <v>1</v>
      </c>
      <c r="G1464" s="17" t="n">
        <v>40632</v>
      </c>
      <c r="H1464" s="18" t="n">
        <f aca="false">G1464*$B$1/1000000</f>
        <v>0.0895782263710092</v>
      </c>
    </row>
    <row r="1465" customFormat="false" ht="15" hidden="false" customHeight="false" outlineLevel="0" collapsed="false">
      <c r="A1465" s="4" t="s">
        <v>207</v>
      </c>
      <c r="B1465" s="4" t="s">
        <v>208</v>
      </c>
      <c r="C1465" s="4" t="s">
        <v>137</v>
      </c>
      <c r="D1465" s="16" t="n">
        <v>45047</v>
      </c>
      <c r="E1465" s="4" t="n">
        <v>2023</v>
      </c>
      <c r="F1465" s="4" t="n">
        <v>5</v>
      </c>
      <c r="G1465" s="17" t="n">
        <v>43971</v>
      </c>
      <c r="H1465" s="18" t="n">
        <f aca="false">G1465*$B$1/1000000</f>
        <v>0.0969394613053664</v>
      </c>
    </row>
    <row r="1466" customFormat="false" ht="15" hidden="false" customHeight="false" outlineLevel="0" collapsed="false">
      <c r="A1466" s="4" t="s">
        <v>207</v>
      </c>
      <c r="B1466" s="4" t="s">
        <v>208</v>
      </c>
      <c r="C1466" s="4" t="s">
        <v>137</v>
      </c>
      <c r="D1466" s="16" t="n">
        <v>45413</v>
      </c>
      <c r="E1466" s="4" t="n">
        <v>2024</v>
      </c>
      <c r="F1466" s="4" t="n">
        <v>5</v>
      </c>
      <c r="G1466" s="17" t="n">
        <v>50470</v>
      </c>
      <c r="H1466" s="18" t="n">
        <f aca="false">G1466*$B$1/1000000</f>
        <v>0.11126730372477</v>
      </c>
    </row>
    <row r="1467" customFormat="false" ht="15" hidden="false" customHeight="false" outlineLevel="0" collapsed="false">
      <c r="A1467" s="4" t="s">
        <v>207</v>
      </c>
      <c r="B1467" s="4" t="s">
        <v>208</v>
      </c>
      <c r="C1467" s="4" t="s">
        <v>110</v>
      </c>
      <c r="D1467" s="16" t="n">
        <v>44593</v>
      </c>
      <c r="E1467" s="4" t="n">
        <v>2022</v>
      </c>
      <c r="F1467" s="4" t="n">
        <v>2</v>
      </c>
      <c r="G1467" s="17" t="n">
        <v>1760</v>
      </c>
      <c r="H1467" s="18" t="n">
        <f aca="false">G1467*$B$1/1000000</f>
        <v>0.003880135814456</v>
      </c>
    </row>
    <row r="1468" customFormat="false" ht="15" hidden="false" customHeight="false" outlineLevel="0" collapsed="false">
      <c r="A1468" s="4" t="s">
        <v>207</v>
      </c>
      <c r="B1468" s="4" t="s">
        <v>208</v>
      </c>
      <c r="C1468" s="4" t="s">
        <v>110</v>
      </c>
      <c r="D1468" s="16" t="n">
        <v>44621</v>
      </c>
      <c r="E1468" s="4" t="n">
        <v>2022</v>
      </c>
      <c r="F1468" s="4" t="n">
        <v>3</v>
      </c>
      <c r="G1468" s="17" t="n">
        <v>19006</v>
      </c>
      <c r="H1468" s="18" t="n">
        <f aca="false">G1468*$B$1/1000000</f>
        <v>0.0419010575508811</v>
      </c>
    </row>
    <row r="1469" customFormat="false" ht="15" hidden="false" customHeight="false" outlineLevel="0" collapsed="false">
      <c r="A1469" s="4" t="s">
        <v>207</v>
      </c>
      <c r="B1469" s="4" t="s">
        <v>208</v>
      </c>
      <c r="C1469" s="4" t="s">
        <v>110</v>
      </c>
      <c r="D1469" s="16" t="n">
        <v>44652</v>
      </c>
      <c r="E1469" s="4" t="n">
        <v>2022</v>
      </c>
      <c r="F1469" s="4" t="n">
        <v>4</v>
      </c>
      <c r="G1469" s="17" t="n">
        <v>20000</v>
      </c>
      <c r="H1469" s="18" t="n">
        <f aca="false">G1469*$B$1/1000000</f>
        <v>0.044092452437</v>
      </c>
    </row>
    <row r="1470" customFormat="false" ht="15" hidden="false" customHeight="false" outlineLevel="0" collapsed="false">
      <c r="A1470" s="4" t="s">
        <v>207</v>
      </c>
      <c r="B1470" s="4" t="s">
        <v>208</v>
      </c>
      <c r="C1470" s="4" t="s">
        <v>110</v>
      </c>
      <c r="D1470" s="16" t="n">
        <v>44682</v>
      </c>
      <c r="E1470" s="4" t="n">
        <v>2022</v>
      </c>
      <c r="F1470" s="4" t="n">
        <v>5</v>
      </c>
      <c r="G1470" s="17" t="n">
        <v>22190</v>
      </c>
      <c r="H1470" s="18" t="n">
        <f aca="false">G1470*$B$1/1000000</f>
        <v>0.0489205759788515</v>
      </c>
    </row>
    <row r="1471" customFormat="false" ht="15" hidden="false" customHeight="false" outlineLevel="0" collapsed="false">
      <c r="A1471" s="4" t="s">
        <v>207</v>
      </c>
      <c r="B1471" s="4" t="s">
        <v>208</v>
      </c>
      <c r="C1471" s="4" t="s">
        <v>110</v>
      </c>
      <c r="D1471" s="16" t="n">
        <v>44713</v>
      </c>
      <c r="E1471" s="4" t="n">
        <v>2022</v>
      </c>
      <c r="F1471" s="4" t="n">
        <v>6</v>
      </c>
      <c r="G1471" s="17" t="n">
        <v>21822</v>
      </c>
      <c r="H1471" s="18" t="n">
        <f aca="false">G1471*$B$1/1000000</f>
        <v>0.0481092748540107</v>
      </c>
    </row>
    <row r="1472" customFormat="false" ht="15" hidden="false" customHeight="false" outlineLevel="0" collapsed="false">
      <c r="A1472" s="4" t="s">
        <v>207</v>
      </c>
      <c r="B1472" s="4" t="s">
        <v>208</v>
      </c>
      <c r="C1472" s="4" t="s">
        <v>110</v>
      </c>
      <c r="D1472" s="16" t="n">
        <v>44743</v>
      </c>
      <c r="E1472" s="4" t="n">
        <v>2022</v>
      </c>
      <c r="F1472" s="4" t="n">
        <v>7</v>
      </c>
      <c r="G1472" s="17" t="n">
        <v>22312</v>
      </c>
      <c r="H1472" s="18" t="n">
        <f aca="false">G1472*$B$1/1000000</f>
        <v>0.0491895399387172</v>
      </c>
    </row>
    <row r="1473" customFormat="false" ht="15" hidden="false" customHeight="false" outlineLevel="0" collapsed="false">
      <c r="A1473" s="4" t="s">
        <v>207</v>
      </c>
      <c r="B1473" s="4" t="s">
        <v>208</v>
      </c>
      <c r="C1473" s="4" t="s">
        <v>110</v>
      </c>
      <c r="D1473" s="16" t="n">
        <v>44774</v>
      </c>
      <c r="E1473" s="4" t="n">
        <v>2022</v>
      </c>
      <c r="F1473" s="4" t="n">
        <v>8</v>
      </c>
      <c r="G1473" s="17" t="n">
        <v>19405</v>
      </c>
      <c r="H1473" s="18" t="n">
        <f aca="false">G1473*$B$1/1000000</f>
        <v>0.0427807019769993</v>
      </c>
    </row>
    <row r="1474" customFormat="false" ht="15" hidden="false" customHeight="false" outlineLevel="0" collapsed="false">
      <c r="A1474" s="4" t="s">
        <v>207</v>
      </c>
      <c r="B1474" s="4" t="s">
        <v>208</v>
      </c>
      <c r="C1474" s="4" t="s">
        <v>110</v>
      </c>
      <c r="D1474" s="16" t="n">
        <v>44835</v>
      </c>
      <c r="E1474" s="4" t="n">
        <v>2022</v>
      </c>
      <c r="F1474" s="4" t="n">
        <v>10</v>
      </c>
      <c r="G1474" s="17" t="n">
        <v>63521</v>
      </c>
      <c r="H1474" s="18" t="n">
        <f aca="false">G1474*$B$1/1000000</f>
        <v>0.140039833562534</v>
      </c>
    </row>
    <row r="1475" customFormat="false" ht="15" hidden="false" customHeight="false" outlineLevel="0" collapsed="false">
      <c r="A1475" s="4" t="s">
        <v>207</v>
      </c>
      <c r="B1475" s="4" t="s">
        <v>208</v>
      </c>
      <c r="C1475" s="4" t="s">
        <v>110</v>
      </c>
      <c r="D1475" s="16" t="n">
        <v>44866</v>
      </c>
      <c r="E1475" s="4" t="n">
        <v>2022</v>
      </c>
      <c r="F1475" s="4" t="n">
        <v>11</v>
      </c>
      <c r="G1475" s="17" t="n">
        <v>63000</v>
      </c>
      <c r="H1475" s="18" t="n">
        <f aca="false">G1475*$B$1/1000000</f>
        <v>0.13889122517655</v>
      </c>
    </row>
    <row r="1476" customFormat="false" ht="15" hidden="false" customHeight="false" outlineLevel="0" collapsed="false">
      <c r="A1476" s="4" t="s">
        <v>207</v>
      </c>
      <c r="B1476" s="4" t="s">
        <v>208</v>
      </c>
      <c r="C1476" s="4" t="s">
        <v>110</v>
      </c>
      <c r="D1476" s="16" t="n">
        <v>44927</v>
      </c>
      <c r="E1476" s="4" t="n">
        <v>2023</v>
      </c>
      <c r="F1476" s="4" t="n">
        <v>1</v>
      </c>
      <c r="G1476" s="17" t="n">
        <v>64219</v>
      </c>
      <c r="H1476" s="18" t="n">
        <f aca="false">G1476*$B$1/1000000</f>
        <v>0.141578660152585</v>
      </c>
    </row>
    <row r="1477" customFormat="false" ht="15" hidden="false" customHeight="false" outlineLevel="0" collapsed="false">
      <c r="A1477" s="4" t="s">
        <v>207</v>
      </c>
      <c r="B1477" s="4" t="s">
        <v>208</v>
      </c>
      <c r="C1477" s="4" t="s">
        <v>110</v>
      </c>
      <c r="D1477" s="16" t="n">
        <v>44958</v>
      </c>
      <c r="E1477" s="4" t="n">
        <v>2023</v>
      </c>
      <c r="F1477" s="4" t="n">
        <v>2</v>
      </c>
      <c r="G1477" s="17" t="n">
        <v>59847</v>
      </c>
      <c r="H1477" s="18" t="n">
        <f aca="false">G1477*$B$1/1000000</f>
        <v>0.131940050049857</v>
      </c>
    </row>
    <row r="1478" customFormat="false" ht="15" hidden="false" customHeight="false" outlineLevel="0" collapsed="false">
      <c r="A1478" s="4" t="s">
        <v>207</v>
      </c>
      <c r="B1478" s="4" t="s">
        <v>208</v>
      </c>
      <c r="C1478" s="4" t="s">
        <v>110</v>
      </c>
      <c r="D1478" s="16" t="n">
        <v>44986</v>
      </c>
      <c r="E1478" s="4" t="n">
        <v>2023</v>
      </c>
      <c r="F1478" s="4" t="n">
        <v>3</v>
      </c>
      <c r="G1478" s="17" t="n">
        <v>43753</v>
      </c>
      <c r="H1478" s="18" t="n">
        <f aca="false">G1478*$B$1/1000000</f>
        <v>0.096458853573803</v>
      </c>
    </row>
    <row r="1479" customFormat="false" ht="15" hidden="false" customHeight="false" outlineLevel="0" collapsed="false">
      <c r="A1479" s="4" t="s">
        <v>207</v>
      </c>
      <c r="B1479" s="4" t="s">
        <v>208</v>
      </c>
      <c r="C1479" s="4" t="s">
        <v>110</v>
      </c>
      <c r="D1479" s="16" t="n">
        <v>45047</v>
      </c>
      <c r="E1479" s="4" t="n">
        <v>2023</v>
      </c>
      <c r="F1479" s="4" t="n">
        <v>5</v>
      </c>
      <c r="G1479" s="17" t="n">
        <v>75618</v>
      </c>
      <c r="H1479" s="18" t="n">
        <f aca="false">G1479*$B$1/1000000</f>
        <v>0.166709153419053</v>
      </c>
    </row>
    <row r="1480" customFormat="false" ht="15" hidden="false" customHeight="false" outlineLevel="0" collapsed="false">
      <c r="A1480" s="4" t="s">
        <v>207</v>
      </c>
      <c r="B1480" s="4" t="s">
        <v>208</v>
      </c>
      <c r="C1480" s="4" t="s">
        <v>110</v>
      </c>
      <c r="D1480" s="16" t="n">
        <v>45078</v>
      </c>
      <c r="E1480" s="4" t="n">
        <v>2023</v>
      </c>
      <c r="F1480" s="4" t="n">
        <v>6</v>
      </c>
      <c r="G1480" s="17" t="n">
        <v>42644</v>
      </c>
      <c r="H1480" s="18" t="n">
        <f aca="false">G1480*$B$1/1000000</f>
        <v>0.0940139270861714</v>
      </c>
    </row>
    <row r="1481" customFormat="false" ht="15" hidden="false" customHeight="false" outlineLevel="0" collapsed="false">
      <c r="A1481" s="4" t="s">
        <v>207</v>
      </c>
      <c r="B1481" s="4" t="s">
        <v>208</v>
      </c>
      <c r="C1481" s="4" t="s">
        <v>110</v>
      </c>
      <c r="D1481" s="16" t="n">
        <v>45139</v>
      </c>
      <c r="E1481" s="4" t="n">
        <v>2023</v>
      </c>
      <c r="F1481" s="4" t="n">
        <v>8</v>
      </c>
      <c r="G1481" s="17" t="n">
        <v>89149</v>
      </c>
      <c r="H1481" s="18" t="n">
        <f aca="false">G1481*$B$1/1000000</f>
        <v>0.196539902115306</v>
      </c>
    </row>
    <row r="1482" customFormat="false" ht="15" hidden="false" customHeight="false" outlineLevel="0" collapsed="false">
      <c r="A1482" s="4" t="s">
        <v>207</v>
      </c>
      <c r="B1482" s="4" t="s">
        <v>208</v>
      </c>
      <c r="C1482" s="4" t="s">
        <v>110</v>
      </c>
      <c r="D1482" s="16" t="n">
        <v>45200</v>
      </c>
      <c r="E1482" s="4" t="n">
        <v>2023</v>
      </c>
      <c r="F1482" s="4" t="n">
        <v>10</v>
      </c>
      <c r="G1482" s="17" t="n">
        <v>19835</v>
      </c>
      <c r="H1482" s="18" t="n">
        <f aca="false">G1482*$B$1/1000000</f>
        <v>0.0437286897043948</v>
      </c>
    </row>
    <row r="1483" customFormat="false" ht="15" hidden="false" customHeight="false" outlineLevel="0" collapsed="false">
      <c r="A1483" s="4" t="s">
        <v>207</v>
      </c>
      <c r="B1483" s="4" t="s">
        <v>208</v>
      </c>
      <c r="C1483" s="4" t="s">
        <v>110</v>
      </c>
      <c r="D1483" s="16" t="n">
        <v>45231</v>
      </c>
      <c r="E1483" s="4" t="n">
        <v>2023</v>
      </c>
      <c r="F1483" s="4" t="n">
        <v>11</v>
      </c>
      <c r="G1483" s="17" t="n">
        <v>150575</v>
      </c>
      <c r="H1483" s="18" t="n">
        <f aca="false">G1483*$B$1/1000000</f>
        <v>0.331961051285064</v>
      </c>
    </row>
    <row r="1484" customFormat="false" ht="15" hidden="false" customHeight="false" outlineLevel="0" collapsed="false">
      <c r="A1484" s="4" t="s">
        <v>207</v>
      </c>
      <c r="B1484" s="4" t="s">
        <v>208</v>
      </c>
      <c r="C1484" s="4" t="s">
        <v>110</v>
      </c>
      <c r="D1484" s="16" t="n">
        <v>45292</v>
      </c>
      <c r="E1484" s="4" t="n">
        <v>2024</v>
      </c>
      <c r="F1484" s="4" t="n">
        <v>1</v>
      </c>
      <c r="G1484" s="17" t="n">
        <v>98734</v>
      </c>
      <c r="H1484" s="18" t="n">
        <f aca="false">G1484*$B$1/1000000</f>
        <v>0.217671209945738</v>
      </c>
    </row>
    <row r="1485" customFormat="false" ht="15" hidden="false" customHeight="false" outlineLevel="0" collapsed="false">
      <c r="A1485" s="4" t="s">
        <v>207</v>
      </c>
      <c r="B1485" s="4" t="s">
        <v>208</v>
      </c>
      <c r="C1485" s="4" t="s">
        <v>110</v>
      </c>
      <c r="D1485" s="16" t="n">
        <v>45413</v>
      </c>
      <c r="E1485" s="4" t="n">
        <v>2024</v>
      </c>
      <c r="F1485" s="4" t="n">
        <v>5</v>
      </c>
      <c r="G1485" s="17" t="n">
        <v>43204</v>
      </c>
      <c r="H1485" s="18" t="n">
        <f aca="false">G1485*$B$1/1000000</f>
        <v>0.0952485157544074</v>
      </c>
    </row>
    <row r="1486" customFormat="false" ht="15" hidden="false" customHeight="false" outlineLevel="0" collapsed="false">
      <c r="A1486" s="4" t="s">
        <v>207</v>
      </c>
      <c r="B1486" s="4" t="s">
        <v>208</v>
      </c>
      <c r="C1486" s="4" t="s">
        <v>110</v>
      </c>
      <c r="D1486" s="16" t="n">
        <v>45444</v>
      </c>
      <c r="E1486" s="4" t="n">
        <v>2024</v>
      </c>
      <c r="F1486" s="4" t="n">
        <v>6</v>
      </c>
      <c r="G1486" s="17" t="n">
        <v>1400106</v>
      </c>
      <c r="H1486" s="18" t="n">
        <f aca="false">G1486*$B$1/1000000</f>
        <v>3.08670536058792</v>
      </c>
    </row>
    <row r="1487" customFormat="false" ht="15" hidden="false" customHeight="false" outlineLevel="0" collapsed="false">
      <c r="A1487" s="4" t="s">
        <v>207</v>
      </c>
      <c r="B1487" s="4" t="s">
        <v>208</v>
      </c>
      <c r="C1487" s="4" t="s">
        <v>110</v>
      </c>
      <c r="D1487" s="16" t="n">
        <v>45474</v>
      </c>
      <c r="E1487" s="4" t="n">
        <v>2024</v>
      </c>
      <c r="F1487" s="4" t="n">
        <v>7</v>
      </c>
      <c r="G1487" s="17" t="n">
        <v>56599</v>
      </c>
      <c r="H1487" s="18" t="n">
        <f aca="false">G1487*$B$1/1000000</f>
        <v>0.124779435774088</v>
      </c>
    </row>
    <row r="1488" customFormat="false" ht="15" hidden="false" customHeight="false" outlineLevel="0" collapsed="false">
      <c r="A1488" s="4" t="s">
        <v>207</v>
      </c>
      <c r="B1488" s="4" t="s">
        <v>208</v>
      </c>
      <c r="C1488" s="4" t="s">
        <v>110</v>
      </c>
      <c r="D1488" s="16" t="n">
        <v>45597</v>
      </c>
      <c r="E1488" s="4" t="n">
        <v>2024</v>
      </c>
      <c r="F1488" s="4" t="n">
        <v>11</v>
      </c>
      <c r="G1488" s="17" t="n">
        <v>1001312</v>
      </c>
      <c r="H1488" s="18" t="n">
        <f aca="false">G1488*$B$1/1000000</f>
        <v>2.20751508672987</v>
      </c>
    </row>
    <row r="1489" customFormat="false" ht="15" hidden="false" customHeight="false" outlineLevel="0" collapsed="false">
      <c r="A1489" s="4" t="s">
        <v>207</v>
      </c>
      <c r="B1489" s="4" t="s">
        <v>208</v>
      </c>
      <c r="C1489" s="4" t="s">
        <v>110</v>
      </c>
      <c r="D1489" s="16" t="n">
        <v>46143</v>
      </c>
      <c r="E1489" s="4" t="n">
        <v>2026</v>
      </c>
      <c r="F1489" s="4" t="n">
        <v>5</v>
      </c>
      <c r="G1489" s="17" t="n">
        <v>178960</v>
      </c>
      <c r="H1489" s="18" t="n">
        <f aca="false">G1489*$B$1/1000000</f>
        <v>0.394539264406276</v>
      </c>
    </row>
    <row r="1490" customFormat="false" ht="15" hidden="false" customHeight="false" outlineLevel="0" collapsed="false">
      <c r="A1490" s="4" t="s">
        <v>207</v>
      </c>
      <c r="B1490" s="4" t="s">
        <v>208</v>
      </c>
      <c r="C1490" s="4" t="s">
        <v>110</v>
      </c>
      <c r="D1490" s="16" t="n">
        <v>46174</v>
      </c>
      <c r="E1490" s="4" t="n">
        <v>2026</v>
      </c>
      <c r="F1490" s="4" t="n">
        <v>6</v>
      </c>
      <c r="G1490" s="17" t="n">
        <v>618075</v>
      </c>
      <c r="H1490" s="18" t="n">
        <f aca="false">G1490*$B$1/1000000</f>
        <v>1.36262212699994</v>
      </c>
    </row>
    <row r="1491" customFormat="false" ht="15" hidden="false" customHeight="false" outlineLevel="0" collapsed="false">
      <c r="A1491" s="4" t="s">
        <v>207</v>
      </c>
      <c r="B1491" s="4" t="s">
        <v>208</v>
      </c>
      <c r="C1491" s="4" t="s">
        <v>110</v>
      </c>
      <c r="D1491" s="16" t="n">
        <v>46204</v>
      </c>
      <c r="E1491" s="4" t="n">
        <v>2026</v>
      </c>
      <c r="F1491" s="4" t="n">
        <v>7</v>
      </c>
      <c r="G1491" s="17" t="n">
        <v>376790</v>
      </c>
      <c r="H1491" s="18" t="n">
        <f aca="false">G1491*$B$1/1000000</f>
        <v>0.830679757686862</v>
      </c>
    </row>
    <row r="1492" customFormat="false" ht="15" hidden="false" customHeight="false" outlineLevel="0" collapsed="false">
      <c r="A1492" s="4" t="s">
        <v>207</v>
      </c>
      <c r="B1492" s="4" t="s">
        <v>208</v>
      </c>
      <c r="C1492" s="4" t="s">
        <v>110</v>
      </c>
      <c r="D1492" s="16" t="n">
        <v>46235</v>
      </c>
      <c r="E1492" s="4" t="n">
        <v>2026</v>
      </c>
      <c r="F1492" s="4" t="n">
        <v>8</v>
      </c>
      <c r="G1492" s="17" t="n">
        <v>272190</v>
      </c>
      <c r="H1492" s="18" t="n">
        <f aca="false">G1492*$B$1/1000000</f>
        <v>0.600076231441352</v>
      </c>
    </row>
    <row r="1493" customFormat="false" ht="15" hidden="false" customHeight="false" outlineLevel="0" collapsed="false">
      <c r="A1493" s="4" t="s">
        <v>207</v>
      </c>
      <c r="B1493" s="4" t="s">
        <v>208</v>
      </c>
      <c r="C1493" s="4" t="s">
        <v>159</v>
      </c>
      <c r="D1493" s="16" t="n">
        <v>45505</v>
      </c>
      <c r="E1493" s="4" t="n">
        <v>2024</v>
      </c>
      <c r="F1493" s="4" t="n">
        <v>8</v>
      </c>
      <c r="G1493" s="17" t="n">
        <v>334018</v>
      </c>
      <c r="H1493" s="18" t="n">
        <f aca="false">G1493*$B$1/1000000</f>
        <v>0.736383638905093</v>
      </c>
    </row>
    <row r="1494" customFormat="false" ht="15" hidden="false" customHeight="false" outlineLevel="0" collapsed="false">
      <c r="A1494" s="4" t="s">
        <v>207</v>
      </c>
      <c r="B1494" s="4" t="s">
        <v>208</v>
      </c>
      <c r="C1494" s="4" t="s">
        <v>159</v>
      </c>
      <c r="D1494" s="16" t="n">
        <v>45536</v>
      </c>
      <c r="E1494" s="4" t="n">
        <v>2024</v>
      </c>
      <c r="F1494" s="4" t="n">
        <v>9</v>
      </c>
      <c r="G1494" s="17" t="n">
        <v>401986</v>
      </c>
      <c r="H1494" s="18" t="n">
        <f aca="false">G1494*$B$1/1000000</f>
        <v>0.886227429266994</v>
      </c>
    </row>
    <row r="1495" customFormat="false" ht="15" hidden="false" customHeight="false" outlineLevel="0" collapsed="false">
      <c r="A1495" s="4" t="s">
        <v>207</v>
      </c>
      <c r="B1495" s="4" t="s">
        <v>208</v>
      </c>
      <c r="C1495" s="4" t="s">
        <v>51</v>
      </c>
      <c r="D1495" s="16" t="n">
        <v>43831</v>
      </c>
      <c r="E1495" s="4" t="n">
        <v>2020</v>
      </c>
      <c r="F1495" s="4" t="n">
        <v>1</v>
      </c>
      <c r="G1495" s="17" t="n">
        <v>24157</v>
      </c>
      <c r="H1495" s="18" t="n">
        <f aca="false">G1495*$B$1/1000000</f>
        <v>0.0532570686760305</v>
      </c>
    </row>
    <row r="1496" customFormat="false" ht="15" hidden="false" customHeight="false" outlineLevel="0" collapsed="false">
      <c r="A1496" s="4" t="s">
        <v>207</v>
      </c>
      <c r="B1496" s="4" t="s">
        <v>208</v>
      </c>
      <c r="C1496" s="4" t="s">
        <v>51</v>
      </c>
      <c r="D1496" s="16" t="n">
        <v>43862</v>
      </c>
      <c r="E1496" s="4" t="n">
        <v>2020</v>
      </c>
      <c r="F1496" s="4" t="n">
        <v>2</v>
      </c>
      <c r="G1496" s="17" t="n">
        <v>37850</v>
      </c>
      <c r="H1496" s="18" t="n">
        <f aca="false">G1496*$B$1/1000000</f>
        <v>0.0834449662370225</v>
      </c>
    </row>
    <row r="1497" customFormat="false" ht="15" hidden="false" customHeight="false" outlineLevel="0" collapsed="false">
      <c r="A1497" s="4" t="s">
        <v>207</v>
      </c>
      <c r="B1497" s="4" t="s">
        <v>208</v>
      </c>
      <c r="C1497" s="4" t="s">
        <v>51</v>
      </c>
      <c r="D1497" s="16" t="n">
        <v>43891</v>
      </c>
      <c r="E1497" s="4" t="n">
        <v>2020</v>
      </c>
      <c r="F1497" s="4" t="n">
        <v>3</v>
      </c>
      <c r="G1497" s="17" t="n">
        <v>53573</v>
      </c>
      <c r="H1497" s="18" t="n">
        <f aca="false">G1497*$B$1/1000000</f>
        <v>0.11810824772037</v>
      </c>
    </row>
    <row r="1498" customFormat="false" ht="15" hidden="false" customHeight="false" outlineLevel="0" collapsed="false">
      <c r="A1498" s="4" t="s">
        <v>207</v>
      </c>
      <c r="B1498" s="4" t="s">
        <v>208</v>
      </c>
      <c r="C1498" s="4" t="s">
        <v>51</v>
      </c>
      <c r="D1498" s="16" t="n">
        <v>43922</v>
      </c>
      <c r="E1498" s="4" t="n">
        <v>2020</v>
      </c>
      <c r="F1498" s="4" t="n">
        <v>4</v>
      </c>
      <c r="G1498" s="17" t="n">
        <v>16411</v>
      </c>
      <c r="H1498" s="18" t="n">
        <f aca="false">G1498*$B$1/1000000</f>
        <v>0.0361800618471804</v>
      </c>
    </row>
    <row r="1499" customFormat="false" ht="15" hidden="false" customHeight="false" outlineLevel="0" collapsed="false">
      <c r="A1499" s="4" t="s">
        <v>207</v>
      </c>
      <c r="B1499" s="4" t="s">
        <v>208</v>
      </c>
      <c r="C1499" s="4" t="s">
        <v>51</v>
      </c>
      <c r="D1499" s="16" t="n">
        <v>43952</v>
      </c>
      <c r="E1499" s="4" t="n">
        <v>2020</v>
      </c>
      <c r="F1499" s="4" t="n">
        <v>5</v>
      </c>
      <c r="G1499" s="17" t="n">
        <v>17180</v>
      </c>
      <c r="H1499" s="18" t="n">
        <f aca="false">G1499*$B$1/1000000</f>
        <v>0.037875416643383</v>
      </c>
    </row>
    <row r="1500" customFormat="false" ht="15" hidden="false" customHeight="false" outlineLevel="0" collapsed="false">
      <c r="A1500" s="4" t="s">
        <v>207</v>
      </c>
      <c r="B1500" s="4" t="s">
        <v>208</v>
      </c>
      <c r="C1500" s="4" t="s">
        <v>51</v>
      </c>
      <c r="D1500" s="16" t="n">
        <v>43983</v>
      </c>
      <c r="E1500" s="4" t="n">
        <v>2020</v>
      </c>
      <c r="F1500" s="4" t="n">
        <v>6</v>
      </c>
      <c r="G1500" s="17" t="n">
        <v>16640</v>
      </c>
      <c r="H1500" s="18" t="n">
        <f aca="false">G1500*$B$1/1000000</f>
        <v>0.036684920427584</v>
      </c>
    </row>
    <row r="1501" customFormat="false" ht="15" hidden="false" customHeight="false" outlineLevel="0" collapsed="false">
      <c r="A1501" s="4" t="s">
        <v>207</v>
      </c>
      <c r="B1501" s="4" t="s">
        <v>208</v>
      </c>
      <c r="C1501" s="4" t="s">
        <v>51</v>
      </c>
      <c r="D1501" s="16" t="n">
        <v>44013</v>
      </c>
      <c r="E1501" s="4" t="n">
        <v>2020</v>
      </c>
      <c r="F1501" s="4" t="n">
        <v>7</v>
      </c>
      <c r="G1501" s="17" t="n">
        <v>31706</v>
      </c>
      <c r="H1501" s="18" t="n">
        <f aca="false">G1501*$B$1/1000000</f>
        <v>0.0698997648483761</v>
      </c>
    </row>
    <row r="1502" customFormat="false" ht="15" hidden="false" customHeight="false" outlineLevel="0" collapsed="false">
      <c r="A1502" s="4" t="s">
        <v>207</v>
      </c>
      <c r="B1502" s="4" t="s">
        <v>208</v>
      </c>
      <c r="C1502" s="4" t="s">
        <v>51</v>
      </c>
      <c r="D1502" s="16" t="n">
        <v>44044</v>
      </c>
      <c r="E1502" s="4" t="n">
        <v>2020</v>
      </c>
      <c r="F1502" s="4" t="n">
        <v>8</v>
      </c>
      <c r="G1502" s="17" t="n">
        <v>8990</v>
      </c>
      <c r="H1502" s="18" t="n">
        <f aca="false">G1502*$B$1/1000000</f>
        <v>0.0198195573704315</v>
      </c>
    </row>
    <row r="1503" customFormat="false" ht="15" hidden="false" customHeight="false" outlineLevel="0" collapsed="false">
      <c r="A1503" s="4" t="s">
        <v>207</v>
      </c>
      <c r="B1503" s="4" t="s">
        <v>208</v>
      </c>
      <c r="C1503" s="4" t="s">
        <v>51</v>
      </c>
      <c r="D1503" s="16" t="n">
        <v>44105</v>
      </c>
      <c r="E1503" s="4" t="n">
        <v>2020</v>
      </c>
      <c r="F1503" s="4" t="n">
        <v>10</v>
      </c>
      <c r="G1503" s="17" t="n">
        <v>44629</v>
      </c>
      <c r="H1503" s="18" t="n">
        <f aca="false">G1503*$B$1/1000000</f>
        <v>0.0983901029905436</v>
      </c>
    </row>
    <row r="1504" customFormat="false" ht="15" hidden="false" customHeight="false" outlineLevel="0" collapsed="false">
      <c r="A1504" s="4" t="s">
        <v>207</v>
      </c>
      <c r="B1504" s="4" t="s">
        <v>208</v>
      </c>
      <c r="C1504" s="4" t="s">
        <v>51</v>
      </c>
      <c r="D1504" s="16" t="n">
        <v>44136</v>
      </c>
      <c r="E1504" s="4" t="n">
        <v>2020</v>
      </c>
      <c r="F1504" s="4" t="n">
        <v>11</v>
      </c>
      <c r="G1504" s="17" t="n">
        <v>51186</v>
      </c>
      <c r="H1504" s="18" t="n">
        <f aca="false">G1504*$B$1/1000000</f>
        <v>0.112845813522014</v>
      </c>
    </row>
    <row r="1505" customFormat="false" ht="15" hidden="false" customHeight="false" outlineLevel="0" collapsed="false">
      <c r="A1505" s="4" t="s">
        <v>207</v>
      </c>
      <c r="B1505" s="4" t="s">
        <v>208</v>
      </c>
      <c r="C1505" s="4" t="s">
        <v>51</v>
      </c>
      <c r="D1505" s="16" t="n">
        <v>44166</v>
      </c>
      <c r="E1505" s="4" t="n">
        <v>2020</v>
      </c>
      <c r="F1505" s="4" t="n">
        <v>12</v>
      </c>
      <c r="G1505" s="17" t="n">
        <v>76513</v>
      </c>
      <c r="H1505" s="18" t="n">
        <f aca="false">G1505*$B$1/1000000</f>
        <v>0.168682290665609</v>
      </c>
    </row>
    <row r="1506" customFormat="false" ht="15" hidden="false" customHeight="false" outlineLevel="0" collapsed="false">
      <c r="A1506" s="4" t="s">
        <v>207</v>
      </c>
      <c r="B1506" s="4" t="s">
        <v>208</v>
      </c>
      <c r="C1506" s="4" t="s">
        <v>51</v>
      </c>
      <c r="D1506" s="16" t="n">
        <v>44197</v>
      </c>
      <c r="E1506" s="4" t="n">
        <v>2021</v>
      </c>
      <c r="F1506" s="4" t="n">
        <v>1</v>
      </c>
      <c r="G1506" s="17" t="n">
        <v>16501</v>
      </c>
      <c r="H1506" s="18" t="n">
        <f aca="false">G1506*$B$1/1000000</f>
        <v>0.0363784778831469</v>
      </c>
    </row>
    <row r="1507" customFormat="false" ht="15" hidden="false" customHeight="false" outlineLevel="0" collapsed="false">
      <c r="A1507" s="4" t="s">
        <v>207</v>
      </c>
      <c r="B1507" s="4" t="s">
        <v>208</v>
      </c>
      <c r="C1507" s="4" t="s">
        <v>51</v>
      </c>
      <c r="D1507" s="16" t="n">
        <v>44228</v>
      </c>
      <c r="E1507" s="4" t="n">
        <v>2021</v>
      </c>
      <c r="F1507" s="4" t="n">
        <v>2</v>
      </c>
      <c r="G1507" s="17" t="n">
        <v>42240</v>
      </c>
      <c r="H1507" s="18" t="n">
        <f aca="false">G1507*$B$1/1000000</f>
        <v>0.093123259546944</v>
      </c>
    </row>
    <row r="1508" customFormat="false" ht="15" hidden="false" customHeight="false" outlineLevel="0" collapsed="false">
      <c r="A1508" s="4" t="s">
        <v>207</v>
      </c>
      <c r="B1508" s="4" t="s">
        <v>208</v>
      </c>
      <c r="C1508" s="4" t="s">
        <v>51</v>
      </c>
      <c r="D1508" s="16" t="n">
        <v>44256</v>
      </c>
      <c r="E1508" s="4" t="n">
        <v>2021</v>
      </c>
      <c r="F1508" s="4" t="n">
        <v>3</v>
      </c>
      <c r="G1508" s="17" t="n">
        <v>15240</v>
      </c>
      <c r="H1508" s="18" t="n">
        <f aca="false">G1508*$B$1/1000000</f>
        <v>0.033598448756994</v>
      </c>
    </row>
    <row r="1509" customFormat="false" ht="15" hidden="false" customHeight="false" outlineLevel="0" collapsed="false">
      <c r="A1509" s="4" t="s">
        <v>207</v>
      </c>
      <c r="B1509" s="4" t="s">
        <v>208</v>
      </c>
      <c r="C1509" s="4" t="s">
        <v>51</v>
      </c>
      <c r="D1509" s="16" t="n">
        <v>44287</v>
      </c>
      <c r="E1509" s="4" t="n">
        <v>2021</v>
      </c>
      <c r="F1509" s="4" t="n">
        <v>4</v>
      </c>
      <c r="G1509" s="17" t="n">
        <v>35698</v>
      </c>
      <c r="H1509" s="18" t="n">
        <f aca="false">G1509*$B$1/1000000</f>
        <v>0.0787006183548013</v>
      </c>
    </row>
    <row r="1510" customFormat="false" ht="15" hidden="false" customHeight="false" outlineLevel="0" collapsed="false">
      <c r="A1510" s="4" t="s">
        <v>207</v>
      </c>
      <c r="B1510" s="4" t="s">
        <v>208</v>
      </c>
      <c r="C1510" s="4" t="s">
        <v>51</v>
      </c>
      <c r="D1510" s="16" t="n">
        <v>44317</v>
      </c>
      <c r="E1510" s="4" t="n">
        <v>2021</v>
      </c>
      <c r="F1510" s="4" t="n">
        <v>5</v>
      </c>
      <c r="G1510" s="17" t="n">
        <v>610</v>
      </c>
      <c r="H1510" s="18" t="n">
        <f aca="false">G1510*$B$1/1000000</f>
        <v>0.0013448197993285</v>
      </c>
    </row>
    <row r="1511" customFormat="false" ht="15" hidden="false" customHeight="false" outlineLevel="0" collapsed="false">
      <c r="A1511" s="4" t="s">
        <v>207</v>
      </c>
      <c r="B1511" s="4" t="s">
        <v>208</v>
      </c>
      <c r="C1511" s="4" t="s">
        <v>51</v>
      </c>
      <c r="D1511" s="16" t="n">
        <v>44348</v>
      </c>
      <c r="E1511" s="4" t="n">
        <v>2021</v>
      </c>
      <c r="F1511" s="4" t="n">
        <v>6</v>
      </c>
      <c r="G1511" s="17" t="n">
        <v>14266</v>
      </c>
      <c r="H1511" s="18" t="n">
        <f aca="false">G1511*$B$1/1000000</f>
        <v>0.0314511463233121</v>
      </c>
    </row>
    <row r="1512" customFormat="false" ht="15" hidden="false" customHeight="false" outlineLevel="0" collapsed="false">
      <c r="A1512" s="4" t="s">
        <v>207</v>
      </c>
      <c r="B1512" s="4" t="s">
        <v>208</v>
      </c>
      <c r="C1512" s="4" t="s">
        <v>51</v>
      </c>
      <c r="D1512" s="16" t="n">
        <v>44378</v>
      </c>
      <c r="E1512" s="4" t="n">
        <v>2021</v>
      </c>
      <c r="F1512" s="4" t="n">
        <v>7</v>
      </c>
      <c r="G1512" s="17" t="n">
        <v>99531</v>
      </c>
      <c r="H1512" s="18" t="n">
        <f aca="false">G1512*$B$1/1000000</f>
        <v>0.219428294175352</v>
      </c>
    </row>
    <row r="1513" customFormat="false" ht="15" hidden="false" customHeight="false" outlineLevel="0" collapsed="false">
      <c r="A1513" s="4" t="s">
        <v>207</v>
      </c>
      <c r="B1513" s="4" t="s">
        <v>208</v>
      </c>
      <c r="C1513" s="4" t="s">
        <v>51</v>
      </c>
      <c r="D1513" s="16" t="n">
        <v>44409</v>
      </c>
      <c r="E1513" s="4" t="n">
        <v>2021</v>
      </c>
      <c r="F1513" s="4" t="n">
        <v>8</v>
      </c>
      <c r="G1513" s="17" t="n">
        <v>64567</v>
      </c>
      <c r="H1513" s="18" t="n">
        <f aca="false">G1513*$B$1/1000000</f>
        <v>0.142345868824989</v>
      </c>
    </row>
    <row r="1514" customFormat="false" ht="15" hidden="false" customHeight="false" outlineLevel="0" collapsed="false">
      <c r="A1514" s="4" t="s">
        <v>207</v>
      </c>
      <c r="B1514" s="4" t="s">
        <v>208</v>
      </c>
      <c r="C1514" s="4" t="s">
        <v>51</v>
      </c>
      <c r="D1514" s="16" t="n">
        <v>44440</v>
      </c>
      <c r="E1514" s="4" t="n">
        <v>2021</v>
      </c>
      <c r="F1514" s="4" t="n">
        <v>9</v>
      </c>
      <c r="G1514" s="17" t="n">
        <v>26578</v>
      </c>
      <c r="H1514" s="18" t="n">
        <f aca="false">G1514*$B$1/1000000</f>
        <v>0.0585944600435293</v>
      </c>
    </row>
    <row r="1515" customFormat="false" ht="15" hidden="false" customHeight="false" outlineLevel="0" collapsed="false">
      <c r="A1515" s="4" t="s">
        <v>207</v>
      </c>
      <c r="B1515" s="4" t="s">
        <v>208</v>
      </c>
      <c r="C1515" s="4" t="s">
        <v>51</v>
      </c>
      <c r="D1515" s="16" t="n">
        <v>44470</v>
      </c>
      <c r="E1515" s="4" t="n">
        <v>2021</v>
      </c>
      <c r="F1515" s="4" t="n">
        <v>10</v>
      </c>
      <c r="G1515" s="17" t="n">
        <v>16076</v>
      </c>
      <c r="H1515" s="18" t="n">
        <f aca="false">G1515*$B$1/1000000</f>
        <v>0.0354415132688606</v>
      </c>
    </row>
    <row r="1516" customFormat="false" ht="15" hidden="false" customHeight="false" outlineLevel="0" collapsed="false">
      <c r="A1516" s="4" t="s">
        <v>207</v>
      </c>
      <c r="B1516" s="4" t="s">
        <v>208</v>
      </c>
      <c r="C1516" s="4" t="s">
        <v>51</v>
      </c>
      <c r="D1516" s="16" t="n">
        <v>44501</v>
      </c>
      <c r="E1516" s="4" t="n">
        <v>2021</v>
      </c>
      <c r="F1516" s="4" t="n">
        <v>11</v>
      </c>
      <c r="G1516" s="17" t="n">
        <v>46225</v>
      </c>
      <c r="H1516" s="18" t="n">
        <f aca="false">G1516*$B$1/1000000</f>
        <v>0.101908680695016</v>
      </c>
    </row>
    <row r="1517" customFormat="false" ht="15" hidden="false" customHeight="false" outlineLevel="0" collapsed="false">
      <c r="A1517" s="4" t="s">
        <v>207</v>
      </c>
      <c r="B1517" s="4" t="s">
        <v>208</v>
      </c>
      <c r="C1517" s="4" t="s">
        <v>51</v>
      </c>
      <c r="D1517" s="16" t="n">
        <v>44531</v>
      </c>
      <c r="E1517" s="4" t="n">
        <v>2021</v>
      </c>
      <c r="F1517" s="4" t="n">
        <v>12</v>
      </c>
      <c r="G1517" s="17" t="n">
        <v>32000</v>
      </c>
      <c r="H1517" s="18" t="n">
        <f aca="false">G1517*$B$1/1000000</f>
        <v>0.0705479238992</v>
      </c>
    </row>
    <row r="1518" customFormat="false" ht="15" hidden="false" customHeight="false" outlineLevel="0" collapsed="false">
      <c r="A1518" s="4" t="s">
        <v>207</v>
      </c>
      <c r="B1518" s="4" t="s">
        <v>208</v>
      </c>
      <c r="C1518" s="4" t="s">
        <v>51</v>
      </c>
      <c r="D1518" s="16" t="n">
        <v>44562</v>
      </c>
      <c r="E1518" s="4" t="n">
        <v>2022</v>
      </c>
      <c r="F1518" s="4" t="n">
        <v>1</v>
      </c>
      <c r="G1518" s="17" t="n">
        <v>81033</v>
      </c>
      <c r="H1518" s="18" t="n">
        <f aca="false">G1518*$B$1/1000000</f>
        <v>0.178647184916371</v>
      </c>
    </row>
    <row r="1519" customFormat="false" ht="15" hidden="false" customHeight="false" outlineLevel="0" collapsed="false">
      <c r="A1519" s="4" t="s">
        <v>207</v>
      </c>
      <c r="B1519" s="4" t="s">
        <v>208</v>
      </c>
      <c r="C1519" s="4" t="s">
        <v>51</v>
      </c>
      <c r="D1519" s="16" t="n">
        <v>44593</v>
      </c>
      <c r="E1519" s="4" t="n">
        <v>2022</v>
      </c>
      <c r="F1519" s="4" t="n">
        <v>2</v>
      </c>
      <c r="G1519" s="17" t="n">
        <v>22650</v>
      </c>
      <c r="H1519" s="18" t="n">
        <f aca="false">G1519*$B$1/1000000</f>
        <v>0.0499347023849025</v>
      </c>
    </row>
    <row r="1520" customFormat="false" ht="15" hidden="false" customHeight="false" outlineLevel="0" collapsed="false">
      <c r="A1520" s="4" t="s">
        <v>207</v>
      </c>
      <c r="B1520" s="4" t="s">
        <v>208</v>
      </c>
      <c r="C1520" s="4" t="s">
        <v>51</v>
      </c>
      <c r="D1520" s="16" t="n">
        <v>44621</v>
      </c>
      <c r="E1520" s="4" t="n">
        <v>2022</v>
      </c>
      <c r="F1520" s="4" t="n">
        <v>3</v>
      </c>
      <c r="G1520" s="17" t="n">
        <v>32113</v>
      </c>
      <c r="H1520" s="18" t="n">
        <f aca="false">G1520*$B$1/1000000</f>
        <v>0.0707970462554691</v>
      </c>
    </row>
    <row r="1521" customFormat="false" ht="15" hidden="false" customHeight="false" outlineLevel="0" collapsed="false">
      <c r="A1521" s="4" t="s">
        <v>207</v>
      </c>
      <c r="B1521" s="4" t="s">
        <v>208</v>
      </c>
      <c r="C1521" s="4" t="s">
        <v>51</v>
      </c>
      <c r="D1521" s="16" t="n">
        <v>44652</v>
      </c>
      <c r="E1521" s="4" t="n">
        <v>2022</v>
      </c>
      <c r="F1521" s="4" t="n">
        <v>4</v>
      </c>
      <c r="G1521" s="17" t="n">
        <v>19306</v>
      </c>
      <c r="H1521" s="18" t="n">
        <f aca="false">G1521*$B$1/1000000</f>
        <v>0.0425624443374361</v>
      </c>
    </row>
    <row r="1522" customFormat="false" ht="15" hidden="false" customHeight="false" outlineLevel="0" collapsed="false">
      <c r="A1522" s="4" t="s">
        <v>207</v>
      </c>
      <c r="B1522" s="4" t="s">
        <v>208</v>
      </c>
      <c r="C1522" s="4" t="s">
        <v>51</v>
      </c>
      <c r="D1522" s="16" t="n">
        <v>44682</v>
      </c>
      <c r="E1522" s="4" t="n">
        <v>2022</v>
      </c>
      <c r="F1522" s="4" t="n">
        <v>5</v>
      </c>
      <c r="G1522" s="17" t="n">
        <v>64485</v>
      </c>
      <c r="H1522" s="18" t="n">
        <f aca="false">G1522*$B$1/1000000</f>
        <v>0.142165089769997</v>
      </c>
    </row>
    <row r="1523" customFormat="false" ht="15" hidden="false" customHeight="false" outlineLevel="0" collapsed="false">
      <c r="A1523" s="4" t="s">
        <v>207</v>
      </c>
      <c r="B1523" s="4" t="s">
        <v>208</v>
      </c>
      <c r="C1523" s="4" t="s">
        <v>51</v>
      </c>
      <c r="D1523" s="16" t="n">
        <v>44713</v>
      </c>
      <c r="E1523" s="4" t="n">
        <v>2022</v>
      </c>
      <c r="F1523" s="4" t="n">
        <v>6</v>
      </c>
      <c r="G1523" s="17" t="n">
        <v>37264</v>
      </c>
      <c r="H1523" s="18" t="n">
        <f aca="false">G1523*$B$1/1000000</f>
        <v>0.0821530573806184</v>
      </c>
    </row>
    <row r="1524" customFormat="false" ht="15" hidden="false" customHeight="false" outlineLevel="0" collapsed="false">
      <c r="A1524" s="4" t="s">
        <v>207</v>
      </c>
      <c r="B1524" s="4" t="s">
        <v>208</v>
      </c>
      <c r="C1524" s="4" t="s">
        <v>51</v>
      </c>
      <c r="D1524" s="16" t="n">
        <v>44743</v>
      </c>
      <c r="E1524" s="4" t="n">
        <v>2022</v>
      </c>
      <c r="F1524" s="4" t="n">
        <v>7</v>
      </c>
      <c r="G1524" s="17" t="n">
        <v>21300</v>
      </c>
      <c r="H1524" s="18" t="n">
        <f aca="false">G1524*$B$1/1000000</f>
        <v>0.046958461845405</v>
      </c>
    </row>
    <row r="1525" customFormat="false" ht="15" hidden="false" customHeight="false" outlineLevel="0" collapsed="false">
      <c r="A1525" s="4" t="s">
        <v>207</v>
      </c>
      <c r="B1525" s="4" t="s">
        <v>208</v>
      </c>
      <c r="C1525" s="4" t="s">
        <v>51</v>
      </c>
      <c r="D1525" s="16" t="n">
        <v>44774</v>
      </c>
      <c r="E1525" s="4" t="n">
        <v>2022</v>
      </c>
      <c r="F1525" s="4" t="n">
        <v>8</v>
      </c>
      <c r="G1525" s="17" t="n">
        <v>83122</v>
      </c>
      <c r="H1525" s="18" t="n">
        <f aca="false">G1525*$B$1/1000000</f>
        <v>0.183252641573416</v>
      </c>
    </row>
    <row r="1526" customFormat="false" ht="15" hidden="false" customHeight="false" outlineLevel="0" collapsed="false">
      <c r="A1526" s="4" t="s">
        <v>207</v>
      </c>
      <c r="B1526" s="4" t="s">
        <v>208</v>
      </c>
      <c r="C1526" s="4" t="s">
        <v>51</v>
      </c>
      <c r="D1526" s="16" t="n">
        <v>44805</v>
      </c>
      <c r="E1526" s="4" t="n">
        <v>2022</v>
      </c>
      <c r="F1526" s="4" t="n">
        <v>9</v>
      </c>
      <c r="G1526" s="17" t="n">
        <v>22105</v>
      </c>
      <c r="H1526" s="18" t="n">
        <f aca="false">G1526*$B$1/1000000</f>
        <v>0.0487331830559943</v>
      </c>
    </row>
    <row r="1527" customFormat="false" ht="15" hidden="false" customHeight="false" outlineLevel="0" collapsed="false">
      <c r="A1527" s="4" t="s">
        <v>207</v>
      </c>
      <c r="B1527" s="4" t="s">
        <v>208</v>
      </c>
      <c r="C1527" s="4" t="s">
        <v>51</v>
      </c>
      <c r="D1527" s="16" t="n">
        <v>44835</v>
      </c>
      <c r="E1527" s="4" t="n">
        <v>2022</v>
      </c>
      <c r="F1527" s="4" t="n">
        <v>10</v>
      </c>
      <c r="G1527" s="17" t="n">
        <v>59081</v>
      </c>
      <c r="H1527" s="18" t="n">
        <f aca="false">G1527*$B$1/1000000</f>
        <v>0.13025130912152</v>
      </c>
    </row>
    <row r="1528" customFormat="false" ht="15" hidden="false" customHeight="false" outlineLevel="0" collapsed="false">
      <c r="A1528" s="4" t="s">
        <v>207</v>
      </c>
      <c r="B1528" s="4" t="s">
        <v>208</v>
      </c>
      <c r="C1528" s="4" t="s">
        <v>51</v>
      </c>
      <c r="D1528" s="16" t="n">
        <v>44866</v>
      </c>
      <c r="E1528" s="4" t="n">
        <v>2022</v>
      </c>
      <c r="F1528" s="4" t="n">
        <v>11</v>
      </c>
      <c r="G1528" s="17" t="n">
        <v>32000</v>
      </c>
      <c r="H1528" s="18" t="n">
        <f aca="false">G1528*$B$1/1000000</f>
        <v>0.0705479238992</v>
      </c>
    </row>
    <row r="1529" customFormat="false" ht="15" hidden="false" customHeight="false" outlineLevel="0" collapsed="false">
      <c r="A1529" s="4" t="s">
        <v>207</v>
      </c>
      <c r="B1529" s="4" t="s">
        <v>208</v>
      </c>
      <c r="C1529" s="4" t="s">
        <v>51</v>
      </c>
      <c r="D1529" s="16" t="n">
        <v>44896</v>
      </c>
      <c r="E1529" s="4" t="n">
        <v>2022</v>
      </c>
      <c r="F1529" s="4" t="n">
        <v>12</v>
      </c>
      <c r="G1529" s="17" t="n">
        <v>2543</v>
      </c>
      <c r="H1529" s="18" t="n">
        <f aca="false">G1529*$B$1/1000000</f>
        <v>0.00560635532736455</v>
      </c>
    </row>
    <row r="1530" customFormat="false" ht="15" hidden="false" customHeight="false" outlineLevel="0" collapsed="false">
      <c r="A1530" s="4" t="s">
        <v>207</v>
      </c>
      <c r="B1530" s="4" t="s">
        <v>208</v>
      </c>
      <c r="C1530" s="4" t="s">
        <v>51</v>
      </c>
      <c r="D1530" s="16" t="n">
        <v>44927</v>
      </c>
      <c r="E1530" s="4" t="n">
        <v>2023</v>
      </c>
      <c r="F1530" s="4" t="n">
        <v>1</v>
      </c>
      <c r="G1530" s="17" t="n">
        <v>20104</v>
      </c>
      <c r="H1530" s="18" t="n">
        <f aca="false">G1530*$B$1/1000000</f>
        <v>0.0443217331896724</v>
      </c>
    </row>
    <row r="1531" customFormat="false" ht="15" hidden="false" customHeight="false" outlineLevel="0" collapsed="false">
      <c r="A1531" s="4" t="s">
        <v>207</v>
      </c>
      <c r="B1531" s="4" t="s">
        <v>208</v>
      </c>
      <c r="C1531" s="4" t="s">
        <v>51</v>
      </c>
      <c r="D1531" s="16" t="n">
        <v>44958</v>
      </c>
      <c r="E1531" s="4" t="n">
        <v>2023</v>
      </c>
      <c r="F1531" s="4" t="n">
        <v>2</v>
      </c>
      <c r="G1531" s="17" t="n">
        <v>33850</v>
      </c>
      <c r="H1531" s="18" t="n">
        <f aca="false">G1531*$B$1/1000000</f>
        <v>0.0746264757496225</v>
      </c>
    </row>
    <row r="1532" customFormat="false" ht="15" hidden="false" customHeight="false" outlineLevel="0" collapsed="false">
      <c r="A1532" s="4" t="s">
        <v>207</v>
      </c>
      <c r="B1532" s="4" t="s">
        <v>208</v>
      </c>
      <c r="C1532" s="4" t="s">
        <v>51</v>
      </c>
      <c r="D1532" s="16" t="n">
        <v>44986</v>
      </c>
      <c r="E1532" s="4" t="n">
        <v>2023</v>
      </c>
      <c r="F1532" s="4" t="n">
        <v>3</v>
      </c>
      <c r="G1532" s="17" t="n">
        <v>20604</v>
      </c>
      <c r="H1532" s="18" t="n">
        <f aca="false">G1532*$B$1/1000000</f>
        <v>0.0454240445005974</v>
      </c>
    </row>
    <row r="1533" customFormat="false" ht="15" hidden="false" customHeight="false" outlineLevel="0" collapsed="false">
      <c r="A1533" s="4" t="s">
        <v>207</v>
      </c>
      <c r="B1533" s="4" t="s">
        <v>208</v>
      </c>
      <c r="C1533" s="4" t="s">
        <v>51</v>
      </c>
      <c r="D1533" s="16" t="n">
        <v>45017</v>
      </c>
      <c r="E1533" s="4" t="n">
        <v>2023</v>
      </c>
      <c r="F1533" s="4" t="n">
        <v>4</v>
      </c>
      <c r="G1533" s="17" t="n">
        <v>33280</v>
      </c>
      <c r="H1533" s="18" t="n">
        <f aca="false">G1533*$B$1/1000000</f>
        <v>0.073369840855168</v>
      </c>
    </row>
    <row r="1534" customFormat="false" ht="15" hidden="false" customHeight="false" outlineLevel="0" collapsed="false">
      <c r="A1534" s="4" t="s">
        <v>207</v>
      </c>
      <c r="B1534" s="4" t="s">
        <v>208</v>
      </c>
      <c r="C1534" s="4" t="s">
        <v>51</v>
      </c>
      <c r="D1534" s="16" t="n">
        <v>45047</v>
      </c>
      <c r="E1534" s="4" t="n">
        <v>2023</v>
      </c>
      <c r="F1534" s="4" t="n">
        <v>5</v>
      </c>
      <c r="G1534" s="17" t="n">
        <v>62148</v>
      </c>
      <c r="H1534" s="18" t="n">
        <f aca="false">G1534*$B$1/1000000</f>
        <v>0.137012886702734</v>
      </c>
    </row>
    <row r="1535" customFormat="false" ht="15" hidden="false" customHeight="false" outlineLevel="0" collapsed="false">
      <c r="A1535" s="4" t="s">
        <v>207</v>
      </c>
      <c r="B1535" s="4" t="s">
        <v>208</v>
      </c>
      <c r="C1535" s="4" t="s">
        <v>51</v>
      </c>
      <c r="D1535" s="16" t="n">
        <v>45078</v>
      </c>
      <c r="E1535" s="4" t="n">
        <v>2023</v>
      </c>
      <c r="F1535" s="4" t="n">
        <v>6</v>
      </c>
      <c r="G1535" s="17" t="n">
        <v>18350</v>
      </c>
      <c r="H1535" s="18" t="n">
        <f aca="false">G1535*$B$1/1000000</f>
        <v>0.0404548251109475</v>
      </c>
    </row>
    <row r="1536" customFormat="false" ht="15" hidden="false" customHeight="false" outlineLevel="0" collapsed="false">
      <c r="A1536" s="4" t="s">
        <v>207</v>
      </c>
      <c r="B1536" s="4" t="s">
        <v>208</v>
      </c>
      <c r="C1536" s="4" t="s">
        <v>51</v>
      </c>
      <c r="D1536" s="16" t="n">
        <v>45108</v>
      </c>
      <c r="E1536" s="4" t="n">
        <v>2023</v>
      </c>
      <c r="F1536" s="4" t="n">
        <v>7</v>
      </c>
      <c r="G1536" s="17" t="n">
        <v>28664</v>
      </c>
      <c r="H1536" s="18" t="n">
        <f aca="false">G1536*$B$1/1000000</f>
        <v>0.0631933028327084</v>
      </c>
    </row>
    <row r="1537" customFormat="false" ht="15" hidden="false" customHeight="false" outlineLevel="0" collapsed="false">
      <c r="A1537" s="4" t="s">
        <v>207</v>
      </c>
      <c r="B1537" s="4" t="s">
        <v>208</v>
      </c>
      <c r="C1537" s="4" t="s">
        <v>51</v>
      </c>
      <c r="D1537" s="16" t="n">
        <v>45139</v>
      </c>
      <c r="E1537" s="4" t="n">
        <v>2023</v>
      </c>
      <c r="F1537" s="4" t="n">
        <v>8</v>
      </c>
      <c r="G1537" s="17" t="n">
        <v>14240</v>
      </c>
      <c r="H1537" s="18" t="n">
        <f aca="false">G1537*$B$1/1000000</f>
        <v>0.031393826135144</v>
      </c>
    </row>
    <row r="1538" customFormat="false" ht="15" hidden="false" customHeight="false" outlineLevel="0" collapsed="false">
      <c r="A1538" s="4" t="s">
        <v>207</v>
      </c>
      <c r="B1538" s="4" t="s">
        <v>208</v>
      </c>
      <c r="C1538" s="4" t="s">
        <v>51</v>
      </c>
      <c r="D1538" s="16" t="n">
        <v>45170</v>
      </c>
      <c r="E1538" s="4" t="n">
        <v>2023</v>
      </c>
      <c r="F1538" s="4" t="n">
        <v>9</v>
      </c>
      <c r="G1538" s="17" t="n">
        <v>38042</v>
      </c>
      <c r="H1538" s="18" t="n">
        <f aca="false">G1538*$B$1/1000000</f>
        <v>0.0838682537804177</v>
      </c>
    </row>
    <row r="1539" customFormat="false" ht="15" hidden="false" customHeight="false" outlineLevel="0" collapsed="false">
      <c r="A1539" s="4" t="s">
        <v>207</v>
      </c>
      <c r="B1539" s="4" t="s">
        <v>208</v>
      </c>
      <c r="C1539" s="4" t="s">
        <v>51</v>
      </c>
      <c r="D1539" s="16" t="n">
        <v>45200</v>
      </c>
      <c r="E1539" s="4" t="n">
        <v>2023</v>
      </c>
      <c r="F1539" s="4" t="n">
        <v>10</v>
      </c>
      <c r="G1539" s="17" t="n">
        <v>38691</v>
      </c>
      <c r="H1539" s="18" t="n">
        <f aca="false">G1539*$B$1/1000000</f>
        <v>0.0852990538619984</v>
      </c>
    </row>
    <row r="1540" customFormat="false" ht="15" hidden="false" customHeight="false" outlineLevel="0" collapsed="false">
      <c r="A1540" s="4" t="s">
        <v>207</v>
      </c>
      <c r="B1540" s="4" t="s">
        <v>208</v>
      </c>
      <c r="C1540" s="4" t="s">
        <v>51</v>
      </c>
      <c r="D1540" s="16" t="n">
        <v>45231</v>
      </c>
      <c r="E1540" s="4" t="n">
        <v>2023</v>
      </c>
      <c r="F1540" s="4" t="n">
        <v>11</v>
      </c>
      <c r="G1540" s="17" t="n">
        <v>15240</v>
      </c>
      <c r="H1540" s="18" t="n">
        <f aca="false">G1540*$B$1/1000000</f>
        <v>0.033598448756994</v>
      </c>
    </row>
    <row r="1541" customFormat="false" ht="15" hidden="false" customHeight="false" outlineLevel="0" collapsed="false">
      <c r="A1541" s="4" t="s">
        <v>207</v>
      </c>
      <c r="B1541" s="4" t="s">
        <v>208</v>
      </c>
      <c r="C1541" s="4" t="s">
        <v>51</v>
      </c>
      <c r="D1541" s="16" t="n">
        <v>45261</v>
      </c>
      <c r="E1541" s="4" t="n">
        <v>2023</v>
      </c>
      <c r="F1541" s="4" t="n">
        <v>12</v>
      </c>
      <c r="G1541" s="17" t="n">
        <v>57262</v>
      </c>
      <c r="H1541" s="18" t="n">
        <f aca="false">G1541*$B$1/1000000</f>
        <v>0.126241100572375</v>
      </c>
    </row>
    <row r="1542" customFormat="false" ht="15" hidden="false" customHeight="false" outlineLevel="0" collapsed="false">
      <c r="A1542" s="4" t="s">
        <v>207</v>
      </c>
      <c r="B1542" s="4" t="s">
        <v>208</v>
      </c>
      <c r="C1542" s="4" t="s">
        <v>51</v>
      </c>
      <c r="D1542" s="16" t="n">
        <v>45292</v>
      </c>
      <c r="E1542" s="4" t="n">
        <v>2024</v>
      </c>
      <c r="F1542" s="4" t="n">
        <v>1</v>
      </c>
      <c r="G1542" s="17" t="n">
        <v>108400</v>
      </c>
      <c r="H1542" s="18" t="n">
        <f aca="false">G1542*$B$1/1000000</f>
        <v>0.23898109220854</v>
      </c>
    </row>
    <row r="1543" customFormat="false" ht="15" hidden="false" customHeight="false" outlineLevel="0" collapsed="false">
      <c r="A1543" s="4" t="s">
        <v>207</v>
      </c>
      <c r="B1543" s="4" t="s">
        <v>208</v>
      </c>
      <c r="C1543" s="4" t="s">
        <v>51</v>
      </c>
      <c r="D1543" s="16" t="n">
        <v>45323</v>
      </c>
      <c r="E1543" s="4" t="n">
        <v>2024</v>
      </c>
      <c r="F1543" s="4" t="n">
        <v>2</v>
      </c>
      <c r="G1543" s="17" t="n">
        <v>74840</v>
      </c>
      <c r="H1543" s="18" t="n">
        <f aca="false">G1543*$B$1/1000000</f>
        <v>0.164993957019254</v>
      </c>
    </row>
    <row r="1544" customFormat="false" ht="15" hidden="false" customHeight="false" outlineLevel="0" collapsed="false">
      <c r="A1544" s="4" t="s">
        <v>207</v>
      </c>
      <c r="B1544" s="4" t="s">
        <v>208</v>
      </c>
      <c r="C1544" s="4" t="s">
        <v>51</v>
      </c>
      <c r="D1544" s="16" t="n">
        <v>45352</v>
      </c>
      <c r="E1544" s="4" t="n">
        <v>2024</v>
      </c>
      <c r="F1544" s="4" t="n">
        <v>3</v>
      </c>
      <c r="G1544" s="17" t="n">
        <v>34570</v>
      </c>
      <c r="H1544" s="18" t="n">
        <f aca="false">G1544*$B$1/1000000</f>
        <v>0.0762138040373545</v>
      </c>
    </row>
    <row r="1545" customFormat="false" ht="15" hidden="false" customHeight="false" outlineLevel="0" collapsed="false">
      <c r="A1545" s="4" t="s">
        <v>207</v>
      </c>
      <c r="B1545" s="4" t="s">
        <v>208</v>
      </c>
      <c r="C1545" s="4" t="s">
        <v>51</v>
      </c>
      <c r="D1545" s="16" t="n">
        <v>45383</v>
      </c>
      <c r="E1545" s="4" t="n">
        <v>2024</v>
      </c>
      <c r="F1545" s="4" t="n">
        <v>4</v>
      </c>
      <c r="G1545" s="17" t="n">
        <v>77220</v>
      </c>
      <c r="H1545" s="18" t="n">
        <f aca="false">G1545*$B$1/1000000</f>
        <v>0.170240958859257</v>
      </c>
    </row>
    <row r="1546" customFormat="false" ht="15" hidden="false" customHeight="false" outlineLevel="0" collapsed="false">
      <c r="A1546" s="4" t="s">
        <v>207</v>
      </c>
      <c r="B1546" s="4" t="s">
        <v>208</v>
      </c>
      <c r="C1546" s="4" t="s">
        <v>51</v>
      </c>
      <c r="D1546" s="16" t="n">
        <v>45413</v>
      </c>
      <c r="E1546" s="4" t="n">
        <v>2024</v>
      </c>
      <c r="F1546" s="4" t="n">
        <v>5</v>
      </c>
      <c r="G1546" s="17" t="n">
        <v>240231</v>
      </c>
      <c r="H1546" s="18" t="n">
        <f aca="false">G1546*$B$1/1000000</f>
        <v>0.529618697069647</v>
      </c>
    </row>
    <row r="1547" customFormat="false" ht="15" hidden="false" customHeight="false" outlineLevel="0" collapsed="false">
      <c r="A1547" s="4" t="s">
        <v>207</v>
      </c>
      <c r="B1547" s="4" t="s">
        <v>208</v>
      </c>
      <c r="C1547" s="4" t="s">
        <v>51</v>
      </c>
      <c r="D1547" s="16" t="n">
        <v>45444</v>
      </c>
      <c r="E1547" s="4" t="n">
        <v>2024</v>
      </c>
      <c r="F1547" s="4" t="n">
        <v>6</v>
      </c>
      <c r="G1547" s="17" t="n">
        <v>94495</v>
      </c>
      <c r="H1547" s="18" t="n">
        <f aca="false">G1547*$B$1/1000000</f>
        <v>0.208325814651716</v>
      </c>
    </row>
    <row r="1548" customFormat="false" ht="15" hidden="false" customHeight="false" outlineLevel="0" collapsed="false">
      <c r="A1548" s="4" t="s">
        <v>207</v>
      </c>
      <c r="B1548" s="4" t="s">
        <v>208</v>
      </c>
      <c r="C1548" s="4" t="s">
        <v>51</v>
      </c>
      <c r="D1548" s="16" t="n">
        <v>45474</v>
      </c>
      <c r="E1548" s="4" t="n">
        <v>2024</v>
      </c>
      <c r="F1548" s="4" t="n">
        <v>7</v>
      </c>
      <c r="G1548" s="17" t="n">
        <v>211888</v>
      </c>
      <c r="H1548" s="18" t="n">
        <f aca="false">G1548*$B$1/1000000</f>
        <v>0.467133078098553</v>
      </c>
    </row>
    <row r="1549" customFormat="false" ht="15" hidden="false" customHeight="false" outlineLevel="0" collapsed="false">
      <c r="A1549" s="4" t="s">
        <v>207</v>
      </c>
      <c r="B1549" s="4" t="s">
        <v>208</v>
      </c>
      <c r="C1549" s="4" t="s">
        <v>51</v>
      </c>
      <c r="D1549" s="16" t="n">
        <v>45505</v>
      </c>
      <c r="E1549" s="4" t="n">
        <v>2024</v>
      </c>
      <c r="F1549" s="4" t="n">
        <v>8</v>
      </c>
      <c r="G1549" s="17" t="n">
        <v>53070</v>
      </c>
      <c r="H1549" s="18" t="n">
        <f aca="false">G1549*$B$1/1000000</f>
        <v>0.11699932254158</v>
      </c>
    </row>
    <row r="1550" customFormat="false" ht="15" hidden="false" customHeight="false" outlineLevel="0" collapsed="false">
      <c r="A1550" s="4" t="s">
        <v>207</v>
      </c>
      <c r="B1550" s="4" t="s">
        <v>208</v>
      </c>
      <c r="C1550" s="4" t="s">
        <v>51</v>
      </c>
      <c r="D1550" s="16" t="n">
        <v>45536</v>
      </c>
      <c r="E1550" s="4" t="n">
        <v>2024</v>
      </c>
      <c r="F1550" s="4" t="n">
        <v>9</v>
      </c>
      <c r="G1550" s="17" t="n">
        <v>65454</v>
      </c>
      <c r="H1550" s="18" t="n">
        <f aca="false">G1550*$B$1/1000000</f>
        <v>0.14430136909057</v>
      </c>
    </row>
    <row r="1551" customFormat="false" ht="15" hidden="false" customHeight="false" outlineLevel="0" collapsed="false">
      <c r="A1551" s="4" t="s">
        <v>207</v>
      </c>
      <c r="B1551" s="4" t="s">
        <v>208</v>
      </c>
      <c r="C1551" s="4" t="s">
        <v>51</v>
      </c>
      <c r="D1551" s="16" t="n">
        <v>45597</v>
      </c>
      <c r="E1551" s="4" t="n">
        <v>2024</v>
      </c>
      <c r="F1551" s="4" t="n">
        <v>11</v>
      </c>
      <c r="G1551" s="17" t="n">
        <v>53966</v>
      </c>
      <c r="H1551" s="18" t="n">
        <f aca="false">G1551*$B$1/1000000</f>
        <v>0.118974664410757</v>
      </c>
    </row>
    <row r="1552" customFormat="false" ht="15" hidden="false" customHeight="false" outlineLevel="0" collapsed="false">
      <c r="A1552" s="4" t="s">
        <v>207</v>
      </c>
      <c r="B1552" s="4" t="s">
        <v>208</v>
      </c>
      <c r="C1552" s="4" t="s">
        <v>51</v>
      </c>
      <c r="D1552" s="16" t="n">
        <v>45627</v>
      </c>
      <c r="E1552" s="4" t="n">
        <v>2024</v>
      </c>
      <c r="F1552" s="4" t="n">
        <v>12</v>
      </c>
      <c r="G1552" s="17" t="n">
        <v>25223</v>
      </c>
      <c r="H1552" s="18" t="n">
        <f aca="false">G1552*$B$1/1000000</f>
        <v>0.0556071963909226</v>
      </c>
    </row>
    <row r="1553" customFormat="false" ht="15" hidden="false" customHeight="false" outlineLevel="0" collapsed="false">
      <c r="A1553" s="4" t="s">
        <v>207</v>
      </c>
      <c r="B1553" s="4" t="s">
        <v>208</v>
      </c>
      <c r="C1553" s="4" t="s">
        <v>51</v>
      </c>
      <c r="D1553" s="16" t="n">
        <v>45658</v>
      </c>
      <c r="E1553" s="4" t="n">
        <v>2025</v>
      </c>
      <c r="F1553" s="4" t="n">
        <v>1</v>
      </c>
      <c r="G1553" s="17" t="n">
        <v>14132</v>
      </c>
      <c r="H1553" s="18" t="n">
        <f aca="false">G1553*$B$1/1000000</f>
        <v>0.0311557268919842</v>
      </c>
    </row>
    <row r="1554" customFormat="false" ht="15" hidden="false" customHeight="false" outlineLevel="0" collapsed="false">
      <c r="A1554" s="4" t="s">
        <v>207</v>
      </c>
      <c r="B1554" s="4" t="s">
        <v>208</v>
      </c>
      <c r="C1554" s="4" t="s">
        <v>51</v>
      </c>
      <c r="D1554" s="16" t="n">
        <v>45689</v>
      </c>
      <c r="E1554" s="4" t="n">
        <v>2025</v>
      </c>
      <c r="F1554" s="4" t="n">
        <v>2</v>
      </c>
      <c r="G1554" s="17" t="n">
        <v>26650</v>
      </c>
      <c r="H1554" s="18" t="n">
        <f aca="false">G1554*$B$1/1000000</f>
        <v>0.0587531928723025</v>
      </c>
    </row>
    <row r="1555" customFormat="false" ht="15" hidden="false" customHeight="false" outlineLevel="0" collapsed="false">
      <c r="A1555" s="4" t="s">
        <v>207</v>
      </c>
      <c r="B1555" s="4" t="s">
        <v>208</v>
      </c>
      <c r="C1555" s="4" t="s">
        <v>51</v>
      </c>
      <c r="D1555" s="16" t="n">
        <v>45717</v>
      </c>
      <c r="E1555" s="4" t="n">
        <v>2025</v>
      </c>
      <c r="F1555" s="4" t="n">
        <v>3</v>
      </c>
      <c r="G1555" s="17" t="n">
        <v>145637</v>
      </c>
      <c r="H1555" s="18" t="n">
        <f aca="false">G1555*$B$1/1000000</f>
        <v>0.321074624778368</v>
      </c>
    </row>
    <row r="1556" customFormat="false" ht="15" hidden="false" customHeight="false" outlineLevel="0" collapsed="false">
      <c r="A1556" s="4" t="s">
        <v>207</v>
      </c>
      <c r="B1556" s="4" t="s">
        <v>208</v>
      </c>
      <c r="C1556" s="4" t="s">
        <v>51</v>
      </c>
      <c r="D1556" s="16" t="n">
        <v>45748</v>
      </c>
      <c r="E1556" s="4" t="n">
        <v>2025</v>
      </c>
      <c r="F1556" s="4" t="n">
        <v>4</v>
      </c>
      <c r="G1556" s="17" t="n">
        <v>21236</v>
      </c>
      <c r="H1556" s="18" t="n">
        <f aca="false">G1556*$B$1/1000000</f>
        <v>0.0468173659976066</v>
      </c>
    </row>
    <row r="1557" customFormat="false" ht="15" hidden="false" customHeight="false" outlineLevel="0" collapsed="false">
      <c r="A1557" s="4" t="s">
        <v>207</v>
      </c>
      <c r="B1557" s="4" t="s">
        <v>208</v>
      </c>
      <c r="C1557" s="4" t="s">
        <v>51</v>
      </c>
      <c r="D1557" s="16" t="n">
        <v>45778</v>
      </c>
      <c r="E1557" s="4" t="n">
        <v>2025</v>
      </c>
      <c r="F1557" s="4" t="n">
        <v>5</v>
      </c>
      <c r="G1557" s="17" t="n">
        <v>92276</v>
      </c>
      <c r="H1557" s="18" t="n">
        <f aca="false">G1557*$B$1/1000000</f>
        <v>0.203433757053831</v>
      </c>
    </row>
    <row r="1558" customFormat="false" ht="15" hidden="false" customHeight="false" outlineLevel="0" collapsed="false">
      <c r="A1558" s="4" t="s">
        <v>207</v>
      </c>
      <c r="B1558" s="4" t="s">
        <v>208</v>
      </c>
      <c r="C1558" s="4" t="s">
        <v>51</v>
      </c>
      <c r="D1558" s="16" t="n">
        <v>45809</v>
      </c>
      <c r="E1558" s="4" t="n">
        <v>2025</v>
      </c>
      <c r="F1558" s="4" t="n">
        <v>6</v>
      </c>
      <c r="G1558" s="17" t="n">
        <v>43280</v>
      </c>
      <c r="H1558" s="18" t="n">
        <f aca="false">G1558*$B$1/1000000</f>
        <v>0.095416067073668</v>
      </c>
    </row>
    <row r="1559" customFormat="false" ht="15" hidden="false" customHeight="false" outlineLevel="0" collapsed="false">
      <c r="A1559" s="4" t="s">
        <v>207</v>
      </c>
      <c r="B1559" s="4" t="s">
        <v>208</v>
      </c>
      <c r="C1559" s="4" t="s">
        <v>51</v>
      </c>
      <c r="D1559" s="16" t="n">
        <v>45839</v>
      </c>
      <c r="E1559" s="4" t="n">
        <v>2025</v>
      </c>
      <c r="F1559" s="4" t="n">
        <v>7</v>
      </c>
      <c r="G1559" s="17" t="n">
        <v>205424</v>
      </c>
      <c r="H1559" s="18" t="n">
        <f aca="false">G1559*$B$1/1000000</f>
        <v>0.452882397470914</v>
      </c>
    </row>
    <row r="1560" customFormat="false" ht="15" hidden="false" customHeight="false" outlineLevel="0" collapsed="false">
      <c r="A1560" s="4" t="s">
        <v>207</v>
      </c>
      <c r="B1560" s="4" t="s">
        <v>208</v>
      </c>
      <c r="C1560" s="4" t="s">
        <v>51</v>
      </c>
      <c r="D1560" s="16" t="n">
        <v>45870</v>
      </c>
      <c r="E1560" s="4" t="n">
        <v>2025</v>
      </c>
      <c r="F1560" s="4" t="n">
        <v>8</v>
      </c>
      <c r="G1560" s="17" t="n">
        <v>62475</v>
      </c>
      <c r="H1560" s="18" t="n">
        <f aca="false">G1560*$B$1/1000000</f>
        <v>0.137733798300079</v>
      </c>
    </row>
    <row r="1561" customFormat="false" ht="15" hidden="false" customHeight="false" outlineLevel="0" collapsed="false">
      <c r="A1561" s="4" t="s">
        <v>207</v>
      </c>
      <c r="B1561" s="4" t="s">
        <v>208</v>
      </c>
      <c r="C1561" s="4" t="s">
        <v>51</v>
      </c>
      <c r="D1561" s="16" t="n">
        <v>45901</v>
      </c>
      <c r="E1561" s="4" t="n">
        <v>2025</v>
      </c>
      <c r="F1561" s="4" t="n">
        <v>9</v>
      </c>
      <c r="G1561" s="17" t="n">
        <v>53768</v>
      </c>
      <c r="H1561" s="18" t="n">
        <f aca="false">G1561*$B$1/1000000</f>
        <v>0.118538149131631</v>
      </c>
    </row>
    <row r="1562" customFormat="false" ht="15" hidden="false" customHeight="false" outlineLevel="0" collapsed="false">
      <c r="A1562" s="4" t="s">
        <v>207</v>
      </c>
      <c r="B1562" s="4" t="s">
        <v>208</v>
      </c>
      <c r="C1562" s="4" t="s">
        <v>51</v>
      </c>
      <c r="D1562" s="16" t="n">
        <v>45931</v>
      </c>
      <c r="E1562" s="4" t="n">
        <v>2025</v>
      </c>
      <c r="F1562" s="4" t="n">
        <v>10</v>
      </c>
      <c r="G1562" s="17" t="n">
        <v>16000</v>
      </c>
      <c r="H1562" s="18" t="n">
        <f aca="false">G1562*$B$1/1000000</f>
        <v>0.0352739619496</v>
      </c>
    </row>
    <row r="1563" customFormat="false" ht="15" hidden="false" customHeight="false" outlineLevel="0" collapsed="false">
      <c r="A1563" s="4" t="s">
        <v>207</v>
      </c>
      <c r="B1563" s="4" t="s">
        <v>208</v>
      </c>
      <c r="C1563" s="4" t="s">
        <v>51</v>
      </c>
      <c r="D1563" s="16" t="n">
        <v>45962</v>
      </c>
      <c r="E1563" s="4" t="n">
        <v>2025</v>
      </c>
      <c r="F1563" s="4" t="n">
        <v>11</v>
      </c>
      <c r="G1563" s="17" t="n">
        <v>46855</v>
      </c>
      <c r="H1563" s="18" t="n">
        <f aca="false">G1563*$B$1/1000000</f>
        <v>0.103297592946782</v>
      </c>
    </row>
    <row r="1564" customFormat="false" ht="15" hidden="false" customHeight="false" outlineLevel="0" collapsed="false">
      <c r="A1564" s="4" t="s">
        <v>207</v>
      </c>
      <c r="B1564" s="4" t="s">
        <v>208</v>
      </c>
      <c r="C1564" s="4" t="s">
        <v>51</v>
      </c>
      <c r="D1564" s="16" t="n">
        <v>45992</v>
      </c>
      <c r="E1564" s="4" t="n">
        <v>2025</v>
      </c>
      <c r="F1564" s="4" t="n">
        <v>12</v>
      </c>
      <c r="G1564" s="17" t="n">
        <v>12000</v>
      </c>
      <c r="H1564" s="18" t="n">
        <f aca="false">G1564*$B$1/1000000</f>
        <v>0.0264554714622</v>
      </c>
    </row>
    <row r="1565" customFormat="false" ht="15" hidden="false" customHeight="false" outlineLevel="0" collapsed="false">
      <c r="A1565" s="4" t="s">
        <v>207</v>
      </c>
      <c r="B1565" s="4" t="s">
        <v>208</v>
      </c>
      <c r="C1565" s="4" t="s">
        <v>51</v>
      </c>
      <c r="D1565" s="16" t="n">
        <v>46023</v>
      </c>
      <c r="E1565" s="4" t="n">
        <v>2026</v>
      </c>
      <c r="F1565" s="4" t="n">
        <v>1</v>
      </c>
      <c r="G1565" s="17" t="n">
        <v>102360</v>
      </c>
      <c r="H1565" s="18" t="n">
        <f aca="false">G1565*$B$1/1000000</f>
        <v>0.225665171572566</v>
      </c>
    </row>
    <row r="1566" customFormat="false" ht="15" hidden="false" customHeight="false" outlineLevel="0" collapsed="false">
      <c r="A1566" s="4" t="s">
        <v>207</v>
      </c>
      <c r="B1566" s="4" t="s">
        <v>208</v>
      </c>
      <c r="C1566" s="4" t="s">
        <v>51</v>
      </c>
      <c r="D1566" s="16" t="n">
        <v>46054</v>
      </c>
      <c r="E1566" s="4" t="n">
        <v>2026</v>
      </c>
      <c r="F1566" s="4" t="n">
        <v>2</v>
      </c>
      <c r="G1566" s="17" t="n">
        <v>15640</v>
      </c>
      <c r="H1566" s="18" t="n">
        <f aca="false">G1566*$B$1/1000000</f>
        <v>0.034480297805734</v>
      </c>
    </row>
    <row r="1567" customFormat="false" ht="15" hidden="false" customHeight="false" outlineLevel="0" collapsed="false">
      <c r="A1567" s="4" t="s">
        <v>207</v>
      </c>
      <c r="B1567" s="4" t="s">
        <v>208</v>
      </c>
      <c r="C1567" s="4" t="s">
        <v>51</v>
      </c>
      <c r="D1567" s="16" t="n">
        <v>46082</v>
      </c>
      <c r="E1567" s="4" t="n">
        <v>2026</v>
      </c>
      <c r="F1567" s="4" t="n">
        <v>3</v>
      </c>
      <c r="G1567" s="17" t="n">
        <v>116575</v>
      </c>
      <c r="H1567" s="18" t="n">
        <f aca="false">G1567*$B$1/1000000</f>
        <v>0.257003882142164</v>
      </c>
    </row>
    <row r="1568" customFormat="false" ht="15" hidden="false" customHeight="false" outlineLevel="0" collapsed="false">
      <c r="A1568" s="4" t="s">
        <v>207</v>
      </c>
      <c r="B1568" s="4" t="s">
        <v>208</v>
      </c>
      <c r="C1568" s="4" t="s">
        <v>51</v>
      </c>
      <c r="D1568" s="16" t="n">
        <v>46113</v>
      </c>
      <c r="E1568" s="4" t="n">
        <v>2026</v>
      </c>
      <c r="F1568" s="4" t="n">
        <v>4</v>
      </c>
      <c r="G1568" s="17" t="n">
        <v>2719947</v>
      </c>
      <c r="H1568" s="18" t="n">
        <f aca="false">G1568*$B$1/1000000</f>
        <v>5.99645668643304</v>
      </c>
    </row>
    <row r="1569" customFormat="false" ht="15" hidden="false" customHeight="false" outlineLevel="0" collapsed="false">
      <c r="A1569" s="4" t="s">
        <v>207</v>
      </c>
      <c r="B1569" s="4" t="s">
        <v>208</v>
      </c>
      <c r="C1569" s="4" t="s">
        <v>51</v>
      </c>
      <c r="D1569" s="16" t="n">
        <v>46143</v>
      </c>
      <c r="E1569" s="4" t="n">
        <v>2026</v>
      </c>
      <c r="F1569" s="4" t="n">
        <v>5</v>
      </c>
      <c r="G1569" s="17" t="n">
        <v>86270</v>
      </c>
      <c r="H1569" s="18" t="n">
        <f aca="false">G1569*$B$1/1000000</f>
        <v>0.190192793587</v>
      </c>
    </row>
    <row r="1570" customFormat="false" ht="15" hidden="false" customHeight="false" outlineLevel="0" collapsed="false">
      <c r="A1570" s="4" t="s">
        <v>207</v>
      </c>
      <c r="B1570" s="4" t="s">
        <v>208</v>
      </c>
      <c r="C1570" s="4" t="s">
        <v>51</v>
      </c>
      <c r="D1570" s="16" t="n">
        <v>46174</v>
      </c>
      <c r="E1570" s="4" t="n">
        <v>2026</v>
      </c>
      <c r="F1570" s="4" t="n">
        <v>6</v>
      </c>
      <c r="G1570" s="17" t="n">
        <v>63497</v>
      </c>
      <c r="H1570" s="18" t="n">
        <f aca="false">G1570*$B$1/1000000</f>
        <v>0.139986922619609</v>
      </c>
    </row>
    <row r="1571" customFormat="false" ht="15" hidden="false" customHeight="false" outlineLevel="0" collapsed="false">
      <c r="A1571" s="4" t="s">
        <v>207</v>
      </c>
      <c r="B1571" s="4" t="s">
        <v>208</v>
      </c>
      <c r="C1571" s="4" t="s">
        <v>51</v>
      </c>
      <c r="D1571" s="16" t="n">
        <v>46204</v>
      </c>
      <c r="E1571" s="4" t="n">
        <v>2026</v>
      </c>
      <c r="F1571" s="4" t="n">
        <v>7</v>
      </c>
      <c r="G1571" s="17" t="n">
        <v>121781</v>
      </c>
      <c r="H1571" s="18" t="n">
        <f aca="false">G1571*$B$1/1000000</f>
        <v>0.268481147511515</v>
      </c>
    </row>
    <row r="1572" customFormat="false" ht="15" hidden="false" customHeight="false" outlineLevel="0" collapsed="false">
      <c r="A1572" s="4" t="s">
        <v>207</v>
      </c>
      <c r="B1572" s="4" t="s">
        <v>208</v>
      </c>
      <c r="C1572" s="4" t="s">
        <v>51</v>
      </c>
      <c r="D1572" s="16" t="n">
        <v>46235</v>
      </c>
      <c r="E1572" s="4" t="n">
        <v>2026</v>
      </c>
      <c r="F1572" s="4" t="n">
        <v>8</v>
      </c>
      <c r="G1572" s="17" t="n">
        <v>200</v>
      </c>
      <c r="H1572" s="18" t="n">
        <f aca="false">G1572*$B$1/1000000</f>
        <v>0.00044092452437</v>
      </c>
    </row>
    <row r="1573" customFormat="false" ht="15" hidden="false" customHeight="false" outlineLevel="0" collapsed="false">
      <c r="A1573" s="4" t="s">
        <v>207</v>
      </c>
      <c r="B1573" s="4" t="s">
        <v>208</v>
      </c>
      <c r="C1573" s="4" t="s">
        <v>126</v>
      </c>
      <c r="D1573" s="16" t="n">
        <v>45017</v>
      </c>
      <c r="E1573" s="4" t="n">
        <v>2023</v>
      </c>
      <c r="F1573" s="4" t="n">
        <v>4</v>
      </c>
      <c r="G1573" s="17" t="n">
        <v>4941165</v>
      </c>
      <c r="H1573" s="18" t="n">
        <f aca="false">G1573*$B$1/1000000</f>
        <v>10.8934041372935</v>
      </c>
    </row>
    <row r="1574" customFormat="false" ht="15" hidden="false" customHeight="false" outlineLevel="0" collapsed="false">
      <c r="A1574" s="4" t="s">
        <v>207</v>
      </c>
      <c r="B1574" s="4" t="s">
        <v>208</v>
      </c>
      <c r="C1574" s="4" t="s">
        <v>126</v>
      </c>
      <c r="D1574" s="16" t="n">
        <v>45108</v>
      </c>
      <c r="E1574" s="4" t="n">
        <v>2023</v>
      </c>
      <c r="F1574" s="4" t="n">
        <v>7</v>
      </c>
      <c r="G1574" s="17" t="n">
        <v>510532</v>
      </c>
      <c r="H1574" s="18" t="n">
        <f aca="false">G1574*$B$1/1000000</f>
        <v>1.12553039637832</v>
      </c>
    </row>
    <row r="1575" customFormat="false" ht="15" hidden="false" customHeight="false" outlineLevel="0" collapsed="false">
      <c r="A1575" s="4" t="s">
        <v>207</v>
      </c>
      <c r="B1575" s="4" t="s">
        <v>208</v>
      </c>
      <c r="C1575" s="4" t="s">
        <v>126</v>
      </c>
      <c r="D1575" s="16" t="n">
        <v>45139</v>
      </c>
      <c r="E1575" s="4" t="n">
        <v>2023</v>
      </c>
      <c r="F1575" s="4" t="n">
        <v>8</v>
      </c>
      <c r="G1575" s="17" t="n">
        <v>3499956</v>
      </c>
      <c r="H1575" s="18" t="n">
        <f aca="false">G1575*$B$1/1000000</f>
        <v>7.71608217307964</v>
      </c>
    </row>
    <row r="1576" customFormat="false" ht="15" hidden="false" customHeight="false" outlineLevel="0" collapsed="false">
      <c r="A1576" s="4" t="s">
        <v>207</v>
      </c>
      <c r="B1576" s="4" t="s">
        <v>208</v>
      </c>
      <c r="C1576" s="4" t="s">
        <v>126</v>
      </c>
      <c r="D1576" s="16" t="n">
        <v>45200</v>
      </c>
      <c r="E1576" s="4" t="n">
        <v>2023</v>
      </c>
      <c r="F1576" s="4" t="n">
        <v>10</v>
      </c>
      <c r="G1576" s="17" t="n">
        <v>590910</v>
      </c>
      <c r="H1576" s="18" t="n">
        <f aca="false">G1576*$B$1/1000000</f>
        <v>1.30273355347738</v>
      </c>
    </row>
    <row r="1577" customFormat="false" ht="15" hidden="false" customHeight="false" outlineLevel="0" collapsed="false">
      <c r="A1577" s="4" t="s">
        <v>207</v>
      </c>
      <c r="B1577" s="4" t="s">
        <v>208</v>
      </c>
      <c r="C1577" s="4" t="s">
        <v>126</v>
      </c>
      <c r="D1577" s="16" t="n">
        <v>45231</v>
      </c>
      <c r="E1577" s="4" t="n">
        <v>2023</v>
      </c>
      <c r="F1577" s="4" t="n">
        <v>11</v>
      </c>
      <c r="G1577" s="17" t="n">
        <v>197295</v>
      </c>
      <c r="H1577" s="18" t="n">
        <f aca="false">G1577*$B$1/1000000</f>
        <v>0.434961020177896</v>
      </c>
    </row>
    <row r="1578" customFormat="false" ht="15" hidden="false" customHeight="false" outlineLevel="0" collapsed="false">
      <c r="A1578" s="4" t="s">
        <v>207</v>
      </c>
      <c r="B1578" s="4" t="s">
        <v>208</v>
      </c>
      <c r="C1578" s="4" t="s">
        <v>126</v>
      </c>
      <c r="D1578" s="16" t="n">
        <v>45261</v>
      </c>
      <c r="E1578" s="4" t="n">
        <v>2023</v>
      </c>
      <c r="F1578" s="4" t="n">
        <v>12</v>
      </c>
      <c r="G1578" s="17" t="n">
        <v>2688561</v>
      </c>
      <c r="H1578" s="18" t="n">
        <f aca="false">G1578*$B$1/1000000</f>
        <v>5.92726240082366</v>
      </c>
    </row>
    <row r="1579" customFormat="false" ht="15" hidden="false" customHeight="false" outlineLevel="0" collapsed="false">
      <c r="A1579" s="4" t="s">
        <v>207</v>
      </c>
      <c r="B1579" s="4" t="s">
        <v>208</v>
      </c>
      <c r="C1579" s="4" t="s">
        <v>126</v>
      </c>
      <c r="D1579" s="16" t="n">
        <v>45292</v>
      </c>
      <c r="E1579" s="4" t="n">
        <v>2024</v>
      </c>
      <c r="F1579" s="4" t="n">
        <v>1</v>
      </c>
      <c r="G1579" s="17" t="n">
        <v>3884023</v>
      </c>
      <c r="H1579" s="18" t="n">
        <f aca="false">G1579*$B$1/1000000</f>
        <v>8.5628049695857</v>
      </c>
    </row>
    <row r="1580" customFormat="false" ht="15" hidden="false" customHeight="false" outlineLevel="0" collapsed="false">
      <c r="A1580" s="4" t="s">
        <v>207</v>
      </c>
      <c r="B1580" s="4" t="s">
        <v>208</v>
      </c>
      <c r="C1580" s="4" t="s">
        <v>126</v>
      </c>
      <c r="D1580" s="16" t="n">
        <v>45352</v>
      </c>
      <c r="E1580" s="4" t="n">
        <v>2024</v>
      </c>
      <c r="F1580" s="4" t="n">
        <v>3</v>
      </c>
      <c r="G1580" s="17" t="n">
        <v>11057314</v>
      </c>
      <c r="H1580" s="18" t="n">
        <f aca="false">G1580*$B$1/1000000</f>
        <v>24.3772045812987</v>
      </c>
    </row>
    <row r="1581" customFormat="false" ht="15" hidden="false" customHeight="false" outlineLevel="0" collapsed="false">
      <c r="A1581" s="4" t="s">
        <v>207</v>
      </c>
      <c r="B1581" s="4" t="s">
        <v>208</v>
      </c>
      <c r="C1581" s="4" t="s">
        <v>126</v>
      </c>
      <c r="D1581" s="16" t="n">
        <v>45383</v>
      </c>
      <c r="E1581" s="4" t="n">
        <v>2024</v>
      </c>
      <c r="F1581" s="4" t="n">
        <v>4</v>
      </c>
      <c r="G1581" s="17" t="n">
        <v>4735888</v>
      </c>
      <c r="H1581" s="18" t="n">
        <f aca="false">G1581*$B$1/1000000</f>
        <v>10.440845819348</v>
      </c>
    </row>
    <row r="1582" customFormat="false" ht="15" hidden="false" customHeight="false" outlineLevel="0" collapsed="false">
      <c r="A1582" s="4" t="s">
        <v>207</v>
      </c>
      <c r="B1582" s="4" t="s">
        <v>208</v>
      </c>
      <c r="C1582" s="4" t="s">
        <v>126</v>
      </c>
      <c r="D1582" s="16" t="n">
        <v>45413</v>
      </c>
      <c r="E1582" s="4" t="n">
        <v>2024</v>
      </c>
      <c r="F1582" s="4" t="n">
        <v>5</v>
      </c>
      <c r="G1582" s="17" t="n">
        <v>14444079</v>
      </c>
      <c r="H1582" s="18" t="n">
        <f aca="false">G1582*$B$1/1000000</f>
        <v>31.8437433151885</v>
      </c>
    </row>
    <row r="1583" customFormat="false" ht="15" hidden="false" customHeight="false" outlineLevel="0" collapsed="false">
      <c r="A1583" s="4" t="s">
        <v>207</v>
      </c>
      <c r="B1583" s="4" t="s">
        <v>208</v>
      </c>
      <c r="C1583" s="4" t="s">
        <v>126</v>
      </c>
      <c r="D1583" s="16" t="n">
        <v>45474</v>
      </c>
      <c r="E1583" s="4" t="n">
        <v>2024</v>
      </c>
      <c r="F1583" s="4" t="n">
        <v>7</v>
      </c>
      <c r="G1583" s="17" t="n">
        <v>14296683</v>
      </c>
      <c r="H1583" s="18" t="n">
        <f aca="false">G1583*$B$1/1000000</f>
        <v>31.5187907592183</v>
      </c>
    </row>
    <row r="1584" customFormat="false" ht="15" hidden="false" customHeight="false" outlineLevel="0" collapsed="false">
      <c r="A1584" s="4" t="s">
        <v>207</v>
      </c>
      <c r="B1584" s="4" t="s">
        <v>208</v>
      </c>
      <c r="C1584" s="4" t="s">
        <v>126</v>
      </c>
      <c r="D1584" s="16" t="n">
        <v>45505</v>
      </c>
      <c r="E1584" s="4" t="n">
        <v>2024</v>
      </c>
      <c r="F1584" s="4" t="n">
        <v>8</v>
      </c>
      <c r="G1584" s="17" t="n">
        <v>638522</v>
      </c>
      <c r="H1584" s="18" t="n">
        <f aca="false">G1584*$B$1/1000000</f>
        <v>1.40770004574891</v>
      </c>
    </row>
    <row r="1585" customFormat="false" ht="15" hidden="false" customHeight="false" outlineLevel="0" collapsed="false">
      <c r="A1585" s="4" t="s">
        <v>207</v>
      </c>
      <c r="B1585" s="4" t="s">
        <v>208</v>
      </c>
      <c r="C1585" s="4" t="s">
        <v>126</v>
      </c>
      <c r="D1585" s="16" t="n">
        <v>45536</v>
      </c>
      <c r="E1585" s="4" t="n">
        <v>2024</v>
      </c>
      <c r="F1585" s="4" t="n">
        <v>9</v>
      </c>
      <c r="G1585" s="17" t="n">
        <v>5428132</v>
      </c>
      <c r="H1585" s="18" t="n">
        <f aca="false">G1585*$B$1/1000000</f>
        <v>11.9669826015879</v>
      </c>
    </row>
    <row r="1586" customFormat="false" ht="15" hidden="false" customHeight="false" outlineLevel="0" collapsed="false">
      <c r="A1586" s="4" t="s">
        <v>207</v>
      </c>
      <c r="B1586" s="4" t="s">
        <v>208</v>
      </c>
      <c r="C1586" s="4" t="s">
        <v>126</v>
      </c>
      <c r="D1586" s="16" t="n">
        <v>45566</v>
      </c>
      <c r="E1586" s="4" t="n">
        <v>2024</v>
      </c>
      <c r="F1586" s="4" t="n">
        <v>10</v>
      </c>
      <c r="G1586" s="17" t="n">
        <v>19594233</v>
      </c>
      <c r="H1586" s="18" t="n">
        <f aca="false">G1586*$B$1/1000000</f>
        <v>43.1978893295998</v>
      </c>
    </row>
    <row r="1587" customFormat="false" ht="15" hidden="false" customHeight="false" outlineLevel="0" collapsed="false">
      <c r="A1587" s="4" t="s">
        <v>207</v>
      </c>
      <c r="B1587" s="4" t="s">
        <v>208</v>
      </c>
      <c r="C1587" s="4" t="s">
        <v>126</v>
      </c>
      <c r="D1587" s="16" t="n">
        <v>45597</v>
      </c>
      <c r="E1587" s="4" t="n">
        <v>2024</v>
      </c>
      <c r="F1587" s="4" t="n">
        <v>11</v>
      </c>
      <c r="G1587" s="17" t="n">
        <v>5264301</v>
      </c>
      <c r="H1587" s="18" t="n">
        <f aca="false">G1587*$B$1/1000000</f>
        <v>11.6057970728276</v>
      </c>
    </row>
    <row r="1588" customFormat="false" ht="15" hidden="false" customHeight="false" outlineLevel="0" collapsed="false">
      <c r="A1588" s="4" t="s">
        <v>207</v>
      </c>
      <c r="B1588" s="4" t="s">
        <v>208</v>
      </c>
      <c r="C1588" s="4" t="s">
        <v>126</v>
      </c>
      <c r="D1588" s="16" t="n">
        <v>45627</v>
      </c>
      <c r="E1588" s="4" t="n">
        <v>2024</v>
      </c>
      <c r="F1588" s="4" t="n">
        <v>12</v>
      </c>
      <c r="G1588" s="17" t="n">
        <v>887198</v>
      </c>
      <c r="H1588" s="18" t="n">
        <f aca="false">G1588*$B$1/1000000</f>
        <v>1.95593678086008</v>
      </c>
    </row>
    <row r="1589" customFormat="false" ht="15" hidden="false" customHeight="false" outlineLevel="0" collapsed="false">
      <c r="A1589" s="4" t="s">
        <v>207</v>
      </c>
      <c r="B1589" s="4" t="s">
        <v>208</v>
      </c>
      <c r="C1589" s="4" t="s">
        <v>126</v>
      </c>
      <c r="D1589" s="16" t="n">
        <v>45658</v>
      </c>
      <c r="E1589" s="4" t="n">
        <v>2025</v>
      </c>
      <c r="F1589" s="4" t="n">
        <v>1</v>
      </c>
      <c r="G1589" s="17" t="n">
        <v>26958995</v>
      </c>
      <c r="H1589" s="18" t="n">
        <f aca="false">G1589*$B$1/1000000</f>
        <v>59.434410239341</v>
      </c>
    </row>
    <row r="1590" customFormat="false" ht="15" hidden="false" customHeight="false" outlineLevel="0" collapsed="false">
      <c r="A1590" s="4" t="s">
        <v>207</v>
      </c>
      <c r="B1590" s="4" t="s">
        <v>208</v>
      </c>
      <c r="C1590" s="4" t="s">
        <v>126</v>
      </c>
      <c r="D1590" s="16" t="n">
        <v>45689</v>
      </c>
      <c r="E1590" s="4" t="n">
        <v>2025</v>
      </c>
      <c r="F1590" s="4" t="n">
        <v>2</v>
      </c>
      <c r="G1590" s="17" t="n">
        <v>13750781</v>
      </c>
      <c r="H1590" s="18" t="n">
        <f aca="false">G1590*$B$1/1000000</f>
        <v>30.3152828607052</v>
      </c>
    </row>
    <row r="1591" customFormat="false" ht="15" hidden="false" customHeight="false" outlineLevel="0" collapsed="false">
      <c r="A1591" s="4" t="s">
        <v>207</v>
      </c>
      <c r="B1591" s="4" t="s">
        <v>208</v>
      </c>
      <c r="C1591" s="4" t="s">
        <v>126</v>
      </c>
      <c r="D1591" s="16" t="n">
        <v>45717</v>
      </c>
      <c r="E1591" s="4" t="n">
        <v>2025</v>
      </c>
      <c r="F1591" s="4" t="n">
        <v>3</v>
      </c>
      <c r="G1591" s="17" t="n">
        <v>15836741</v>
      </c>
      <c r="H1591" s="18" t="n">
        <f aca="false">G1591*$B$1/1000000</f>
        <v>34.9140374649794</v>
      </c>
    </row>
    <row r="1592" customFormat="false" ht="15" hidden="false" customHeight="false" outlineLevel="0" collapsed="false">
      <c r="A1592" s="4" t="s">
        <v>207</v>
      </c>
      <c r="B1592" s="4" t="s">
        <v>208</v>
      </c>
      <c r="C1592" s="4" t="s">
        <v>126</v>
      </c>
      <c r="D1592" s="16" t="n">
        <v>45778</v>
      </c>
      <c r="E1592" s="4" t="n">
        <v>2025</v>
      </c>
      <c r="F1592" s="4" t="n">
        <v>5</v>
      </c>
      <c r="G1592" s="17" t="n">
        <v>1993817</v>
      </c>
      <c r="H1592" s="18" t="n">
        <f aca="false">G1592*$B$1/1000000</f>
        <v>4.3956140620291</v>
      </c>
    </row>
    <row r="1593" customFormat="false" ht="15" hidden="false" customHeight="false" outlineLevel="0" collapsed="false">
      <c r="A1593" s="4" t="s">
        <v>207</v>
      </c>
      <c r="B1593" s="4" t="s">
        <v>208</v>
      </c>
      <c r="C1593" s="4" t="s">
        <v>126</v>
      </c>
      <c r="D1593" s="16" t="n">
        <v>45839</v>
      </c>
      <c r="E1593" s="4" t="n">
        <v>2025</v>
      </c>
      <c r="F1593" s="4" t="n">
        <v>7</v>
      </c>
      <c r="G1593" s="17" t="n">
        <v>2013853</v>
      </c>
      <c r="H1593" s="18" t="n">
        <f aca="false">G1593*$B$1/1000000</f>
        <v>4.43978588088049</v>
      </c>
    </row>
    <row r="1594" customFormat="false" ht="15" hidden="false" customHeight="false" outlineLevel="0" collapsed="false">
      <c r="A1594" s="4" t="s">
        <v>207</v>
      </c>
      <c r="B1594" s="4" t="s">
        <v>208</v>
      </c>
      <c r="C1594" s="4" t="s">
        <v>126</v>
      </c>
      <c r="D1594" s="16" t="n">
        <v>45931</v>
      </c>
      <c r="E1594" s="4" t="n">
        <v>2025</v>
      </c>
      <c r="F1594" s="4" t="n">
        <v>10</v>
      </c>
      <c r="G1594" s="17" t="n">
        <v>20429512</v>
      </c>
      <c r="H1594" s="18" t="n">
        <f aca="false">G1594*$B$1/1000000</f>
        <v>45.039364308556</v>
      </c>
    </row>
    <row r="1595" customFormat="false" ht="15" hidden="false" customHeight="false" outlineLevel="0" collapsed="false">
      <c r="A1595" s="4" t="s">
        <v>207</v>
      </c>
      <c r="B1595" s="4" t="s">
        <v>208</v>
      </c>
      <c r="C1595" s="4" t="s">
        <v>126</v>
      </c>
      <c r="D1595" s="16" t="n">
        <v>45962</v>
      </c>
      <c r="E1595" s="4" t="n">
        <v>2025</v>
      </c>
      <c r="F1595" s="4" t="n">
        <v>11</v>
      </c>
      <c r="G1595" s="17" t="n">
        <v>15077544</v>
      </c>
      <c r="H1595" s="18" t="n">
        <f aca="false">G1595*$B$1/1000000</f>
        <v>33.2402945843387</v>
      </c>
    </row>
    <row r="1596" customFormat="false" ht="15" hidden="false" customHeight="false" outlineLevel="0" collapsed="false">
      <c r="A1596" s="4" t="s">
        <v>207</v>
      </c>
      <c r="B1596" s="4" t="s">
        <v>208</v>
      </c>
      <c r="C1596" s="4" t="s">
        <v>126</v>
      </c>
      <c r="D1596" s="16" t="n">
        <v>46113</v>
      </c>
      <c r="E1596" s="4" t="n">
        <v>2026</v>
      </c>
      <c r="F1596" s="4" t="n">
        <v>4</v>
      </c>
      <c r="G1596" s="17" t="n">
        <v>24000</v>
      </c>
      <c r="H1596" s="18" t="n">
        <f aca="false">G1596*$B$1/1000000</f>
        <v>0.0529109429244</v>
      </c>
    </row>
    <row r="1597" customFormat="false" ht="15" hidden="false" customHeight="false" outlineLevel="0" collapsed="false">
      <c r="A1597" s="4" t="s">
        <v>207</v>
      </c>
      <c r="B1597" s="4" t="s">
        <v>208</v>
      </c>
      <c r="C1597" s="4" t="s">
        <v>126</v>
      </c>
      <c r="D1597" s="16" t="n">
        <v>46143</v>
      </c>
      <c r="E1597" s="4" t="n">
        <v>2026</v>
      </c>
      <c r="F1597" s="4" t="n">
        <v>5</v>
      </c>
      <c r="G1597" s="17" t="n">
        <v>18288037</v>
      </c>
      <c r="H1597" s="18" t="n">
        <f aca="false">G1597*$B$1/1000000</f>
        <v>40.3182200794298</v>
      </c>
    </row>
    <row r="1598" customFormat="false" ht="15" hidden="false" customHeight="false" outlineLevel="0" collapsed="false">
      <c r="A1598" s="4" t="s">
        <v>207</v>
      </c>
      <c r="B1598" s="4" t="s">
        <v>208</v>
      </c>
      <c r="C1598" s="4" t="s">
        <v>126</v>
      </c>
      <c r="D1598" s="16" t="n">
        <v>46174</v>
      </c>
      <c r="E1598" s="4" t="n">
        <v>2026</v>
      </c>
      <c r="F1598" s="4" t="n">
        <v>6</v>
      </c>
      <c r="G1598" s="17" t="n">
        <v>19992978</v>
      </c>
      <c r="H1598" s="18" t="n">
        <f aca="false">G1598*$B$1/1000000</f>
        <v>44.0769715769494</v>
      </c>
    </row>
    <row r="1599" customFormat="false" ht="15" hidden="false" customHeight="false" outlineLevel="0" collapsed="false">
      <c r="A1599" s="4" t="s">
        <v>207</v>
      </c>
      <c r="B1599" s="4" t="s">
        <v>208</v>
      </c>
      <c r="C1599" s="4" t="s">
        <v>126</v>
      </c>
      <c r="D1599" s="16" t="n">
        <v>46204</v>
      </c>
      <c r="E1599" s="4" t="n">
        <v>2026</v>
      </c>
      <c r="F1599" s="4" t="n">
        <v>7</v>
      </c>
      <c r="G1599" s="17" t="n">
        <v>6609915</v>
      </c>
      <c r="H1599" s="18" t="n">
        <f aca="false">G1599*$B$1/1000000</f>
        <v>14.5723681375056</v>
      </c>
    </row>
    <row r="1600" customFormat="false" ht="15" hidden="false" customHeight="false" outlineLevel="0" collapsed="false">
      <c r="A1600" s="4" t="s">
        <v>207</v>
      </c>
      <c r="B1600" s="4" t="s">
        <v>208</v>
      </c>
      <c r="C1600" s="4" t="s">
        <v>126</v>
      </c>
      <c r="D1600" s="16" t="n">
        <v>46235</v>
      </c>
      <c r="E1600" s="4" t="n">
        <v>2026</v>
      </c>
      <c r="F1600" s="4" t="n">
        <v>8</v>
      </c>
      <c r="G1600" s="17" t="n">
        <v>15028234</v>
      </c>
      <c r="H1600" s="18" t="n">
        <f aca="false">G1600*$B$1/1000000</f>
        <v>33.1315846428553</v>
      </c>
    </row>
    <row r="1601" customFormat="false" ht="15" hidden="false" customHeight="false" outlineLevel="0" collapsed="false">
      <c r="A1601" s="4" t="s">
        <v>207</v>
      </c>
      <c r="B1601" s="4" t="s">
        <v>208</v>
      </c>
      <c r="C1601" s="4" t="s">
        <v>130</v>
      </c>
      <c r="D1601" s="16" t="n">
        <v>45170</v>
      </c>
      <c r="E1601" s="4" t="n">
        <v>2023</v>
      </c>
      <c r="F1601" s="4" t="n">
        <v>9</v>
      </c>
      <c r="G1601" s="17" t="n">
        <v>864153</v>
      </c>
      <c r="H1601" s="18" t="n">
        <f aca="false">G1601*$B$1/1000000</f>
        <v>1.90513125253954</v>
      </c>
    </row>
    <row r="1602" customFormat="false" ht="15" hidden="false" customHeight="false" outlineLevel="0" collapsed="false">
      <c r="A1602" s="4" t="s">
        <v>207</v>
      </c>
      <c r="B1602" s="4" t="s">
        <v>208</v>
      </c>
      <c r="C1602" s="4" t="s">
        <v>130</v>
      </c>
      <c r="D1602" s="16" t="n">
        <v>45292</v>
      </c>
      <c r="E1602" s="4" t="n">
        <v>2024</v>
      </c>
      <c r="F1602" s="4" t="n">
        <v>1</v>
      </c>
      <c r="G1602" s="17" t="n">
        <v>1541664</v>
      </c>
      <c r="H1602" s="18" t="n">
        <f aca="false">G1602*$B$1/1000000</f>
        <v>3.39878732969176</v>
      </c>
    </row>
    <row r="1603" customFormat="false" ht="15" hidden="false" customHeight="false" outlineLevel="0" collapsed="false">
      <c r="A1603" s="4" t="s">
        <v>207</v>
      </c>
      <c r="B1603" s="4" t="s">
        <v>208</v>
      </c>
      <c r="C1603" s="4" t="s">
        <v>130</v>
      </c>
      <c r="D1603" s="16" t="n">
        <v>45352</v>
      </c>
      <c r="E1603" s="4" t="n">
        <v>2024</v>
      </c>
      <c r="F1603" s="4" t="n">
        <v>3</v>
      </c>
      <c r="G1603" s="17" t="n">
        <v>7215290</v>
      </c>
      <c r="H1603" s="18" t="n">
        <f aca="false">G1603*$B$1/1000000</f>
        <v>15.9069915572081</v>
      </c>
    </row>
    <row r="1604" customFormat="false" ht="15" hidden="false" customHeight="false" outlineLevel="0" collapsed="false">
      <c r="A1604" s="4" t="s">
        <v>207</v>
      </c>
      <c r="B1604" s="4" t="s">
        <v>208</v>
      </c>
      <c r="C1604" s="4" t="s">
        <v>130</v>
      </c>
      <c r="D1604" s="16" t="n">
        <v>45383</v>
      </c>
      <c r="E1604" s="4" t="n">
        <v>2024</v>
      </c>
      <c r="F1604" s="4" t="n">
        <v>4</v>
      </c>
      <c r="G1604" s="17" t="n">
        <v>1530984</v>
      </c>
      <c r="H1604" s="18" t="n">
        <f aca="false">G1604*$B$1/1000000</f>
        <v>3.3752419600904</v>
      </c>
    </row>
    <row r="1605" customFormat="false" ht="15" hidden="false" customHeight="false" outlineLevel="0" collapsed="false">
      <c r="A1605" s="4" t="s">
        <v>207</v>
      </c>
      <c r="B1605" s="4" t="s">
        <v>208</v>
      </c>
      <c r="C1605" s="4" t="s">
        <v>130</v>
      </c>
      <c r="D1605" s="16" t="n">
        <v>45413</v>
      </c>
      <c r="E1605" s="4" t="n">
        <v>2024</v>
      </c>
      <c r="F1605" s="4" t="n">
        <v>5</v>
      </c>
      <c r="G1605" s="17" t="n">
        <v>8051880</v>
      </c>
      <c r="H1605" s="18" t="n">
        <f aca="false">G1605*$B$1/1000000</f>
        <v>17.7513567964216</v>
      </c>
    </row>
    <row r="1606" customFormat="false" ht="15" hidden="false" customHeight="false" outlineLevel="0" collapsed="false">
      <c r="A1606" s="4" t="s">
        <v>207</v>
      </c>
      <c r="B1606" s="4" t="s">
        <v>208</v>
      </c>
      <c r="C1606" s="4" t="s">
        <v>130</v>
      </c>
      <c r="D1606" s="16" t="n">
        <v>45474</v>
      </c>
      <c r="E1606" s="4" t="n">
        <v>2024</v>
      </c>
      <c r="F1606" s="4" t="n">
        <v>7</v>
      </c>
      <c r="G1606" s="17" t="n">
        <v>6003988</v>
      </c>
      <c r="H1606" s="18" t="n">
        <f aca="false">G1606*$B$1/1000000</f>
        <v>13.2365277661159</v>
      </c>
    </row>
    <row r="1607" customFormat="false" ht="15" hidden="false" customHeight="false" outlineLevel="0" collapsed="false">
      <c r="A1607" s="4" t="s">
        <v>207</v>
      </c>
      <c r="B1607" s="4" t="s">
        <v>208</v>
      </c>
      <c r="C1607" s="4" t="s">
        <v>130</v>
      </c>
      <c r="D1607" s="16" t="n">
        <v>45536</v>
      </c>
      <c r="E1607" s="4" t="n">
        <v>2024</v>
      </c>
      <c r="F1607" s="4" t="n">
        <v>9</v>
      </c>
      <c r="G1607" s="17" t="n">
        <v>7863183</v>
      </c>
      <c r="H1607" s="18" t="n">
        <f aca="false">G1607*$B$1/1000000</f>
        <v>17.3353511215464</v>
      </c>
    </row>
    <row r="1608" customFormat="false" ht="15" hidden="false" customHeight="false" outlineLevel="0" collapsed="false">
      <c r="A1608" s="4" t="s">
        <v>207</v>
      </c>
      <c r="B1608" s="4" t="s">
        <v>208</v>
      </c>
      <c r="C1608" s="4" t="s">
        <v>130</v>
      </c>
      <c r="D1608" s="16" t="n">
        <v>45566</v>
      </c>
      <c r="E1608" s="4" t="n">
        <v>2024</v>
      </c>
      <c r="F1608" s="4" t="n">
        <v>10</v>
      </c>
      <c r="G1608" s="17" t="n">
        <v>241920</v>
      </c>
      <c r="H1608" s="18" t="n">
        <f aca="false">G1608*$B$1/1000000</f>
        <v>0.533342304677952</v>
      </c>
    </row>
    <row r="1609" customFormat="false" ht="15" hidden="false" customHeight="false" outlineLevel="0" collapsed="false">
      <c r="A1609" s="4" t="s">
        <v>207</v>
      </c>
      <c r="B1609" s="4" t="s">
        <v>208</v>
      </c>
      <c r="C1609" s="4" t="s">
        <v>130</v>
      </c>
      <c r="D1609" s="16" t="n">
        <v>45597</v>
      </c>
      <c r="E1609" s="4" t="n">
        <v>2024</v>
      </c>
      <c r="F1609" s="4" t="n">
        <v>11</v>
      </c>
      <c r="G1609" s="17" t="n">
        <v>6998326</v>
      </c>
      <c r="H1609" s="18" t="n">
        <f aca="false">G1609*$B$1/1000000</f>
        <v>15.428667814681</v>
      </c>
    </row>
    <row r="1610" customFormat="false" ht="15" hidden="false" customHeight="false" outlineLevel="0" collapsed="false">
      <c r="A1610" s="4" t="s">
        <v>207</v>
      </c>
      <c r="B1610" s="4" t="s">
        <v>208</v>
      </c>
      <c r="C1610" s="4" t="s">
        <v>130</v>
      </c>
      <c r="D1610" s="16" t="n">
        <v>45627</v>
      </c>
      <c r="E1610" s="4" t="n">
        <v>2024</v>
      </c>
      <c r="F1610" s="4" t="n">
        <v>12</v>
      </c>
      <c r="G1610" s="17" t="n">
        <v>5709270</v>
      </c>
      <c r="H1610" s="18" t="n">
        <f aca="false">G1610*$B$1/1000000</f>
        <v>12.5867857962496</v>
      </c>
    </row>
    <row r="1611" customFormat="false" ht="15" hidden="false" customHeight="false" outlineLevel="0" collapsed="false">
      <c r="A1611" s="4" t="s">
        <v>207</v>
      </c>
      <c r="B1611" s="4" t="s">
        <v>208</v>
      </c>
      <c r="C1611" s="4" t="s">
        <v>130</v>
      </c>
      <c r="D1611" s="16" t="n">
        <v>45658</v>
      </c>
      <c r="E1611" s="4" t="n">
        <v>2025</v>
      </c>
      <c r="F1611" s="4" t="n">
        <v>1</v>
      </c>
      <c r="G1611" s="17" t="n">
        <v>6807790</v>
      </c>
      <c r="H1611" s="18" t="n">
        <f aca="false">G1611*$B$1/1000000</f>
        <v>15.0086078388042</v>
      </c>
    </row>
    <row r="1612" customFormat="false" ht="15" hidden="false" customHeight="false" outlineLevel="0" collapsed="false">
      <c r="A1612" s="4" t="s">
        <v>207</v>
      </c>
      <c r="B1612" s="4" t="s">
        <v>208</v>
      </c>
      <c r="C1612" s="4" t="s">
        <v>130</v>
      </c>
      <c r="D1612" s="16" t="n">
        <v>45689</v>
      </c>
      <c r="E1612" s="4" t="n">
        <v>2025</v>
      </c>
      <c r="F1612" s="4" t="n">
        <v>2</v>
      </c>
      <c r="G1612" s="17" t="n">
        <v>5991789</v>
      </c>
      <c r="H1612" s="18" t="n">
        <f aca="false">G1612*$B$1/1000000</f>
        <v>13.209633574752</v>
      </c>
    </row>
    <row r="1613" customFormat="false" ht="15" hidden="false" customHeight="false" outlineLevel="0" collapsed="false">
      <c r="A1613" s="4" t="s">
        <v>207</v>
      </c>
      <c r="B1613" s="4" t="s">
        <v>208</v>
      </c>
      <c r="C1613" s="4" t="s">
        <v>130</v>
      </c>
      <c r="D1613" s="16" t="n">
        <v>45717</v>
      </c>
      <c r="E1613" s="4" t="n">
        <v>2025</v>
      </c>
      <c r="F1613" s="4" t="n">
        <v>3</v>
      </c>
      <c r="G1613" s="17" t="n">
        <v>4901859</v>
      </c>
      <c r="H1613" s="18" t="n">
        <f aca="false">G1613*$B$1/1000000</f>
        <v>10.806749240519</v>
      </c>
    </row>
    <row r="1614" customFormat="false" ht="15" hidden="false" customHeight="false" outlineLevel="0" collapsed="false">
      <c r="A1614" s="4" t="s">
        <v>207</v>
      </c>
      <c r="B1614" s="4" t="s">
        <v>208</v>
      </c>
      <c r="C1614" s="4" t="s">
        <v>130</v>
      </c>
      <c r="D1614" s="16" t="n">
        <v>45778</v>
      </c>
      <c r="E1614" s="4" t="n">
        <v>2025</v>
      </c>
      <c r="F1614" s="4" t="n">
        <v>5</v>
      </c>
      <c r="G1614" s="17" t="n">
        <v>568525</v>
      </c>
      <c r="H1614" s="18" t="n">
        <f aca="false">G1614*$B$1/1000000</f>
        <v>1.25338307608727</v>
      </c>
    </row>
    <row r="1615" customFormat="false" ht="15" hidden="false" customHeight="false" outlineLevel="0" collapsed="false">
      <c r="A1615" s="4" t="s">
        <v>207</v>
      </c>
      <c r="B1615" s="4" t="s">
        <v>208</v>
      </c>
      <c r="C1615" s="4" t="s">
        <v>130</v>
      </c>
      <c r="D1615" s="16" t="n">
        <v>45962</v>
      </c>
      <c r="E1615" s="4" t="n">
        <v>2025</v>
      </c>
      <c r="F1615" s="4" t="n">
        <v>11</v>
      </c>
      <c r="G1615" s="17" t="n">
        <v>878581</v>
      </c>
      <c r="H1615" s="18" t="n">
        <f aca="false">G1615*$B$1/1000000</f>
        <v>1.93693954772759</v>
      </c>
    </row>
    <row r="1616" customFormat="false" ht="15" hidden="false" customHeight="false" outlineLevel="0" collapsed="false">
      <c r="A1616" s="4" t="s">
        <v>207</v>
      </c>
      <c r="B1616" s="4" t="s">
        <v>208</v>
      </c>
      <c r="C1616" s="4" t="s">
        <v>130</v>
      </c>
      <c r="D1616" s="16" t="n">
        <v>46174</v>
      </c>
      <c r="E1616" s="4" t="n">
        <v>2026</v>
      </c>
      <c r="F1616" s="4" t="n">
        <v>6</v>
      </c>
      <c r="G1616" s="17" t="n">
        <v>334224</v>
      </c>
      <c r="H1616" s="18" t="n">
        <f aca="false">G1616*$B$1/1000000</f>
        <v>0.736837791165194</v>
      </c>
    </row>
    <row r="1617" customFormat="false" ht="15" hidden="false" customHeight="false" outlineLevel="0" collapsed="false">
      <c r="A1617" s="4" t="s">
        <v>207</v>
      </c>
      <c r="B1617" s="4" t="s">
        <v>208</v>
      </c>
      <c r="C1617" s="4" t="s">
        <v>130</v>
      </c>
      <c r="D1617" s="16" t="n">
        <v>46235</v>
      </c>
      <c r="E1617" s="4" t="n">
        <v>2026</v>
      </c>
      <c r="F1617" s="4" t="n">
        <v>8</v>
      </c>
      <c r="G1617" s="17" t="n">
        <v>205800</v>
      </c>
      <c r="H1617" s="18" t="n">
        <f aca="false">G1617*$B$1/1000000</f>
        <v>0.45371133557673</v>
      </c>
    </row>
    <row r="1618" customFormat="false" ht="15" hidden="false" customHeight="false" outlineLevel="0" collapsed="false">
      <c r="A1618" s="4" t="s">
        <v>207</v>
      </c>
      <c r="B1618" s="4" t="s">
        <v>208</v>
      </c>
      <c r="C1618" s="4" t="s">
        <v>163</v>
      </c>
      <c r="D1618" s="16" t="n">
        <v>45505</v>
      </c>
      <c r="E1618" s="4" t="n">
        <v>2024</v>
      </c>
      <c r="F1618" s="4" t="n">
        <v>8</v>
      </c>
      <c r="G1618" s="17" t="n">
        <v>922</v>
      </c>
      <c r="H1618" s="18" t="n">
        <f aca="false">G1618*$B$1/1000000</f>
        <v>0.0020326620573457</v>
      </c>
    </row>
    <row r="1619" customFormat="false" ht="15" hidden="false" customHeight="false" outlineLevel="0" collapsed="false">
      <c r="A1619" s="4" t="s">
        <v>207</v>
      </c>
      <c r="B1619" s="4" t="s">
        <v>208</v>
      </c>
      <c r="C1619" s="4" t="s">
        <v>79</v>
      </c>
      <c r="D1619" s="16" t="n">
        <v>44075</v>
      </c>
      <c r="E1619" s="4" t="n">
        <v>2020</v>
      </c>
      <c r="F1619" s="4" t="n">
        <v>9</v>
      </c>
      <c r="G1619" s="17" t="n">
        <v>10</v>
      </c>
      <c r="H1619" s="18" t="n">
        <f aca="false">G1619*$B$1/1000000</f>
        <v>2.20462262185E-005</v>
      </c>
    </row>
    <row r="1620" customFormat="false" ht="15" hidden="false" customHeight="false" outlineLevel="0" collapsed="false">
      <c r="A1620" s="4" t="s">
        <v>207</v>
      </c>
      <c r="B1620" s="4" t="s">
        <v>208</v>
      </c>
      <c r="C1620" s="4" t="s">
        <v>79</v>
      </c>
      <c r="D1620" s="16" t="n">
        <v>44197</v>
      </c>
      <c r="E1620" s="4" t="n">
        <v>2021</v>
      </c>
      <c r="F1620" s="4" t="n">
        <v>1</v>
      </c>
      <c r="G1620" s="17" t="n">
        <v>1440</v>
      </c>
      <c r="H1620" s="18" t="n">
        <f aca="false">G1620*$B$1/1000000</f>
        <v>0.003174656575464</v>
      </c>
    </row>
    <row r="1621" customFormat="false" ht="15" hidden="false" customHeight="false" outlineLevel="0" collapsed="false">
      <c r="A1621" s="4" t="s">
        <v>207</v>
      </c>
      <c r="B1621" s="4" t="s">
        <v>208</v>
      </c>
      <c r="C1621" s="4" t="s">
        <v>79</v>
      </c>
      <c r="D1621" s="16" t="n">
        <v>44287</v>
      </c>
      <c r="E1621" s="4" t="n">
        <v>2021</v>
      </c>
      <c r="F1621" s="4" t="n">
        <v>4</v>
      </c>
      <c r="G1621" s="17" t="n">
        <v>3000</v>
      </c>
      <c r="H1621" s="18" t="n">
        <f aca="false">G1621*$B$1/1000000</f>
        <v>0.00661386786555</v>
      </c>
    </row>
    <row r="1622" customFormat="false" ht="15" hidden="false" customHeight="false" outlineLevel="0" collapsed="false">
      <c r="A1622" s="4" t="s">
        <v>207</v>
      </c>
      <c r="B1622" s="4" t="s">
        <v>208</v>
      </c>
      <c r="C1622" s="4" t="s">
        <v>79</v>
      </c>
      <c r="D1622" s="16" t="n">
        <v>44317</v>
      </c>
      <c r="E1622" s="4" t="n">
        <v>2021</v>
      </c>
      <c r="F1622" s="4" t="n">
        <v>5</v>
      </c>
      <c r="G1622" s="17" t="n">
        <v>638</v>
      </c>
      <c r="H1622" s="18" t="n">
        <f aca="false">G1622*$B$1/1000000</f>
        <v>0.0014065492327403</v>
      </c>
    </row>
    <row r="1623" customFormat="false" ht="15" hidden="false" customHeight="false" outlineLevel="0" collapsed="false">
      <c r="A1623" s="4" t="s">
        <v>207</v>
      </c>
      <c r="B1623" s="4" t="s">
        <v>208</v>
      </c>
      <c r="C1623" s="4" t="s">
        <v>79</v>
      </c>
      <c r="D1623" s="16" t="n">
        <v>44378</v>
      </c>
      <c r="E1623" s="4" t="n">
        <v>2021</v>
      </c>
      <c r="F1623" s="4" t="n">
        <v>7</v>
      </c>
      <c r="G1623" s="17" t="n">
        <v>1800</v>
      </c>
      <c r="H1623" s="18" t="n">
        <f aca="false">G1623*$B$1/1000000</f>
        <v>0.00396832071933</v>
      </c>
    </row>
    <row r="1624" customFormat="false" ht="15" hidden="false" customHeight="false" outlineLevel="0" collapsed="false">
      <c r="A1624" s="4" t="s">
        <v>207</v>
      </c>
      <c r="B1624" s="4" t="s">
        <v>208</v>
      </c>
      <c r="C1624" s="4" t="s">
        <v>79</v>
      </c>
      <c r="D1624" s="16" t="n">
        <v>44501</v>
      </c>
      <c r="E1624" s="4" t="n">
        <v>2021</v>
      </c>
      <c r="F1624" s="4" t="n">
        <v>11</v>
      </c>
      <c r="G1624" s="17" t="n">
        <v>60</v>
      </c>
      <c r="H1624" s="18" t="n">
        <f aca="false">G1624*$B$1/1000000</f>
        <v>0.000132277357311</v>
      </c>
    </row>
    <row r="1625" customFormat="false" ht="15" hidden="false" customHeight="false" outlineLevel="0" collapsed="false">
      <c r="A1625" s="4" t="s">
        <v>207</v>
      </c>
      <c r="B1625" s="4" t="s">
        <v>208</v>
      </c>
      <c r="C1625" s="4" t="s">
        <v>79</v>
      </c>
      <c r="D1625" s="16" t="n">
        <v>44531</v>
      </c>
      <c r="E1625" s="4" t="n">
        <v>2021</v>
      </c>
      <c r="F1625" s="4" t="n">
        <v>12</v>
      </c>
      <c r="G1625" s="17" t="n">
        <v>3960</v>
      </c>
      <c r="H1625" s="18" t="n">
        <f aca="false">G1625*$B$1/1000000</f>
        <v>0.008730305582526</v>
      </c>
    </row>
    <row r="1626" customFormat="false" ht="15" hidden="false" customHeight="false" outlineLevel="0" collapsed="false">
      <c r="A1626" s="4" t="s">
        <v>207</v>
      </c>
      <c r="B1626" s="4" t="s">
        <v>208</v>
      </c>
      <c r="C1626" s="4" t="s">
        <v>79</v>
      </c>
      <c r="D1626" s="16" t="n">
        <v>44562</v>
      </c>
      <c r="E1626" s="4" t="n">
        <v>2022</v>
      </c>
      <c r="F1626" s="4" t="n">
        <v>1</v>
      </c>
      <c r="G1626" s="17" t="n">
        <v>304</v>
      </c>
      <c r="H1626" s="18" t="n">
        <f aca="false">G1626*$B$1/1000000</f>
        <v>0.0006702052770424</v>
      </c>
    </row>
    <row r="1627" customFormat="false" ht="15" hidden="false" customHeight="false" outlineLevel="0" collapsed="false">
      <c r="A1627" s="4" t="s">
        <v>207</v>
      </c>
      <c r="B1627" s="4" t="s">
        <v>208</v>
      </c>
      <c r="C1627" s="4" t="s">
        <v>79</v>
      </c>
      <c r="D1627" s="16" t="n">
        <v>44593</v>
      </c>
      <c r="E1627" s="4" t="n">
        <v>2022</v>
      </c>
      <c r="F1627" s="4" t="n">
        <v>2</v>
      </c>
      <c r="G1627" s="17" t="n">
        <v>3240</v>
      </c>
      <c r="H1627" s="18" t="n">
        <f aca="false">G1627*$B$1/1000000</f>
        <v>0.007142977294794</v>
      </c>
    </row>
    <row r="1628" customFormat="false" ht="15" hidden="false" customHeight="false" outlineLevel="0" collapsed="false">
      <c r="A1628" s="4" t="s">
        <v>207</v>
      </c>
      <c r="B1628" s="4" t="s">
        <v>208</v>
      </c>
      <c r="C1628" s="4" t="s">
        <v>79</v>
      </c>
      <c r="D1628" s="16" t="n">
        <v>44713</v>
      </c>
      <c r="E1628" s="4" t="n">
        <v>2022</v>
      </c>
      <c r="F1628" s="4" t="n">
        <v>6</v>
      </c>
      <c r="G1628" s="17" t="n">
        <v>100</v>
      </c>
      <c r="H1628" s="18" t="n">
        <f aca="false">G1628*$B$1/1000000</f>
        <v>0.000220462262185</v>
      </c>
    </row>
    <row r="1629" customFormat="false" ht="15" hidden="false" customHeight="false" outlineLevel="0" collapsed="false">
      <c r="A1629" s="4" t="s">
        <v>207</v>
      </c>
      <c r="B1629" s="4" t="s">
        <v>208</v>
      </c>
      <c r="C1629" s="4" t="s">
        <v>79</v>
      </c>
      <c r="D1629" s="16" t="n">
        <v>44743</v>
      </c>
      <c r="E1629" s="4" t="n">
        <v>2022</v>
      </c>
      <c r="F1629" s="4" t="n">
        <v>7</v>
      </c>
      <c r="G1629" s="17" t="n">
        <v>3540</v>
      </c>
      <c r="H1629" s="18" t="n">
        <f aca="false">G1629*$B$1/1000000</f>
        <v>0.007804364081349</v>
      </c>
    </row>
    <row r="1630" customFormat="false" ht="15" hidden="false" customHeight="false" outlineLevel="0" collapsed="false">
      <c r="A1630" s="4" t="s">
        <v>207</v>
      </c>
      <c r="B1630" s="4" t="s">
        <v>208</v>
      </c>
      <c r="C1630" s="4" t="s">
        <v>79</v>
      </c>
      <c r="D1630" s="16" t="n">
        <v>44774</v>
      </c>
      <c r="E1630" s="4" t="n">
        <v>2022</v>
      </c>
      <c r="F1630" s="4" t="n">
        <v>8</v>
      </c>
      <c r="G1630" s="17" t="n">
        <v>3240</v>
      </c>
      <c r="H1630" s="18" t="n">
        <f aca="false">G1630*$B$1/1000000</f>
        <v>0.007142977294794</v>
      </c>
    </row>
    <row r="1631" customFormat="false" ht="15" hidden="false" customHeight="false" outlineLevel="0" collapsed="false">
      <c r="A1631" s="4" t="s">
        <v>207</v>
      </c>
      <c r="B1631" s="4" t="s">
        <v>208</v>
      </c>
      <c r="C1631" s="4" t="s">
        <v>79</v>
      </c>
      <c r="D1631" s="16" t="n">
        <v>44866</v>
      </c>
      <c r="E1631" s="4" t="n">
        <v>2022</v>
      </c>
      <c r="F1631" s="4" t="n">
        <v>11</v>
      </c>
      <c r="G1631" s="17" t="n">
        <v>100</v>
      </c>
      <c r="H1631" s="18" t="n">
        <f aca="false">G1631*$B$1/1000000</f>
        <v>0.000220462262185</v>
      </c>
    </row>
    <row r="1632" customFormat="false" ht="15" hidden="false" customHeight="false" outlineLevel="0" collapsed="false">
      <c r="A1632" s="4" t="s">
        <v>207</v>
      </c>
      <c r="B1632" s="4" t="s">
        <v>208</v>
      </c>
      <c r="C1632" s="4" t="s">
        <v>79</v>
      </c>
      <c r="D1632" s="16" t="n">
        <v>44896</v>
      </c>
      <c r="E1632" s="4" t="n">
        <v>2022</v>
      </c>
      <c r="F1632" s="4" t="n">
        <v>12</v>
      </c>
      <c r="G1632" s="17" t="n">
        <v>3380</v>
      </c>
      <c r="H1632" s="18" t="n">
        <f aca="false">G1632*$B$1/1000000</f>
        <v>0.007451624461853</v>
      </c>
    </row>
    <row r="1633" customFormat="false" ht="15" hidden="false" customHeight="false" outlineLevel="0" collapsed="false">
      <c r="A1633" s="4" t="s">
        <v>207</v>
      </c>
      <c r="B1633" s="4" t="s">
        <v>208</v>
      </c>
      <c r="C1633" s="4" t="s">
        <v>79</v>
      </c>
      <c r="D1633" s="16" t="n">
        <v>44958</v>
      </c>
      <c r="E1633" s="4" t="n">
        <v>2023</v>
      </c>
      <c r="F1633" s="4" t="n">
        <v>2</v>
      </c>
      <c r="G1633" s="17" t="n">
        <v>44</v>
      </c>
      <c r="H1633" s="18" t="n">
        <f aca="false">G1633*$B$1/1000000</f>
        <v>9.70033953614E-005</v>
      </c>
    </row>
    <row r="1634" customFormat="false" ht="15" hidden="false" customHeight="false" outlineLevel="0" collapsed="false">
      <c r="A1634" s="4" t="s">
        <v>207</v>
      </c>
      <c r="B1634" s="4" t="s">
        <v>208</v>
      </c>
      <c r="C1634" s="4" t="s">
        <v>79</v>
      </c>
      <c r="D1634" s="16" t="n">
        <v>44986</v>
      </c>
      <c r="E1634" s="4" t="n">
        <v>2023</v>
      </c>
      <c r="F1634" s="4" t="n">
        <v>3</v>
      </c>
      <c r="G1634" s="17" t="n">
        <v>3400</v>
      </c>
      <c r="H1634" s="18" t="n">
        <f aca="false">G1634*$B$1/1000000</f>
        <v>0.00749571691429</v>
      </c>
    </row>
    <row r="1635" customFormat="false" ht="15" hidden="false" customHeight="false" outlineLevel="0" collapsed="false">
      <c r="A1635" s="4" t="s">
        <v>207</v>
      </c>
      <c r="B1635" s="4" t="s">
        <v>208</v>
      </c>
      <c r="C1635" s="4" t="s">
        <v>79</v>
      </c>
      <c r="D1635" s="16" t="n">
        <v>45017</v>
      </c>
      <c r="E1635" s="4" t="n">
        <v>2023</v>
      </c>
      <c r="F1635" s="4" t="n">
        <v>4</v>
      </c>
      <c r="G1635" s="17" t="n">
        <v>40420</v>
      </c>
      <c r="H1635" s="18" t="n">
        <f aca="false">G1635*$B$1/1000000</f>
        <v>0.089110846375177</v>
      </c>
    </row>
    <row r="1636" customFormat="false" ht="15" hidden="false" customHeight="false" outlineLevel="0" collapsed="false">
      <c r="A1636" s="4" t="s">
        <v>207</v>
      </c>
      <c r="B1636" s="4" t="s">
        <v>208</v>
      </c>
      <c r="C1636" s="4" t="s">
        <v>79</v>
      </c>
      <c r="D1636" s="16" t="n">
        <v>45047</v>
      </c>
      <c r="E1636" s="4" t="n">
        <v>2023</v>
      </c>
      <c r="F1636" s="4" t="n">
        <v>5</v>
      </c>
      <c r="G1636" s="17" t="n">
        <v>64</v>
      </c>
      <c r="H1636" s="18" t="n">
        <f aca="false">G1636*$B$1/1000000</f>
        <v>0.0001410958477984</v>
      </c>
    </row>
    <row r="1637" customFormat="false" ht="15" hidden="false" customHeight="false" outlineLevel="0" collapsed="false">
      <c r="A1637" s="4" t="s">
        <v>207</v>
      </c>
      <c r="B1637" s="4" t="s">
        <v>208</v>
      </c>
      <c r="C1637" s="4" t="s">
        <v>79</v>
      </c>
      <c r="D1637" s="16" t="n">
        <v>45078</v>
      </c>
      <c r="E1637" s="4" t="n">
        <v>2023</v>
      </c>
      <c r="F1637" s="4" t="n">
        <v>6</v>
      </c>
      <c r="G1637" s="17" t="n">
        <v>79920</v>
      </c>
      <c r="H1637" s="18" t="n">
        <f aca="false">G1637*$B$1/1000000</f>
        <v>0.176193439938252</v>
      </c>
    </row>
    <row r="1638" customFormat="false" ht="15" hidden="false" customHeight="false" outlineLevel="0" collapsed="false">
      <c r="A1638" s="4" t="s">
        <v>207</v>
      </c>
      <c r="B1638" s="4" t="s">
        <v>208</v>
      </c>
      <c r="C1638" s="4" t="s">
        <v>79</v>
      </c>
      <c r="D1638" s="16" t="n">
        <v>45108</v>
      </c>
      <c r="E1638" s="4" t="n">
        <v>2023</v>
      </c>
      <c r="F1638" s="4" t="n">
        <v>7</v>
      </c>
      <c r="G1638" s="17" t="n">
        <v>20200</v>
      </c>
      <c r="H1638" s="18" t="n">
        <f aca="false">G1638*$B$1/1000000</f>
        <v>0.04453337696137</v>
      </c>
    </row>
    <row r="1639" customFormat="false" ht="15" hidden="false" customHeight="false" outlineLevel="0" collapsed="false">
      <c r="A1639" s="4" t="s">
        <v>207</v>
      </c>
      <c r="B1639" s="4" t="s">
        <v>208</v>
      </c>
      <c r="C1639" s="4" t="s">
        <v>79</v>
      </c>
      <c r="D1639" s="16" t="n">
        <v>45139</v>
      </c>
      <c r="E1639" s="4" t="n">
        <v>2023</v>
      </c>
      <c r="F1639" s="4" t="n">
        <v>8</v>
      </c>
      <c r="G1639" s="17" t="n">
        <v>13441</v>
      </c>
      <c r="H1639" s="18" t="n">
        <f aca="false">G1639*$B$1/1000000</f>
        <v>0.0296323326602859</v>
      </c>
    </row>
    <row r="1640" customFormat="false" ht="15" hidden="false" customHeight="false" outlineLevel="0" collapsed="false">
      <c r="A1640" s="4" t="s">
        <v>207</v>
      </c>
      <c r="B1640" s="4" t="s">
        <v>208</v>
      </c>
      <c r="C1640" s="4" t="s">
        <v>79</v>
      </c>
      <c r="D1640" s="16" t="n">
        <v>45200</v>
      </c>
      <c r="E1640" s="4" t="n">
        <v>2023</v>
      </c>
      <c r="F1640" s="4" t="n">
        <v>10</v>
      </c>
      <c r="G1640" s="17" t="n">
        <v>16306</v>
      </c>
      <c r="H1640" s="18" t="n">
        <f aca="false">G1640*$B$1/1000000</f>
        <v>0.0359485764718861</v>
      </c>
    </row>
    <row r="1641" customFormat="false" ht="15" hidden="false" customHeight="false" outlineLevel="0" collapsed="false">
      <c r="A1641" s="4" t="s">
        <v>207</v>
      </c>
      <c r="B1641" s="4" t="s">
        <v>208</v>
      </c>
      <c r="C1641" s="4" t="s">
        <v>79</v>
      </c>
      <c r="D1641" s="16" t="n">
        <v>45323</v>
      </c>
      <c r="E1641" s="4" t="n">
        <v>2024</v>
      </c>
      <c r="F1641" s="4" t="n">
        <v>2</v>
      </c>
      <c r="G1641" s="17" t="n">
        <v>3184</v>
      </c>
      <c r="H1641" s="18" t="n">
        <f aca="false">G1641*$B$1/1000000</f>
        <v>0.0070195184279704</v>
      </c>
    </row>
    <row r="1642" customFormat="false" ht="15" hidden="false" customHeight="false" outlineLevel="0" collapsed="false">
      <c r="A1642" s="4" t="s">
        <v>207</v>
      </c>
      <c r="B1642" s="4" t="s">
        <v>208</v>
      </c>
      <c r="C1642" s="4" t="s">
        <v>79</v>
      </c>
      <c r="D1642" s="16" t="n">
        <v>45352</v>
      </c>
      <c r="E1642" s="4" t="n">
        <v>2024</v>
      </c>
      <c r="F1642" s="4" t="n">
        <v>3</v>
      </c>
      <c r="G1642" s="17" t="n">
        <v>3990</v>
      </c>
      <c r="H1642" s="18" t="n">
        <f aca="false">G1642*$B$1/1000000</f>
        <v>0.0087964442611815</v>
      </c>
    </row>
    <row r="1643" customFormat="false" ht="15" hidden="false" customHeight="false" outlineLevel="0" collapsed="false">
      <c r="A1643" s="4" t="s">
        <v>207</v>
      </c>
      <c r="B1643" s="4" t="s">
        <v>208</v>
      </c>
      <c r="C1643" s="4" t="s">
        <v>79</v>
      </c>
      <c r="D1643" s="16" t="n">
        <v>45444</v>
      </c>
      <c r="E1643" s="4" t="n">
        <v>2024</v>
      </c>
      <c r="F1643" s="4" t="n">
        <v>6</v>
      </c>
      <c r="G1643" s="17" t="n">
        <v>4800</v>
      </c>
      <c r="H1643" s="18" t="n">
        <f aca="false">G1643*$B$1/1000000</f>
        <v>0.01058218858488</v>
      </c>
    </row>
    <row r="1644" customFormat="false" ht="15" hidden="false" customHeight="false" outlineLevel="0" collapsed="false">
      <c r="A1644" s="4" t="s">
        <v>207</v>
      </c>
      <c r="B1644" s="4" t="s">
        <v>208</v>
      </c>
      <c r="C1644" s="4" t="s">
        <v>79</v>
      </c>
      <c r="D1644" s="16" t="n">
        <v>45474</v>
      </c>
      <c r="E1644" s="4" t="n">
        <v>2024</v>
      </c>
      <c r="F1644" s="4" t="n">
        <v>7</v>
      </c>
      <c r="G1644" s="17" t="n">
        <v>25172</v>
      </c>
      <c r="H1644" s="18" t="n">
        <f aca="false">G1644*$B$1/1000000</f>
        <v>0.0554947606372082</v>
      </c>
    </row>
    <row r="1645" customFormat="false" ht="15" hidden="false" customHeight="false" outlineLevel="0" collapsed="false">
      <c r="A1645" s="4" t="s">
        <v>207</v>
      </c>
      <c r="B1645" s="4" t="s">
        <v>208</v>
      </c>
      <c r="C1645" s="4" t="s">
        <v>79</v>
      </c>
      <c r="D1645" s="16" t="n">
        <v>45505</v>
      </c>
      <c r="E1645" s="4" t="n">
        <v>2024</v>
      </c>
      <c r="F1645" s="4" t="n">
        <v>8</v>
      </c>
      <c r="G1645" s="17" t="n">
        <v>154273</v>
      </c>
      <c r="H1645" s="18" t="n">
        <f aca="false">G1645*$B$1/1000000</f>
        <v>0.340113745740665</v>
      </c>
    </row>
    <row r="1646" customFormat="false" ht="15" hidden="false" customHeight="false" outlineLevel="0" collapsed="false">
      <c r="A1646" s="4" t="s">
        <v>207</v>
      </c>
      <c r="B1646" s="4" t="s">
        <v>208</v>
      </c>
      <c r="C1646" s="4" t="s">
        <v>79</v>
      </c>
      <c r="D1646" s="16" t="n">
        <v>45536</v>
      </c>
      <c r="E1646" s="4" t="n">
        <v>2024</v>
      </c>
      <c r="F1646" s="4" t="n">
        <v>9</v>
      </c>
      <c r="G1646" s="17" t="n">
        <v>184529</v>
      </c>
      <c r="H1646" s="18" t="n">
        <f aca="false">G1646*$B$1/1000000</f>
        <v>0.406816807787359</v>
      </c>
    </row>
    <row r="1647" customFormat="false" ht="15" hidden="false" customHeight="false" outlineLevel="0" collapsed="false">
      <c r="A1647" s="4" t="s">
        <v>207</v>
      </c>
      <c r="B1647" s="4" t="s">
        <v>208</v>
      </c>
      <c r="C1647" s="4" t="s">
        <v>79</v>
      </c>
      <c r="D1647" s="16" t="n">
        <v>45566</v>
      </c>
      <c r="E1647" s="4" t="n">
        <v>2024</v>
      </c>
      <c r="F1647" s="4" t="n">
        <v>10</v>
      </c>
      <c r="G1647" s="17" t="n">
        <v>252500</v>
      </c>
      <c r="H1647" s="18" t="n">
        <f aca="false">G1647*$B$1/1000000</f>
        <v>0.556667212017125</v>
      </c>
    </row>
    <row r="1648" customFormat="false" ht="15" hidden="false" customHeight="false" outlineLevel="0" collapsed="false">
      <c r="A1648" s="4" t="s">
        <v>207</v>
      </c>
      <c r="B1648" s="4" t="s">
        <v>208</v>
      </c>
      <c r="C1648" s="4" t="s">
        <v>79</v>
      </c>
      <c r="D1648" s="16" t="n">
        <v>45597</v>
      </c>
      <c r="E1648" s="4" t="n">
        <v>2024</v>
      </c>
      <c r="F1648" s="4" t="n">
        <v>11</v>
      </c>
      <c r="G1648" s="17" t="n">
        <v>140</v>
      </c>
      <c r="H1648" s="18" t="n">
        <f aca="false">G1648*$B$1/1000000</f>
        <v>0.000308647167059</v>
      </c>
    </row>
    <row r="1649" customFormat="false" ht="15" hidden="false" customHeight="false" outlineLevel="0" collapsed="false">
      <c r="A1649" s="4" t="s">
        <v>207</v>
      </c>
      <c r="B1649" s="4" t="s">
        <v>208</v>
      </c>
      <c r="C1649" s="4" t="s">
        <v>79</v>
      </c>
      <c r="D1649" s="16" t="n">
        <v>45627</v>
      </c>
      <c r="E1649" s="4" t="n">
        <v>2024</v>
      </c>
      <c r="F1649" s="4" t="n">
        <v>12</v>
      </c>
      <c r="G1649" s="17" t="n">
        <v>600</v>
      </c>
      <c r="H1649" s="18" t="n">
        <f aca="false">G1649*$B$1/1000000</f>
        <v>0.00132277357311</v>
      </c>
    </row>
    <row r="1650" customFormat="false" ht="15" hidden="false" customHeight="false" outlineLevel="0" collapsed="false">
      <c r="A1650" s="4" t="s">
        <v>207</v>
      </c>
      <c r="B1650" s="4" t="s">
        <v>208</v>
      </c>
      <c r="C1650" s="4" t="s">
        <v>79</v>
      </c>
      <c r="D1650" s="16" t="n">
        <v>45689</v>
      </c>
      <c r="E1650" s="4" t="n">
        <v>2025</v>
      </c>
      <c r="F1650" s="4" t="n">
        <v>2</v>
      </c>
      <c r="G1650" s="17" t="n">
        <v>140</v>
      </c>
      <c r="H1650" s="18" t="n">
        <f aca="false">G1650*$B$1/1000000</f>
        <v>0.000308647167059</v>
      </c>
    </row>
    <row r="1651" customFormat="false" ht="15" hidden="false" customHeight="false" outlineLevel="0" collapsed="false">
      <c r="A1651" s="4" t="s">
        <v>207</v>
      </c>
      <c r="B1651" s="4" t="s">
        <v>208</v>
      </c>
      <c r="C1651" s="4" t="s">
        <v>79</v>
      </c>
      <c r="D1651" s="16" t="n">
        <v>45717</v>
      </c>
      <c r="E1651" s="4" t="n">
        <v>2025</v>
      </c>
      <c r="F1651" s="4" t="n">
        <v>3</v>
      </c>
      <c r="G1651" s="17" t="n">
        <v>9987</v>
      </c>
      <c r="H1651" s="18" t="n">
        <f aca="false">G1651*$B$1/1000000</f>
        <v>0.022017566124416</v>
      </c>
    </row>
    <row r="1652" customFormat="false" ht="15" hidden="false" customHeight="false" outlineLevel="0" collapsed="false">
      <c r="A1652" s="4" t="s">
        <v>207</v>
      </c>
      <c r="B1652" s="4" t="s">
        <v>208</v>
      </c>
      <c r="C1652" s="4" t="s">
        <v>79</v>
      </c>
      <c r="D1652" s="16" t="n">
        <v>45870</v>
      </c>
      <c r="E1652" s="4" t="n">
        <v>2025</v>
      </c>
      <c r="F1652" s="4" t="n">
        <v>8</v>
      </c>
      <c r="G1652" s="17" t="n">
        <v>1532</v>
      </c>
      <c r="H1652" s="18" t="n">
        <f aca="false">G1652*$B$1/1000000</f>
        <v>0.0033774818566742</v>
      </c>
    </row>
    <row r="1653" customFormat="false" ht="15" hidden="false" customHeight="false" outlineLevel="0" collapsed="false">
      <c r="A1653" s="4" t="s">
        <v>207</v>
      </c>
      <c r="B1653" s="4" t="s">
        <v>208</v>
      </c>
      <c r="C1653" s="4" t="s">
        <v>79</v>
      </c>
      <c r="D1653" s="16" t="n">
        <v>45901</v>
      </c>
      <c r="E1653" s="4" t="n">
        <v>2025</v>
      </c>
      <c r="F1653" s="4" t="n">
        <v>9</v>
      </c>
      <c r="G1653" s="17" t="n">
        <v>370</v>
      </c>
      <c r="H1653" s="18" t="n">
        <f aca="false">G1653*$B$1/1000000</f>
        <v>0.0008157103700845</v>
      </c>
    </row>
    <row r="1654" customFormat="false" ht="15" hidden="false" customHeight="false" outlineLevel="0" collapsed="false">
      <c r="A1654" s="4" t="s">
        <v>207</v>
      </c>
      <c r="B1654" s="4" t="s">
        <v>208</v>
      </c>
      <c r="C1654" s="4" t="s">
        <v>79</v>
      </c>
      <c r="D1654" s="16" t="n">
        <v>45931</v>
      </c>
      <c r="E1654" s="4" t="n">
        <v>2025</v>
      </c>
      <c r="F1654" s="4" t="n">
        <v>10</v>
      </c>
      <c r="G1654" s="17" t="n">
        <v>4000</v>
      </c>
      <c r="H1654" s="18" t="n">
        <f aca="false">G1654*$B$1/1000000</f>
        <v>0.0088184904874</v>
      </c>
    </row>
    <row r="1655" customFormat="false" ht="15" hidden="false" customHeight="false" outlineLevel="0" collapsed="false">
      <c r="A1655" s="4" t="s">
        <v>207</v>
      </c>
      <c r="B1655" s="4" t="s">
        <v>208</v>
      </c>
      <c r="C1655" s="4" t="s">
        <v>79</v>
      </c>
      <c r="D1655" s="16" t="n">
        <v>46054</v>
      </c>
      <c r="E1655" s="4" t="n">
        <v>2026</v>
      </c>
      <c r="F1655" s="4" t="n">
        <v>2</v>
      </c>
      <c r="G1655" s="17" t="n">
        <v>1254</v>
      </c>
      <c r="H1655" s="18" t="n">
        <f aca="false">G1655*$B$1/1000000</f>
        <v>0.0027645967677999</v>
      </c>
    </row>
    <row r="1656" customFormat="false" ht="15" hidden="false" customHeight="false" outlineLevel="0" collapsed="false">
      <c r="A1656" s="4" t="s">
        <v>207</v>
      </c>
      <c r="B1656" s="4" t="s">
        <v>208</v>
      </c>
      <c r="C1656" s="4" t="s">
        <v>79</v>
      </c>
      <c r="D1656" s="16" t="n">
        <v>46082</v>
      </c>
      <c r="E1656" s="4" t="n">
        <v>2026</v>
      </c>
      <c r="F1656" s="4" t="n">
        <v>3</v>
      </c>
      <c r="G1656" s="17" t="n">
        <v>623</v>
      </c>
      <c r="H1656" s="18" t="n">
        <f aca="false">G1656*$B$1/1000000</f>
        <v>0.00137347989341255</v>
      </c>
    </row>
    <row r="1657" customFormat="false" ht="15" hidden="false" customHeight="false" outlineLevel="0" collapsed="false">
      <c r="A1657" s="4" t="s">
        <v>207</v>
      </c>
      <c r="B1657" s="4" t="s">
        <v>208</v>
      </c>
      <c r="C1657" s="4" t="s">
        <v>79</v>
      </c>
      <c r="D1657" s="16" t="n">
        <v>46113</v>
      </c>
      <c r="E1657" s="4" t="n">
        <v>2026</v>
      </c>
      <c r="F1657" s="4" t="n">
        <v>4</v>
      </c>
      <c r="G1657" s="17" t="n">
        <v>1777</v>
      </c>
      <c r="H1657" s="18" t="n">
        <f aca="false">G1657*$B$1/1000000</f>
        <v>0.00391761439902745</v>
      </c>
    </row>
    <row r="1658" customFormat="false" ht="15" hidden="false" customHeight="false" outlineLevel="0" collapsed="false">
      <c r="A1658" s="4" t="s">
        <v>207</v>
      </c>
      <c r="B1658" s="4" t="s">
        <v>208</v>
      </c>
      <c r="C1658" s="4" t="s">
        <v>79</v>
      </c>
      <c r="D1658" s="16" t="n">
        <v>46174</v>
      </c>
      <c r="E1658" s="4" t="n">
        <v>2026</v>
      </c>
      <c r="F1658" s="4" t="n">
        <v>6</v>
      </c>
      <c r="G1658" s="17" t="n">
        <v>599</v>
      </c>
      <c r="H1658" s="18" t="n">
        <f aca="false">G1658*$B$1/1000000</f>
        <v>0.00132056895048815</v>
      </c>
    </row>
    <row r="1659" customFormat="false" ht="15" hidden="false" customHeight="false" outlineLevel="0" collapsed="false">
      <c r="A1659" s="4" t="s">
        <v>207</v>
      </c>
      <c r="B1659" s="4" t="s">
        <v>208</v>
      </c>
      <c r="C1659" s="4" t="s">
        <v>79</v>
      </c>
      <c r="D1659" s="16" t="n">
        <v>46204</v>
      </c>
      <c r="E1659" s="4" t="n">
        <v>2026</v>
      </c>
      <c r="F1659" s="4" t="n">
        <v>7</v>
      </c>
      <c r="G1659" s="17" t="n">
        <v>100</v>
      </c>
      <c r="H1659" s="18" t="n">
        <f aca="false">G1659*$B$1/1000000</f>
        <v>0.000220462262185</v>
      </c>
    </row>
    <row r="1660" customFormat="false" ht="15" hidden="false" customHeight="false" outlineLevel="0" collapsed="false">
      <c r="A1660" s="4" t="s">
        <v>207</v>
      </c>
      <c r="B1660" s="4" t="s">
        <v>208</v>
      </c>
      <c r="C1660" s="4" t="s">
        <v>79</v>
      </c>
      <c r="D1660" s="16" t="n">
        <v>46235</v>
      </c>
      <c r="E1660" s="4" t="n">
        <v>2026</v>
      </c>
      <c r="F1660" s="4" t="n">
        <v>8</v>
      </c>
      <c r="G1660" s="17" t="n">
        <v>3167</v>
      </c>
      <c r="H1660" s="18" t="n">
        <f aca="false">G1660*$B$1/1000000</f>
        <v>0.00698203984339895</v>
      </c>
    </row>
    <row r="1661" customFormat="false" ht="15" hidden="false" customHeight="false" outlineLevel="0" collapsed="false">
      <c r="A1661" s="4" t="s">
        <v>207</v>
      </c>
      <c r="B1661" s="4" t="s">
        <v>208</v>
      </c>
      <c r="C1661" s="4" t="s">
        <v>72</v>
      </c>
      <c r="D1661" s="16" t="n">
        <v>43891</v>
      </c>
      <c r="E1661" s="4" t="n">
        <v>2020</v>
      </c>
      <c r="F1661" s="4" t="n">
        <v>3</v>
      </c>
      <c r="G1661" s="17" t="n">
        <v>1919</v>
      </c>
      <c r="H1661" s="18" t="n">
        <f aca="false">G1661*$B$1/1000000</f>
        <v>0.00423067081133015</v>
      </c>
    </row>
    <row r="1662" customFormat="false" ht="15" hidden="false" customHeight="false" outlineLevel="0" collapsed="false">
      <c r="A1662" s="4" t="s">
        <v>207</v>
      </c>
      <c r="B1662" s="4" t="s">
        <v>208</v>
      </c>
      <c r="C1662" s="4" t="s">
        <v>67</v>
      </c>
      <c r="D1662" s="16" t="n">
        <v>43831</v>
      </c>
      <c r="E1662" s="4" t="n">
        <v>2020</v>
      </c>
      <c r="F1662" s="4" t="n">
        <v>1</v>
      </c>
      <c r="G1662" s="17" t="n">
        <v>2880</v>
      </c>
      <c r="H1662" s="18" t="n">
        <f aca="false">G1662*$B$1/1000000</f>
        <v>0.006349313150928</v>
      </c>
    </row>
    <row r="1663" customFormat="false" ht="15" hidden="false" customHeight="false" outlineLevel="0" collapsed="false">
      <c r="A1663" s="4" t="s">
        <v>207</v>
      </c>
      <c r="B1663" s="4" t="s">
        <v>208</v>
      </c>
      <c r="C1663" s="4" t="s">
        <v>67</v>
      </c>
      <c r="D1663" s="16" t="n">
        <v>43862</v>
      </c>
      <c r="E1663" s="4" t="n">
        <v>2020</v>
      </c>
      <c r="F1663" s="4" t="n">
        <v>2</v>
      </c>
      <c r="G1663" s="17" t="n">
        <v>1200</v>
      </c>
      <c r="H1663" s="18" t="n">
        <f aca="false">G1663*$B$1/1000000</f>
        <v>0.00264554714622</v>
      </c>
    </row>
    <row r="1664" customFormat="false" ht="15" hidden="false" customHeight="false" outlineLevel="0" collapsed="false">
      <c r="A1664" s="4" t="s">
        <v>207</v>
      </c>
      <c r="B1664" s="4" t="s">
        <v>208</v>
      </c>
      <c r="C1664" s="4" t="s">
        <v>67</v>
      </c>
      <c r="D1664" s="16" t="n">
        <v>43891</v>
      </c>
      <c r="E1664" s="4" t="n">
        <v>2020</v>
      </c>
      <c r="F1664" s="4" t="n">
        <v>3</v>
      </c>
      <c r="G1664" s="17" t="n">
        <v>2520</v>
      </c>
      <c r="H1664" s="18" t="n">
        <f aca="false">G1664*$B$1/1000000</f>
        <v>0.005555649007062</v>
      </c>
    </row>
    <row r="1665" customFormat="false" ht="15" hidden="false" customHeight="false" outlineLevel="0" collapsed="false">
      <c r="A1665" s="4" t="s">
        <v>207</v>
      </c>
      <c r="B1665" s="4" t="s">
        <v>208</v>
      </c>
      <c r="C1665" s="4" t="s">
        <v>67</v>
      </c>
      <c r="D1665" s="16" t="n">
        <v>43952</v>
      </c>
      <c r="E1665" s="4" t="n">
        <v>2020</v>
      </c>
      <c r="F1665" s="4" t="n">
        <v>5</v>
      </c>
      <c r="G1665" s="17" t="n">
        <v>1720</v>
      </c>
      <c r="H1665" s="18" t="n">
        <f aca="false">G1665*$B$1/1000000</f>
        <v>0.003791950909582</v>
      </c>
    </row>
    <row r="1666" customFormat="false" ht="15" hidden="false" customHeight="false" outlineLevel="0" collapsed="false">
      <c r="A1666" s="4" t="s">
        <v>207</v>
      </c>
      <c r="B1666" s="4" t="s">
        <v>208</v>
      </c>
      <c r="C1666" s="4" t="s">
        <v>67</v>
      </c>
      <c r="D1666" s="16" t="n">
        <v>43983</v>
      </c>
      <c r="E1666" s="4" t="n">
        <v>2020</v>
      </c>
      <c r="F1666" s="4" t="n">
        <v>6</v>
      </c>
      <c r="G1666" s="17" t="n">
        <v>1000</v>
      </c>
      <c r="H1666" s="18" t="n">
        <f aca="false">G1666*$B$1/1000000</f>
        <v>0.00220462262185</v>
      </c>
    </row>
    <row r="1667" customFormat="false" ht="15" hidden="false" customHeight="false" outlineLevel="0" collapsed="false">
      <c r="A1667" s="4" t="s">
        <v>207</v>
      </c>
      <c r="B1667" s="4" t="s">
        <v>208</v>
      </c>
      <c r="C1667" s="4" t="s">
        <v>67</v>
      </c>
      <c r="D1667" s="16" t="n">
        <v>44044</v>
      </c>
      <c r="E1667" s="4" t="n">
        <v>2020</v>
      </c>
      <c r="F1667" s="4" t="n">
        <v>8</v>
      </c>
      <c r="G1667" s="17" t="n">
        <v>1120</v>
      </c>
      <c r="H1667" s="18" t="n">
        <f aca="false">G1667*$B$1/1000000</f>
        <v>0.002469177336472</v>
      </c>
    </row>
    <row r="1668" customFormat="false" ht="15" hidden="false" customHeight="false" outlineLevel="0" collapsed="false">
      <c r="A1668" s="4" t="s">
        <v>207</v>
      </c>
      <c r="B1668" s="4" t="s">
        <v>208</v>
      </c>
      <c r="C1668" s="4" t="s">
        <v>67</v>
      </c>
      <c r="D1668" s="16" t="n">
        <v>44075</v>
      </c>
      <c r="E1668" s="4" t="n">
        <v>2020</v>
      </c>
      <c r="F1668" s="4" t="n">
        <v>9</v>
      </c>
      <c r="G1668" s="17" t="n">
        <v>1200</v>
      </c>
      <c r="H1668" s="18" t="n">
        <f aca="false">G1668*$B$1/1000000</f>
        <v>0.00264554714622</v>
      </c>
    </row>
    <row r="1669" customFormat="false" ht="15" hidden="false" customHeight="false" outlineLevel="0" collapsed="false">
      <c r="A1669" s="4" t="s">
        <v>207</v>
      </c>
      <c r="B1669" s="4" t="s">
        <v>208</v>
      </c>
      <c r="C1669" s="4" t="s">
        <v>67</v>
      </c>
      <c r="D1669" s="16" t="n">
        <v>44105</v>
      </c>
      <c r="E1669" s="4" t="n">
        <v>2020</v>
      </c>
      <c r="F1669" s="4" t="n">
        <v>10</v>
      </c>
      <c r="G1669" s="17" t="n">
        <v>2510</v>
      </c>
      <c r="H1669" s="18" t="n">
        <f aca="false">G1669*$B$1/1000000</f>
        <v>0.0055336027808435</v>
      </c>
    </row>
    <row r="1670" customFormat="false" ht="15" hidden="false" customHeight="false" outlineLevel="0" collapsed="false">
      <c r="A1670" s="4" t="s">
        <v>207</v>
      </c>
      <c r="B1670" s="4" t="s">
        <v>208</v>
      </c>
      <c r="C1670" s="4" t="s">
        <v>67</v>
      </c>
      <c r="D1670" s="16" t="n">
        <v>44136</v>
      </c>
      <c r="E1670" s="4" t="n">
        <v>2020</v>
      </c>
      <c r="F1670" s="4" t="n">
        <v>11</v>
      </c>
      <c r="G1670" s="17" t="n">
        <v>396</v>
      </c>
      <c r="H1670" s="18" t="n">
        <f aca="false">G1670*$B$1/1000000</f>
        <v>0.0008730305582526</v>
      </c>
    </row>
    <row r="1671" customFormat="false" ht="15" hidden="false" customHeight="false" outlineLevel="0" collapsed="false">
      <c r="A1671" s="4" t="s">
        <v>207</v>
      </c>
      <c r="B1671" s="4" t="s">
        <v>208</v>
      </c>
      <c r="C1671" s="4" t="s">
        <v>67</v>
      </c>
      <c r="D1671" s="16" t="n">
        <v>44166</v>
      </c>
      <c r="E1671" s="4" t="n">
        <v>2020</v>
      </c>
      <c r="F1671" s="4" t="n">
        <v>12</v>
      </c>
      <c r="G1671" s="17" t="n">
        <v>4596</v>
      </c>
      <c r="H1671" s="18" t="n">
        <f aca="false">G1671*$B$1/1000000</f>
        <v>0.0101324455700226</v>
      </c>
    </row>
    <row r="1672" customFormat="false" ht="15" hidden="false" customHeight="false" outlineLevel="0" collapsed="false">
      <c r="A1672" s="4" t="s">
        <v>207</v>
      </c>
      <c r="B1672" s="4" t="s">
        <v>208</v>
      </c>
      <c r="C1672" s="4" t="s">
        <v>67</v>
      </c>
      <c r="D1672" s="16" t="n">
        <v>44197</v>
      </c>
      <c r="E1672" s="4" t="n">
        <v>2021</v>
      </c>
      <c r="F1672" s="4" t="n">
        <v>1</v>
      </c>
      <c r="G1672" s="17" t="n">
        <v>3840</v>
      </c>
      <c r="H1672" s="18" t="n">
        <f aca="false">G1672*$B$1/1000000</f>
        <v>0.008465750867904</v>
      </c>
    </row>
    <row r="1673" customFormat="false" ht="15" hidden="false" customHeight="false" outlineLevel="0" collapsed="false">
      <c r="A1673" s="4" t="s">
        <v>207</v>
      </c>
      <c r="B1673" s="4" t="s">
        <v>208</v>
      </c>
      <c r="C1673" s="4" t="s">
        <v>67</v>
      </c>
      <c r="D1673" s="16" t="n">
        <v>44228</v>
      </c>
      <c r="E1673" s="4" t="n">
        <v>2021</v>
      </c>
      <c r="F1673" s="4" t="n">
        <v>2</v>
      </c>
      <c r="G1673" s="17" t="n">
        <v>160</v>
      </c>
      <c r="H1673" s="18" t="n">
        <f aca="false">G1673*$B$1/1000000</f>
        <v>0.000352739619496</v>
      </c>
    </row>
    <row r="1674" customFormat="false" ht="15" hidden="false" customHeight="false" outlineLevel="0" collapsed="false">
      <c r="A1674" s="4" t="s">
        <v>207</v>
      </c>
      <c r="B1674" s="4" t="s">
        <v>208</v>
      </c>
      <c r="C1674" s="4" t="s">
        <v>67</v>
      </c>
      <c r="D1674" s="16" t="n">
        <v>44256</v>
      </c>
      <c r="E1674" s="4" t="n">
        <v>2021</v>
      </c>
      <c r="F1674" s="4" t="n">
        <v>3</v>
      </c>
      <c r="G1674" s="17" t="n">
        <v>1440</v>
      </c>
      <c r="H1674" s="18" t="n">
        <f aca="false">G1674*$B$1/1000000</f>
        <v>0.003174656575464</v>
      </c>
    </row>
    <row r="1675" customFormat="false" ht="15" hidden="false" customHeight="false" outlineLevel="0" collapsed="false">
      <c r="A1675" s="4" t="s">
        <v>207</v>
      </c>
      <c r="B1675" s="4" t="s">
        <v>208</v>
      </c>
      <c r="C1675" s="4" t="s">
        <v>67</v>
      </c>
      <c r="D1675" s="16" t="n">
        <v>44287</v>
      </c>
      <c r="E1675" s="4" t="n">
        <v>2021</v>
      </c>
      <c r="F1675" s="4" t="n">
        <v>4</v>
      </c>
      <c r="G1675" s="17" t="n">
        <v>2400</v>
      </c>
      <c r="H1675" s="18" t="n">
        <f aca="false">G1675*$B$1/1000000</f>
        <v>0.00529109429244</v>
      </c>
    </row>
    <row r="1676" customFormat="false" ht="15" hidden="false" customHeight="false" outlineLevel="0" collapsed="false">
      <c r="A1676" s="4" t="s">
        <v>207</v>
      </c>
      <c r="B1676" s="4" t="s">
        <v>208</v>
      </c>
      <c r="C1676" s="4" t="s">
        <v>67</v>
      </c>
      <c r="D1676" s="16" t="n">
        <v>44317</v>
      </c>
      <c r="E1676" s="4" t="n">
        <v>2021</v>
      </c>
      <c r="F1676" s="4" t="n">
        <v>5</v>
      </c>
      <c r="G1676" s="17" t="n">
        <v>1200</v>
      </c>
      <c r="H1676" s="18" t="n">
        <f aca="false">G1676*$B$1/1000000</f>
        <v>0.00264554714622</v>
      </c>
    </row>
    <row r="1677" customFormat="false" ht="15" hidden="false" customHeight="false" outlineLevel="0" collapsed="false">
      <c r="A1677" s="4" t="s">
        <v>207</v>
      </c>
      <c r="B1677" s="4" t="s">
        <v>208</v>
      </c>
      <c r="C1677" s="4" t="s">
        <v>67</v>
      </c>
      <c r="D1677" s="16" t="n">
        <v>44378</v>
      </c>
      <c r="E1677" s="4" t="n">
        <v>2021</v>
      </c>
      <c r="F1677" s="4" t="n">
        <v>7</v>
      </c>
      <c r="G1677" s="17" t="n">
        <v>1440</v>
      </c>
      <c r="H1677" s="18" t="n">
        <f aca="false">G1677*$B$1/1000000</f>
        <v>0.003174656575464</v>
      </c>
    </row>
    <row r="1678" customFormat="false" ht="15" hidden="false" customHeight="false" outlineLevel="0" collapsed="false">
      <c r="A1678" s="4" t="s">
        <v>207</v>
      </c>
      <c r="B1678" s="4" t="s">
        <v>208</v>
      </c>
      <c r="C1678" s="4" t="s">
        <v>67</v>
      </c>
      <c r="D1678" s="16" t="n">
        <v>44409</v>
      </c>
      <c r="E1678" s="4" t="n">
        <v>2021</v>
      </c>
      <c r="F1678" s="4" t="n">
        <v>8</v>
      </c>
      <c r="G1678" s="17" t="n">
        <v>2400</v>
      </c>
      <c r="H1678" s="18" t="n">
        <f aca="false">G1678*$B$1/1000000</f>
        <v>0.00529109429244</v>
      </c>
    </row>
    <row r="1679" customFormat="false" ht="15" hidden="false" customHeight="false" outlineLevel="0" collapsed="false">
      <c r="A1679" s="4" t="s">
        <v>207</v>
      </c>
      <c r="B1679" s="4" t="s">
        <v>208</v>
      </c>
      <c r="C1679" s="4" t="s">
        <v>67</v>
      </c>
      <c r="D1679" s="16" t="n">
        <v>44440</v>
      </c>
      <c r="E1679" s="4" t="n">
        <v>2021</v>
      </c>
      <c r="F1679" s="4" t="n">
        <v>9</v>
      </c>
      <c r="G1679" s="17" t="n">
        <v>3780</v>
      </c>
      <c r="H1679" s="18" t="n">
        <f aca="false">G1679*$B$1/1000000</f>
        <v>0.008333473510593</v>
      </c>
    </row>
    <row r="1680" customFormat="false" ht="15" hidden="false" customHeight="false" outlineLevel="0" collapsed="false">
      <c r="A1680" s="4" t="s">
        <v>207</v>
      </c>
      <c r="B1680" s="4" t="s">
        <v>208</v>
      </c>
      <c r="C1680" s="4" t="s">
        <v>67</v>
      </c>
      <c r="D1680" s="16" t="n">
        <v>44470</v>
      </c>
      <c r="E1680" s="4" t="n">
        <v>2021</v>
      </c>
      <c r="F1680" s="4" t="n">
        <v>10</v>
      </c>
      <c r="G1680" s="17" t="n">
        <v>720</v>
      </c>
      <c r="H1680" s="18" t="n">
        <f aca="false">G1680*$B$1/1000000</f>
        <v>0.001587328287732</v>
      </c>
    </row>
    <row r="1681" customFormat="false" ht="15" hidden="false" customHeight="false" outlineLevel="0" collapsed="false">
      <c r="A1681" s="4" t="s">
        <v>207</v>
      </c>
      <c r="B1681" s="4" t="s">
        <v>208</v>
      </c>
      <c r="C1681" s="4" t="s">
        <v>67</v>
      </c>
      <c r="D1681" s="16" t="n">
        <v>44652</v>
      </c>
      <c r="E1681" s="4" t="n">
        <v>2022</v>
      </c>
      <c r="F1681" s="4" t="n">
        <v>4</v>
      </c>
      <c r="G1681" s="17" t="n">
        <v>1800</v>
      </c>
      <c r="H1681" s="18" t="n">
        <f aca="false">G1681*$B$1/1000000</f>
        <v>0.00396832071933</v>
      </c>
    </row>
    <row r="1682" customFormat="false" ht="15" hidden="false" customHeight="false" outlineLevel="0" collapsed="false">
      <c r="A1682" s="4" t="s">
        <v>207</v>
      </c>
      <c r="B1682" s="4" t="s">
        <v>208</v>
      </c>
      <c r="C1682" s="4" t="s">
        <v>67</v>
      </c>
      <c r="D1682" s="16" t="n">
        <v>44682</v>
      </c>
      <c r="E1682" s="4" t="n">
        <v>2022</v>
      </c>
      <c r="F1682" s="4" t="n">
        <v>5</v>
      </c>
      <c r="G1682" s="17" t="n">
        <v>1800</v>
      </c>
      <c r="H1682" s="18" t="n">
        <f aca="false">G1682*$B$1/1000000</f>
        <v>0.00396832071933</v>
      </c>
    </row>
    <row r="1683" customFormat="false" ht="15" hidden="false" customHeight="false" outlineLevel="0" collapsed="false">
      <c r="A1683" s="4" t="s">
        <v>207</v>
      </c>
      <c r="B1683" s="4" t="s">
        <v>208</v>
      </c>
      <c r="C1683" s="4" t="s">
        <v>67</v>
      </c>
      <c r="D1683" s="16" t="n">
        <v>44743</v>
      </c>
      <c r="E1683" s="4" t="n">
        <v>2022</v>
      </c>
      <c r="F1683" s="4" t="n">
        <v>7</v>
      </c>
      <c r="G1683" s="17" t="n">
        <v>3369</v>
      </c>
      <c r="H1683" s="18" t="n">
        <f aca="false">G1683*$B$1/1000000</f>
        <v>0.00742737361301265</v>
      </c>
    </row>
    <row r="1684" customFormat="false" ht="15" hidden="false" customHeight="false" outlineLevel="0" collapsed="false">
      <c r="A1684" s="4" t="s">
        <v>207</v>
      </c>
      <c r="B1684" s="4" t="s">
        <v>208</v>
      </c>
      <c r="C1684" s="4" t="s">
        <v>67</v>
      </c>
      <c r="D1684" s="16" t="n">
        <v>44774</v>
      </c>
      <c r="E1684" s="4" t="n">
        <v>2022</v>
      </c>
      <c r="F1684" s="4" t="n">
        <v>8</v>
      </c>
      <c r="G1684" s="17" t="n">
        <v>1546396</v>
      </c>
      <c r="H1684" s="18" t="n">
        <f aca="false">G1684*$B$1/1000000</f>
        <v>3.40921960393835</v>
      </c>
    </row>
    <row r="1685" customFormat="false" ht="15" hidden="false" customHeight="false" outlineLevel="0" collapsed="false">
      <c r="A1685" s="4" t="s">
        <v>207</v>
      </c>
      <c r="B1685" s="4" t="s">
        <v>208</v>
      </c>
      <c r="C1685" s="4" t="s">
        <v>67</v>
      </c>
      <c r="D1685" s="16" t="n">
        <v>44835</v>
      </c>
      <c r="E1685" s="4" t="n">
        <v>2022</v>
      </c>
      <c r="F1685" s="4" t="n">
        <v>10</v>
      </c>
      <c r="G1685" s="17" t="n">
        <v>3540</v>
      </c>
      <c r="H1685" s="18" t="n">
        <f aca="false">G1685*$B$1/1000000</f>
        <v>0.007804364081349</v>
      </c>
    </row>
    <row r="1686" customFormat="false" ht="15" hidden="false" customHeight="false" outlineLevel="0" collapsed="false">
      <c r="A1686" s="4" t="s">
        <v>207</v>
      </c>
      <c r="B1686" s="4" t="s">
        <v>208</v>
      </c>
      <c r="C1686" s="4" t="s">
        <v>67</v>
      </c>
      <c r="D1686" s="16" t="n">
        <v>44866</v>
      </c>
      <c r="E1686" s="4" t="n">
        <v>2022</v>
      </c>
      <c r="F1686" s="4" t="n">
        <v>11</v>
      </c>
      <c r="G1686" s="17" t="n">
        <v>6049</v>
      </c>
      <c r="H1686" s="18" t="n">
        <f aca="false">G1686*$B$1/1000000</f>
        <v>0.0133357622395706</v>
      </c>
    </row>
    <row r="1687" customFormat="false" ht="15" hidden="false" customHeight="false" outlineLevel="0" collapsed="false">
      <c r="A1687" s="4" t="s">
        <v>207</v>
      </c>
      <c r="B1687" s="4" t="s">
        <v>208</v>
      </c>
      <c r="C1687" s="4" t="s">
        <v>67</v>
      </c>
      <c r="D1687" s="16" t="n">
        <v>44896</v>
      </c>
      <c r="E1687" s="4" t="n">
        <v>2022</v>
      </c>
      <c r="F1687" s="4" t="n">
        <v>12</v>
      </c>
      <c r="G1687" s="17" t="n">
        <v>800</v>
      </c>
      <c r="H1687" s="18" t="n">
        <f aca="false">G1687*$B$1/1000000</f>
        <v>0.00176369809748</v>
      </c>
    </row>
    <row r="1688" customFormat="false" ht="15" hidden="false" customHeight="false" outlineLevel="0" collapsed="false">
      <c r="A1688" s="4" t="s">
        <v>207</v>
      </c>
      <c r="B1688" s="4" t="s">
        <v>208</v>
      </c>
      <c r="C1688" s="4" t="s">
        <v>67</v>
      </c>
      <c r="D1688" s="16" t="n">
        <v>44927</v>
      </c>
      <c r="E1688" s="4" t="n">
        <v>2023</v>
      </c>
      <c r="F1688" s="4" t="n">
        <v>1</v>
      </c>
      <c r="G1688" s="17" t="n">
        <v>249540</v>
      </c>
      <c r="H1688" s="18" t="n">
        <f aca="false">G1688*$B$1/1000000</f>
        <v>0.550141529056449</v>
      </c>
    </row>
    <row r="1689" customFormat="false" ht="15" hidden="false" customHeight="false" outlineLevel="0" collapsed="false">
      <c r="A1689" s="4" t="s">
        <v>207</v>
      </c>
      <c r="B1689" s="4" t="s">
        <v>208</v>
      </c>
      <c r="C1689" s="4" t="s">
        <v>67</v>
      </c>
      <c r="D1689" s="16" t="n">
        <v>44958</v>
      </c>
      <c r="E1689" s="4" t="n">
        <v>2023</v>
      </c>
      <c r="F1689" s="4" t="n">
        <v>2</v>
      </c>
      <c r="G1689" s="17" t="n">
        <v>3004288</v>
      </c>
      <c r="H1689" s="18" t="n">
        <f aca="false">G1689*$B$1/1000000</f>
        <v>6.62332128735249</v>
      </c>
    </row>
    <row r="1690" customFormat="false" ht="15" hidden="false" customHeight="false" outlineLevel="0" collapsed="false">
      <c r="A1690" s="4" t="s">
        <v>207</v>
      </c>
      <c r="B1690" s="4" t="s">
        <v>208</v>
      </c>
      <c r="C1690" s="4" t="s">
        <v>67</v>
      </c>
      <c r="D1690" s="16" t="n">
        <v>45047</v>
      </c>
      <c r="E1690" s="4" t="n">
        <v>2023</v>
      </c>
      <c r="F1690" s="4" t="n">
        <v>5</v>
      </c>
      <c r="G1690" s="17" t="n">
        <v>1260</v>
      </c>
      <c r="H1690" s="18" t="n">
        <f aca="false">G1690*$B$1/1000000</f>
        <v>0.002777824503531</v>
      </c>
    </row>
    <row r="1691" customFormat="false" ht="15" hidden="false" customHeight="false" outlineLevel="0" collapsed="false">
      <c r="A1691" s="4" t="s">
        <v>207</v>
      </c>
      <c r="B1691" s="4" t="s">
        <v>208</v>
      </c>
      <c r="C1691" s="4" t="s">
        <v>67</v>
      </c>
      <c r="D1691" s="16" t="n">
        <v>45078</v>
      </c>
      <c r="E1691" s="4" t="n">
        <v>2023</v>
      </c>
      <c r="F1691" s="4" t="n">
        <v>6</v>
      </c>
      <c r="G1691" s="17" t="n">
        <v>292</v>
      </c>
      <c r="H1691" s="18" t="n">
        <f aca="false">G1691*$B$1/1000000</f>
        <v>0.0006437498055802</v>
      </c>
    </row>
    <row r="1692" customFormat="false" ht="15" hidden="false" customHeight="false" outlineLevel="0" collapsed="false">
      <c r="A1692" s="4" t="s">
        <v>207</v>
      </c>
      <c r="B1692" s="4" t="s">
        <v>208</v>
      </c>
      <c r="C1692" s="4" t="s">
        <v>67</v>
      </c>
      <c r="D1692" s="16" t="n">
        <v>45108</v>
      </c>
      <c r="E1692" s="4" t="n">
        <v>2023</v>
      </c>
      <c r="F1692" s="4" t="n">
        <v>7</v>
      </c>
      <c r="G1692" s="17" t="n">
        <v>4248</v>
      </c>
      <c r="H1692" s="18" t="n">
        <f aca="false">G1692*$B$1/1000000</f>
        <v>0.0093652368976188</v>
      </c>
    </row>
    <row r="1693" customFormat="false" ht="15" hidden="false" customHeight="false" outlineLevel="0" collapsed="false">
      <c r="A1693" s="4" t="s">
        <v>207</v>
      </c>
      <c r="B1693" s="4" t="s">
        <v>208</v>
      </c>
      <c r="C1693" s="4" t="s">
        <v>67</v>
      </c>
      <c r="D1693" s="16" t="n">
        <v>45139</v>
      </c>
      <c r="E1693" s="4" t="n">
        <v>2023</v>
      </c>
      <c r="F1693" s="4" t="n">
        <v>8</v>
      </c>
      <c r="G1693" s="17" t="n">
        <v>540</v>
      </c>
      <c r="H1693" s="18" t="n">
        <f aca="false">G1693*$B$1/1000000</f>
        <v>0.001190496215799</v>
      </c>
    </row>
    <row r="1694" customFormat="false" ht="15" hidden="false" customHeight="false" outlineLevel="0" collapsed="false">
      <c r="A1694" s="4" t="s">
        <v>207</v>
      </c>
      <c r="B1694" s="4" t="s">
        <v>208</v>
      </c>
      <c r="C1694" s="4" t="s">
        <v>67</v>
      </c>
      <c r="D1694" s="16" t="n">
        <v>45231</v>
      </c>
      <c r="E1694" s="4" t="n">
        <v>2023</v>
      </c>
      <c r="F1694" s="4" t="n">
        <v>11</v>
      </c>
      <c r="G1694" s="17" t="n">
        <v>2736</v>
      </c>
      <c r="H1694" s="18" t="n">
        <f aca="false">G1694*$B$1/1000000</f>
        <v>0.0060318474933816</v>
      </c>
    </row>
    <row r="1695" customFormat="false" ht="15" hidden="false" customHeight="false" outlineLevel="0" collapsed="false">
      <c r="A1695" s="4" t="s">
        <v>207</v>
      </c>
      <c r="B1695" s="4" t="s">
        <v>208</v>
      </c>
      <c r="C1695" s="4" t="s">
        <v>67</v>
      </c>
      <c r="D1695" s="16" t="n">
        <v>45261</v>
      </c>
      <c r="E1695" s="4" t="n">
        <v>2023</v>
      </c>
      <c r="F1695" s="4" t="n">
        <v>12</v>
      </c>
      <c r="G1695" s="17" t="n">
        <v>828</v>
      </c>
      <c r="H1695" s="18" t="n">
        <f aca="false">G1695*$B$1/1000000</f>
        <v>0.0018254275308918</v>
      </c>
    </row>
    <row r="1696" customFormat="false" ht="15" hidden="false" customHeight="false" outlineLevel="0" collapsed="false">
      <c r="A1696" s="4" t="s">
        <v>207</v>
      </c>
      <c r="B1696" s="4" t="s">
        <v>208</v>
      </c>
      <c r="C1696" s="4" t="s">
        <v>67</v>
      </c>
      <c r="D1696" s="16" t="n">
        <v>45292</v>
      </c>
      <c r="E1696" s="4" t="n">
        <v>2024</v>
      </c>
      <c r="F1696" s="4" t="n">
        <v>1</v>
      </c>
      <c r="G1696" s="17" t="n">
        <v>630</v>
      </c>
      <c r="H1696" s="18" t="n">
        <f aca="false">G1696*$B$1/1000000</f>
        <v>0.0013889122517655</v>
      </c>
    </row>
    <row r="1697" customFormat="false" ht="15" hidden="false" customHeight="false" outlineLevel="0" collapsed="false">
      <c r="A1697" s="4" t="s">
        <v>207</v>
      </c>
      <c r="B1697" s="4" t="s">
        <v>208</v>
      </c>
      <c r="C1697" s="4" t="s">
        <v>67</v>
      </c>
      <c r="D1697" s="16" t="n">
        <v>45323</v>
      </c>
      <c r="E1697" s="4" t="n">
        <v>2024</v>
      </c>
      <c r="F1697" s="4" t="n">
        <v>2</v>
      </c>
      <c r="G1697" s="17" t="n">
        <v>2160</v>
      </c>
      <c r="H1697" s="18" t="n">
        <f aca="false">G1697*$B$1/1000000</f>
        <v>0.004761984863196</v>
      </c>
    </row>
    <row r="1698" customFormat="false" ht="15" hidden="false" customHeight="false" outlineLevel="0" collapsed="false">
      <c r="A1698" s="4" t="s">
        <v>207</v>
      </c>
      <c r="B1698" s="4" t="s">
        <v>208</v>
      </c>
      <c r="C1698" s="4" t="s">
        <v>67</v>
      </c>
      <c r="D1698" s="16" t="n">
        <v>45352</v>
      </c>
      <c r="E1698" s="4" t="n">
        <v>2024</v>
      </c>
      <c r="F1698" s="4" t="n">
        <v>3</v>
      </c>
      <c r="G1698" s="17" t="n">
        <v>2880</v>
      </c>
      <c r="H1698" s="18" t="n">
        <f aca="false">G1698*$B$1/1000000</f>
        <v>0.006349313150928</v>
      </c>
    </row>
    <row r="1699" customFormat="false" ht="15" hidden="false" customHeight="false" outlineLevel="0" collapsed="false">
      <c r="A1699" s="4" t="s">
        <v>207</v>
      </c>
      <c r="B1699" s="4" t="s">
        <v>208</v>
      </c>
      <c r="C1699" s="4" t="s">
        <v>67</v>
      </c>
      <c r="D1699" s="16" t="n">
        <v>45383</v>
      </c>
      <c r="E1699" s="4" t="n">
        <v>2024</v>
      </c>
      <c r="F1699" s="4" t="n">
        <v>4</v>
      </c>
      <c r="G1699" s="17" t="n">
        <v>1980</v>
      </c>
      <c r="H1699" s="18" t="n">
        <f aca="false">G1699*$B$1/1000000</f>
        <v>0.004365152791263</v>
      </c>
    </row>
    <row r="1700" customFormat="false" ht="15" hidden="false" customHeight="false" outlineLevel="0" collapsed="false">
      <c r="A1700" s="4" t="s">
        <v>207</v>
      </c>
      <c r="B1700" s="4" t="s">
        <v>208</v>
      </c>
      <c r="C1700" s="4" t="s">
        <v>67</v>
      </c>
      <c r="D1700" s="16" t="n">
        <v>45413</v>
      </c>
      <c r="E1700" s="4" t="n">
        <v>2024</v>
      </c>
      <c r="F1700" s="4" t="n">
        <v>5</v>
      </c>
      <c r="G1700" s="17" t="n">
        <v>3600</v>
      </c>
      <c r="H1700" s="18" t="n">
        <f aca="false">G1700*$B$1/1000000</f>
        <v>0.00793664143866</v>
      </c>
    </row>
    <row r="1701" customFormat="false" ht="15" hidden="false" customHeight="false" outlineLevel="0" collapsed="false">
      <c r="A1701" s="4" t="s">
        <v>207</v>
      </c>
      <c r="B1701" s="4" t="s">
        <v>208</v>
      </c>
      <c r="C1701" s="4" t="s">
        <v>67</v>
      </c>
      <c r="D1701" s="16" t="n">
        <v>45444</v>
      </c>
      <c r="E1701" s="4" t="n">
        <v>2024</v>
      </c>
      <c r="F1701" s="4" t="n">
        <v>6</v>
      </c>
      <c r="G1701" s="17" t="n">
        <v>1170</v>
      </c>
      <c r="H1701" s="18" t="n">
        <f aca="false">G1701*$B$1/1000000</f>
        <v>0.0025794084675645</v>
      </c>
    </row>
    <row r="1702" customFormat="false" ht="15" hidden="false" customHeight="false" outlineLevel="0" collapsed="false">
      <c r="A1702" s="4" t="s">
        <v>207</v>
      </c>
      <c r="B1702" s="4" t="s">
        <v>208</v>
      </c>
      <c r="C1702" s="4" t="s">
        <v>67</v>
      </c>
      <c r="D1702" s="16" t="n">
        <v>45474</v>
      </c>
      <c r="E1702" s="4" t="n">
        <v>2024</v>
      </c>
      <c r="F1702" s="4" t="n">
        <v>7</v>
      </c>
      <c r="G1702" s="17" t="n">
        <v>594</v>
      </c>
      <c r="H1702" s="18" t="n">
        <f aca="false">G1702*$B$1/1000000</f>
        <v>0.0013095458373789</v>
      </c>
    </row>
    <row r="1703" customFormat="false" ht="15" hidden="false" customHeight="false" outlineLevel="0" collapsed="false">
      <c r="A1703" s="4" t="s">
        <v>207</v>
      </c>
      <c r="B1703" s="4" t="s">
        <v>208</v>
      </c>
      <c r="C1703" s="4" t="s">
        <v>67</v>
      </c>
      <c r="D1703" s="16" t="n">
        <v>45536</v>
      </c>
      <c r="E1703" s="4" t="n">
        <v>2024</v>
      </c>
      <c r="F1703" s="4" t="n">
        <v>9</v>
      </c>
      <c r="G1703" s="17" t="n">
        <v>720</v>
      </c>
      <c r="H1703" s="18" t="n">
        <f aca="false">G1703*$B$1/1000000</f>
        <v>0.001587328287732</v>
      </c>
    </row>
    <row r="1704" customFormat="false" ht="15" hidden="false" customHeight="false" outlineLevel="0" collapsed="false">
      <c r="A1704" s="4" t="s">
        <v>207</v>
      </c>
      <c r="B1704" s="4" t="s">
        <v>208</v>
      </c>
      <c r="C1704" s="4" t="s">
        <v>67</v>
      </c>
      <c r="D1704" s="16" t="n">
        <v>45566</v>
      </c>
      <c r="E1704" s="4" t="n">
        <v>2024</v>
      </c>
      <c r="F1704" s="4" t="n">
        <v>10</v>
      </c>
      <c r="G1704" s="17" t="n">
        <v>19290</v>
      </c>
      <c r="H1704" s="18" t="n">
        <f aca="false">G1704*$B$1/1000000</f>
        <v>0.0425271703754865</v>
      </c>
    </row>
    <row r="1705" customFormat="false" ht="15" hidden="false" customHeight="false" outlineLevel="0" collapsed="false">
      <c r="A1705" s="4" t="s">
        <v>207</v>
      </c>
      <c r="B1705" s="4" t="s">
        <v>208</v>
      </c>
      <c r="C1705" s="4" t="s">
        <v>67</v>
      </c>
      <c r="D1705" s="16" t="n">
        <v>45597</v>
      </c>
      <c r="E1705" s="4" t="n">
        <v>2024</v>
      </c>
      <c r="F1705" s="4" t="n">
        <v>11</v>
      </c>
      <c r="G1705" s="17" t="n">
        <v>508505</v>
      </c>
      <c r="H1705" s="18" t="n">
        <f aca="false">G1705*$B$1/1000000</f>
        <v>1.12106162632383</v>
      </c>
    </row>
    <row r="1706" customFormat="false" ht="15" hidden="false" customHeight="false" outlineLevel="0" collapsed="false">
      <c r="A1706" s="4" t="s">
        <v>207</v>
      </c>
      <c r="B1706" s="4" t="s">
        <v>208</v>
      </c>
      <c r="C1706" s="4" t="s">
        <v>67</v>
      </c>
      <c r="D1706" s="16" t="n">
        <v>45627</v>
      </c>
      <c r="E1706" s="4" t="n">
        <v>2024</v>
      </c>
      <c r="F1706" s="4" t="n">
        <v>12</v>
      </c>
      <c r="G1706" s="17" t="n">
        <v>596513</v>
      </c>
      <c r="H1706" s="18" t="n">
        <f aca="false">G1706*$B$1/1000000</f>
        <v>1.31508605402761</v>
      </c>
    </row>
    <row r="1707" customFormat="false" ht="15" hidden="false" customHeight="false" outlineLevel="0" collapsed="false">
      <c r="A1707" s="4" t="s">
        <v>207</v>
      </c>
      <c r="B1707" s="4" t="s">
        <v>208</v>
      </c>
      <c r="C1707" s="4" t="s">
        <v>67</v>
      </c>
      <c r="D1707" s="16" t="n">
        <v>45658</v>
      </c>
      <c r="E1707" s="4" t="n">
        <v>2025</v>
      </c>
      <c r="F1707" s="4" t="n">
        <v>1</v>
      </c>
      <c r="G1707" s="17" t="n">
        <v>491462</v>
      </c>
      <c r="H1707" s="18" t="n">
        <f aca="false">G1707*$B$1/1000000</f>
        <v>1.08348824297964</v>
      </c>
    </row>
    <row r="1708" customFormat="false" ht="15" hidden="false" customHeight="false" outlineLevel="0" collapsed="false">
      <c r="A1708" s="4" t="s">
        <v>207</v>
      </c>
      <c r="B1708" s="4" t="s">
        <v>208</v>
      </c>
      <c r="C1708" s="4" t="s">
        <v>67</v>
      </c>
      <c r="D1708" s="16" t="n">
        <v>45689</v>
      </c>
      <c r="E1708" s="4" t="n">
        <v>2025</v>
      </c>
      <c r="F1708" s="4" t="n">
        <v>2</v>
      </c>
      <c r="G1708" s="17" t="n">
        <v>186034</v>
      </c>
      <c r="H1708" s="18" t="n">
        <f aca="false">G1708*$B$1/1000000</f>
        <v>0.410134764833243</v>
      </c>
    </row>
    <row r="1709" customFormat="false" ht="15" hidden="false" customHeight="false" outlineLevel="0" collapsed="false">
      <c r="A1709" s="4" t="s">
        <v>207</v>
      </c>
      <c r="B1709" s="4" t="s">
        <v>208</v>
      </c>
      <c r="C1709" s="4" t="s">
        <v>67</v>
      </c>
      <c r="D1709" s="16" t="n">
        <v>45717</v>
      </c>
      <c r="E1709" s="4" t="n">
        <v>2025</v>
      </c>
      <c r="F1709" s="4" t="n">
        <v>3</v>
      </c>
      <c r="G1709" s="17" t="n">
        <v>2210</v>
      </c>
      <c r="H1709" s="18" t="n">
        <f aca="false">G1709*$B$1/1000000</f>
        <v>0.0048722159942885</v>
      </c>
    </row>
    <row r="1710" customFormat="false" ht="15" hidden="false" customHeight="false" outlineLevel="0" collapsed="false">
      <c r="A1710" s="4" t="s">
        <v>207</v>
      </c>
      <c r="B1710" s="4" t="s">
        <v>208</v>
      </c>
      <c r="C1710" s="4" t="s">
        <v>67</v>
      </c>
      <c r="D1710" s="16" t="n">
        <v>45778</v>
      </c>
      <c r="E1710" s="4" t="n">
        <v>2025</v>
      </c>
      <c r="F1710" s="4" t="n">
        <v>5</v>
      </c>
      <c r="G1710" s="17" t="n">
        <v>2047317</v>
      </c>
      <c r="H1710" s="18" t="n">
        <f aca="false">G1710*$B$1/1000000</f>
        <v>4.51356137229808</v>
      </c>
    </row>
    <row r="1711" customFormat="false" ht="15" hidden="false" customHeight="false" outlineLevel="0" collapsed="false">
      <c r="A1711" s="4" t="s">
        <v>207</v>
      </c>
      <c r="B1711" s="4" t="s">
        <v>208</v>
      </c>
      <c r="C1711" s="4" t="s">
        <v>67</v>
      </c>
      <c r="D1711" s="16" t="n">
        <v>45809</v>
      </c>
      <c r="E1711" s="4" t="n">
        <v>2025</v>
      </c>
      <c r="F1711" s="4" t="n">
        <v>6</v>
      </c>
      <c r="G1711" s="17" t="n">
        <v>2880</v>
      </c>
      <c r="H1711" s="18" t="n">
        <f aca="false">G1711*$B$1/1000000</f>
        <v>0.006349313150928</v>
      </c>
    </row>
    <row r="1712" customFormat="false" ht="15" hidden="false" customHeight="false" outlineLevel="0" collapsed="false">
      <c r="A1712" s="4" t="s">
        <v>207</v>
      </c>
      <c r="B1712" s="4" t="s">
        <v>208</v>
      </c>
      <c r="C1712" s="4" t="s">
        <v>67</v>
      </c>
      <c r="D1712" s="16" t="n">
        <v>45839</v>
      </c>
      <c r="E1712" s="4" t="n">
        <v>2025</v>
      </c>
      <c r="F1712" s="4" t="n">
        <v>7</v>
      </c>
      <c r="G1712" s="17" t="n">
        <v>2700</v>
      </c>
      <c r="H1712" s="18" t="n">
        <f aca="false">G1712*$B$1/1000000</f>
        <v>0.005952481078995</v>
      </c>
    </row>
    <row r="1713" customFormat="false" ht="15" hidden="false" customHeight="false" outlineLevel="0" collapsed="false">
      <c r="A1713" s="4" t="s">
        <v>207</v>
      </c>
      <c r="B1713" s="4" t="s">
        <v>208</v>
      </c>
      <c r="C1713" s="4" t="s">
        <v>67</v>
      </c>
      <c r="D1713" s="16" t="n">
        <v>45901</v>
      </c>
      <c r="E1713" s="4" t="n">
        <v>2025</v>
      </c>
      <c r="F1713" s="4" t="n">
        <v>9</v>
      </c>
      <c r="G1713" s="17" t="n">
        <v>1890</v>
      </c>
      <c r="H1713" s="18" t="n">
        <f aca="false">G1713*$B$1/1000000</f>
        <v>0.0041667367552965</v>
      </c>
    </row>
    <row r="1714" customFormat="false" ht="15" hidden="false" customHeight="false" outlineLevel="0" collapsed="false">
      <c r="A1714" s="4" t="s">
        <v>207</v>
      </c>
      <c r="B1714" s="4" t="s">
        <v>208</v>
      </c>
      <c r="C1714" s="4" t="s">
        <v>67</v>
      </c>
      <c r="D1714" s="16" t="n">
        <v>45931</v>
      </c>
      <c r="E1714" s="4" t="n">
        <v>2025</v>
      </c>
      <c r="F1714" s="4" t="n">
        <v>10</v>
      </c>
      <c r="G1714" s="17" t="n">
        <v>360</v>
      </c>
      <c r="H1714" s="18" t="n">
        <f aca="false">G1714*$B$1/1000000</f>
        <v>0.000793664143866</v>
      </c>
    </row>
    <row r="1715" customFormat="false" ht="15" hidden="false" customHeight="false" outlineLevel="0" collapsed="false">
      <c r="A1715" s="4" t="s">
        <v>207</v>
      </c>
      <c r="B1715" s="4" t="s">
        <v>208</v>
      </c>
      <c r="C1715" s="4" t="s">
        <v>67</v>
      </c>
      <c r="D1715" s="16" t="n">
        <v>45962</v>
      </c>
      <c r="E1715" s="4" t="n">
        <v>2025</v>
      </c>
      <c r="F1715" s="4" t="n">
        <v>11</v>
      </c>
      <c r="G1715" s="17" t="n">
        <v>3600</v>
      </c>
      <c r="H1715" s="18" t="n">
        <f aca="false">G1715*$B$1/1000000</f>
        <v>0.00793664143866</v>
      </c>
    </row>
    <row r="1716" customFormat="false" ht="15" hidden="false" customHeight="false" outlineLevel="0" collapsed="false">
      <c r="A1716" s="4" t="s">
        <v>207</v>
      </c>
      <c r="B1716" s="4" t="s">
        <v>208</v>
      </c>
      <c r="C1716" s="4" t="s">
        <v>67</v>
      </c>
      <c r="D1716" s="16" t="n">
        <v>46023</v>
      </c>
      <c r="E1716" s="4" t="n">
        <v>2026</v>
      </c>
      <c r="F1716" s="4" t="n">
        <v>1</v>
      </c>
      <c r="G1716" s="17" t="n">
        <v>378</v>
      </c>
      <c r="H1716" s="18" t="n">
        <f aca="false">G1716*$B$1/1000000</f>
        <v>0.0008333473510593</v>
      </c>
    </row>
    <row r="1717" customFormat="false" ht="15" hidden="false" customHeight="false" outlineLevel="0" collapsed="false">
      <c r="A1717" s="4" t="s">
        <v>207</v>
      </c>
      <c r="B1717" s="4" t="s">
        <v>208</v>
      </c>
      <c r="C1717" s="4" t="s">
        <v>67</v>
      </c>
      <c r="D1717" s="16" t="n">
        <v>46054</v>
      </c>
      <c r="E1717" s="4" t="n">
        <v>2026</v>
      </c>
      <c r="F1717" s="4" t="n">
        <v>2</v>
      </c>
      <c r="G1717" s="17" t="n">
        <v>4500</v>
      </c>
      <c r="H1717" s="18" t="n">
        <f aca="false">G1717*$B$1/1000000</f>
        <v>0.009920801798325</v>
      </c>
    </row>
    <row r="1718" customFormat="false" ht="15" hidden="false" customHeight="false" outlineLevel="0" collapsed="false">
      <c r="A1718" s="4" t="s">
        <v>207</v>
      </c>
      <c r="B1718" s="4" t="s">
        <v>208</v>
      </c>
      <c r="C1718" s="4" t="s">
        <v>67</v>
      </c>
      <c r="D1718" s="16" t="n">
        <v>46082</v>
      </c>
      <c r="E1718" s="4" t="n">
        <v>2026</v>
      </c>
      <c r="F1718" s="4" t="n">
        <v>3</v>
      </c>
      <c r="G1718" s="17" t="n">
        <v>720</v>
      </c>
      <c r="H1718" s="18" t="n">
        <f aca="false">G1718*$B$1/1000000</f>
        <v>0.001587328287732</v>
      </c>
    </row>
    <row r="1719" customFormat="false" ht="15" hidden="false" customHeight="false" outlineLevel="0" collapsed="false">
      <c r="A1719" s="4" t="s">
        <v>207</v>
      </c>
      <c r="B1719" s="4" t="s">
        <v>208</v>
      </c>
      <c r="C1719" s="4" t="s">
        <v>67</v>
      </c>
      <c r="D1719" s="16" t="n">
        <v>46113</v>
      </c>
      <c r="E1719" s="4" t="n">
        <v>2026</v>
      </c>
      <c r="F1719" s="4" t="n">
        <v>4</v>
      </c>
      <c r="G1719" s="17" t="n">
        <v>504</v>
      </c>
      <c r="H1719" s="18" t="n">
        <f aca="false">G1719*$B$1/1000000</f>
        <v>0.0011111298014124</v>
      </c>
    </row>
    <row r="1720" customFormat="false" ht="15" hidden="false" customHeight="false" outlineLevel="0" collapsed="false">
      <c r="A1720" s="4" t="s">
        <v>207</v>
      </c>
      <c r="B1720" s="4" t="s">
        <v>208</v>
      </c>
      <c r="C1720" s="4" t="s">
        <v>67</v>
      </c>
      <c r="D1720" s="16" t="n">
        <v>46143</v>
      </c>
      <c r="E1720" s="4" t="n">
        <v>2026</v>
      </c>
      <c r="F1720" s="4" t="n">
        <v>5</v>
      </c>
      <c r="G1720" s="17" t="n">
        <v>1620</v>
      </c>
      <c r="H1720" s="18" t="n">
        <f aca="false">G1720*$B$1/1000000</f>
        <v>0.003571488647397</v>
      </c>
    </row>
    <row r="1721" customFormat="false" ht="15" hidden="false" customHeight="false" outlineLevel="0" collapsed="false">
      <c r="A1721" s="4" t="s">
        <v>207</v>
      </c>
      <c r="B1721" s="4" t="s">
        <v>208</v>
      </c>
      <c r="C1721" s="4" t="s">
        <v>67</v>
      </c>
      <c r="D1721" s="16" t="n">
        <v>46204</v>
      </c>
      <c r="E1721" s="4" t="n">
        <v>2026</v>
      </c>
      <c r="F1721" s="4" t="n">
        <v>7</v>
      </c>
      <c r="G1721" s="17" t="n">
        <v>3174238</v>
      </c>
      <c r="H1721" s="18" t="n">
        <f aca="false">G1721*$B$1/1000000</f>
        <v>6.9979969019359</v>
      </c>
    </row>
    <row r="1722" customFormat="false" ht="15" hidden="false" customHeight="false" outlineLevel="0" collapsed="false">
      <c r="A1722" s="4" t="s">
        <v>207</v>
      </c>
      <c r="B1722" s="4" t="s">
        <v>208</v>
      </c>
      <c r="C1722" s="4" t="s">
        <v>67</v>
      </c>
      <c r="D1722" s="16" t="n">
        <v>46235</v>
      </c>
      <c r="E1722" s="4" t="n">
        <v>2026</v>
      </c>
      <c r="F1722" s="4" t="n">
        <v>8</v>
      </c>
      <c r="G1722" s="17" t="n">
        <v>540</v>
      </c>
      <c r="H1722" s="18" t="n">
        <f aca="false">G1722*$B$1/1000000</f>
        <v>0.001190496215799</v>
      </c>
    </row>
    <row r="1723" customFormat="false" ht="15" hidden="false" customHeight="false" outlineLevel="0" collapsed="false">
      <c r="A1723" s="4" t="s">
        <v>207</v>
      </c>
      <c r="B1723" s="4" t="s">
        <v>208</v>
      </c>
      <c r="C1723" s="4" t="s">
        <v>127</v>
      </c>
      <c r="D1723" s="16" t="n">
        <v>45200</v>
      </c>
      <c r="E1723" s="4" t="n">
        <v>2023</v>
      </c>
      <c r="F1723" s="4" t="n">
        <v>10</v>
      </c>
      <c r="G1723" s="17" t="n">
        <v>10043012</v>
      </c>
      <c r="H1723" s="18" t="n">
        <f aca="false">G1723*$B$1/1000000</f>
        <v>22.141051446711</v>
      </c>
    </row>
    <row r="1724" customFormat="false" ht="15" hidden="false" customHeight="false" outlineLevel="0" collapsed="false">
      <c r="A1724" s="4" t="s">
        <v>207</v>
      </c>
      <c r="B1724" s="4" t="s">
        <v>208</v>
      </c>
      <c r="C1724" s="4" t="s">
        <v>127</v>
      </c>
      <c r="D1724" s="16" t="n">
        <v>45261</v>
      </c>
      <c r="E1724" s="4" t="n">
        <v>2023</v>
      </c>
      <c r="F1724" s="4" t="n">
        <v>12</v>
      </c>
      <c r="G1724" s="17" t="n">
        <v>97670</v>
      </c>
      <c r="H1724" s="18" t="n">
        <f aca="false">G1724*$B$1/1000000</f>
        <v>0.215325491476089</v>
      </c>
    </row>
    <row r="1725" customFormat="false" ht="15" hidden="false" customHeight="false" outlineLevel="0" collapsed="false">
      <c r="A1725" s="4" t="s">
        <v>207</v>
      </c>
      <c r="B1725" s="4" t="s">
        <v>208</v>
      </c>
      <c r="C1725" s="4" t="s">
        <v>127</v>
      </c>
      <c r="D1725" s="16" t="n">
        <v>45292</v>
      </c>
      <c r="E1725" s="4" t="n">
        <v>2024</v>
      </c>
      <c r="F1725" s="4" t="n">
        <v>1</v>
      </c>
      <c r="G1725" s="17" t="n">
        <v>10403533</v>
      </c>
      <c r="H1725" s="18" t="n">
        <f aca="false">G1725*$B$1/1000000</f>
        <v>22.935864198963</v>
      </c>
    </row>
    <row r="1726" customFormat="false" ht="15" hidden="false" customHeight="false" outlineLevel="0" collapsed="false">
      <c r="A1726" s="4" t="s">
        <v>207</v>
      </c>
      <c r="B1726" s="4" t="s">
        <v>208</v>
      </c>
      <c r="C1726" s="4" t="s">
        <v>127</v>
      </c>
      <c r="D1726" s="16" t="n">
        <v>45383</v>
      </c>
      <c r="E1726" s="4" t="n">
        <v>2024</v>
      </c>
      <c r="F1726" s="4" t="n">
        <v>4</v>
      </c>
      <c r="G1726" s="17" t="n">
        <v>4836907</v>
      </c>
      <c r="H1726" s="18" t="n">
        <f aca="false">G1726*$B$1/1000000</f>
        <v>10.6635545919846</v>
      </c>
    </row>
    <row r="1727" customFormat="false" ht="15" hidden="false" customHeight="false" outlineLevel="0" collapsed="false">
      <c r="A1727" s="4" t="s">
        <v>207</v>
      </c>
      <c r="B1727" s="4" t="s">
        <v>208</v>
      </c>
      <c r="C1727" s="4" t="s">
        <v>127</v>
      </c>
      <c r="D1727" s="16" t="n">
        <v>45474</v>
      </c>
      <c r="E1727" s="4" t="n">
        <v>2024</v>
      </c>
      <c r="F1727" s="4" t="n">
        <v>7</v>
      </c>
      <c r="G1727" s="17" t="n">
        <v>5993307</v>
      </c>
      <c r="H1727" s="18" t="n">
        <f aca="false">G1727*$B$1/1000000</f>
        <v>13.212980191892</v>
      </c>
    </row>
    <row r="1728" customFormat="false" ht="15" hidden="false" customHeight="false" outlineLevel="0" collapsed="false">
      <c r="A1728" s="4" t="s">
        <v>207</v>
      </c>
      <c r="B1728" s="4" t="s">
        <v>208</v>
      </c>
      <c r="C1728" s="4" t="s">
        <v>127</v>
      </c>
      <c r="D1728" s="16" t="n">
        <v>45505</v>
      </c>
      <c r="E1728" s="4" t="n">
        <v>2024</v>
      </c>
      <c r="F1728" s="4" t="n">
        <v>8</v>
      </c>
      <c r="G1728" s="17" t="n">
        <v>10405903</v>
      </c>
      <c r="H1728" s="18" t="n">
        <f aca="false">G1728*$B$1/1000000</f>
        <v>22.9410891545768</v>
      </c>
    </row>
    <row r="1729" customFormat="false" ht="15" hidden="false" customHeight="false" outlineLevel="0" collapsed="false">
      <c r="A1729" s="4" t="s">
        <v>207</v>
      </c>
      <c r="B1729" s="4" t="s">
        <v>208</v>
      </c>
      <c r="C1729" s="4" t="s">
        <v>127</v>
      </c>
      <c r="D1729" s="16" t="n">
        <v>45536</v>
      </c>
      <c r="E1729" s="4" t="n">
        <v>2024</v>
      </c>
      <c r="F1729" s="4" t="n">
        <v>9</v>
      </c>
      <c r="G1729" s="17" t="n">
        <v>22092903</v>
      </c>
      <c r="H1729" s="18" t="n">
        <f aca="false">G1729*$B$1/1000000</f>
        <v>48.7065137361377</v>
      </c>
    </row>
    <row r="1730" customFormat="false" ht="15" hidden="false" customHeight="false" outlineLevel="0" collapsed="false">
      <c r="A1730" s="4" t="s">
        <v>207</v>
      </c>
      <c r="B1730" s="4" t="s">
        <v>208</v>
      </c>
      <c r="C1730" s="4" t="s">
        <v>127</v>
      </c>
      <c r="D1730" s="16" t="n">
        <v>45566</v>
      </c>
      <c r="E1730" s="4" t="n">
        <v>2024</v>
      </c>
      <c r="F1730" s="4" t="n">
        <v>10</v>
      </c>
      <c r="G1730" s="17" t="n">
        <v>10562514</v>
      </c>
      <c r="H1730" s="18" t="n">
        <f aca="false">G1730*$B$1/1000000</f>
        <v>23.2863573080073</v>
      </c>
    </row>
    <row r="1731" customFormat="false" ht="15" hidden="false" customHeight="false" outlineLevel="0" collapsed="false">
      <c r="A1731" s="4" t="s">
        <v>207</v>
      </c>
      <c r="B1731" s="4" t="s">
        <v>208</v>
      </c>
      <c r="C1731" s="4" t="s">
        <v>127</v>
      </c>
      <c r="D1731" s="16" t="n">
        <v>45597</v>
      </c>
      <c r="E1731" s="4" t="n">
        <v>2024</v>
      </c>
      <c r="F1731" s="4" t="n">
        <v>11</v>
      </c>
      <c r="G1731" s="17" t="n">
        <v>18764293</v>
      </c>
      <c r="H1731" s="18" t="n">
        <f aca="false">G1731*$B$1/1000000</f>
        <v>41.3681848308216</v>
      </c>
    </row>
    <row r="1732" customFormat="false" ht="15" hidden="false" customHeight="false" outlineLevel="0" collapsed="false">
      <c r="A1732" s="4" t="s">
        <v>207</v>
      </c>
      <c r="B1732" s="4" t="s">
        <v>208</v>
      </c>
      <c r="C1732" s="4" t="s">
        <v>127</v>
      </c>
      <c r="D1732" s="16" t="n">
        <v>45627</v>
      </c>
      <c r="E1732" s="4" t="n">
        <v>2024</v>
      </c>
      <c r="F1732" s="4" t="n">
        <v>12</v>
      </c>
      <c r="G1732" s="17" t="n">
        <v>4987145</v>
      </c>
      <c r="H1732" s="18" t="n">
        <f aca="false">G1732*$B$1/1000000</f>
        <v>10.9947726854461</v>
      </c>
    </row>
    <row r="1733" customFormat="false" ht="15" hidden="false" customHeight="false" outlineLevel="0" collapsed="false">
      <c r="A1733" s="4" t="s">
        <v>207</v>
      </c>
      <c r="B1733" s="4" t="s">
        <v>208</v>
      </c>
      <c r="C1733" s="4" t="s">
        <v>127</v>
      </c>
      <c r="D1733" s="16" t="n">
        <v>45658</v>
      </c>
      <c r="E1733" s="4" t="n">
        <v>2025</v>
      </c>
      <c r="F1733" s="4" t="n">
        <v>1</v>
      </c>
      <c r="G1733" s="17" t="n">
        <v>2499969</v>
      </c>
      <c r="H1733" s="18" t="n">
        <f aca="false">G1733*$B$1/1000000</f>
        <v>5.51148821132372</v>
      </c>
    </row>
    <row r="1734" customFormat="false" ht="15" hidden="false" customHeight="false" outlineLevel="0" collapsed="false">
      <c r="A1734" s="4" t="s">
        <v>207</v>
      </c>
      <c r="B1734" s="4" t="s">
        <v>208</v>
      </c>
      <c r="C1734" s="4" t="s">
        <v>127</v>
      </c>
      <c r="D1734" s="16" t="n">
        <v>45689</v>
      </c>
      <c r="E1734" s="4" t="n">
        <v>2025</v>
      </c>
      <c r="F1734" s="4" t="n">
        <v>2</v>
      </c>
      <c r="G1734" s="17" t="n">
        <v>38661493</v>
      </c>
      <c r="H1734" s="18" t="n">
        <f aca="false">G1734*$B$1/1000000</f>
        <v>85.2340020622954</v>
      </c>
    </row>
    <row r="1735" customFormat="false" ht="15" hidden="false" customHeight="false" outlineLevel="0" collapsed="false">
      <c r="A1735" s="4" t="s">
        <v>207</v>
      </c>
      <c r="B1735" s="4" t="s">
        <v>208</v>
      </c>
      <c r="C1735" s="4" t="s">
        <v>127</v>
      </c>
      <c r="D1735" s="16" t="n">
        <v>45717</v>
      </c>
      <c r="E1735" s="4" t="n">
        <v>2025</v>
      </c>
      <c r="F1735" s="4" t="n">
        <v>3</v>
      </c>
      <c r="G1735" s="17" t="n">
        <v>5555293</v>
      </c>
      <c r="H1735" s="18" t="n">
        <f aca="false">G1735*$B$1/1000000</f>
        <v>12.247324618805</v>
      </c>
    </row>
    <row r="1736" customFormat="false" ht="15" hidden="false" customHeight="false" outlineLevel="0" collapsed="false">
      <c r="A1736" s="4" t="s">
        <v>207</v>
      </c>
      <c r="B1736" s="4" t="s">
        <v>208</v>
      </c>
      <c r="C1736" s="4" t="s">
        <v>127</v>
      </c>
      <c r="D1736" s="16" t="n">
        <v>45748</v>
      </c>
      <c r="E1736" s="4" t="n">
        <v>2025</v>
      </c>
      <c r="F1736" s="4" t="n">
        <v>4</v>
      </c>
      <c r="G1736" s="17" t="n">
        <v>13223109</v>
      </c>
      <c r="H1736" s="18" t="n">
        <f aca="false">G1736*$B$1/1000000</f>
        <v>29.1519652325883</v>
      </c>
    </row>
    <row r="1737" customFormat="false" ht="15" hidden="false" customHeight="false" outlineLevel="0" collapsed="false">
      <c r="A1737" s="4" t="s">
        <v>207</v>
      </c>
      <c r="B1737" s="4" t="s">
        <v>208</v>
      </c>
      <c r="C1737" s="4" t="s">
        <v>127</v>
      </c>
      <c r="D1737" s="16" t="n">
        <v>45778</v>
      </c>
      <c r="E1737" s="4" t="n">
        <v>2025</v>
      </c>
      <c r="F1737" s="4" t="n">
        <v>5</v>
      </c>
      <c r="G1737" s="17" t="n">
        <v>20519523</v>
      </c>
      <c r="H1737" s="18" t="n">
        <f aca="false">G1737*$B$1/1000000</f>
        <v>45.2378045953714</v>
      </c>
    </row>
    <row r="1738" customFormat="false" ht="15" hidden="false" customHeight="false" outlineLevel="0" collapsed="false">
      <c r="A1738" s="4" t="s">
        <v>207</v>
      </c>
      <c r="B1738" s="4" t="s">
        <v>208</v>
      </c>
      <c r="C1738" s="4" t="s">
        <v>127</v>
      </c>
      <c r="D1738" s="16" t="n">
        <v>45809</v>
      </c>
      <c r="E1738" s="4" t="n">
        <v>2025</v>
      </c>
      <c r="F1738" s="4" t="n">
        <v>6</v>
      </c>
      <c r="G1738" s="17" t="n">
        <v>9552174</v>
      </c>
      <c r="H1738" s="18" t="n">
        <f aca="false">G1738*$B$1/1000000</f>
        <v>21.0589388882474</v>
      </c>
    </row>
    <row r="1739" customFormat="false" ht="15" hidden="false" customHeight="false" outlineLevel="0" collapsed="false">
      <c r="A1739" s="4" t="s">
        <v>207</v>
      </c>
      <c r="B1739" s="4" t="s">
        <v>208</v>
      </c>
      <c r="C1739" s="4" t="s">
        <v>127</v>
      </c>
      <c r="D1739" s="16" t="n">
        <v>45839</v>
      </c>
      <c r="E1739" s="4" t="n">
        <v>2025</v>
      </c>
      <c r="F1739" s="4" t="n">
        <v>7</v>
      </c>
      <c r="G1739" s="17" t="n">
        <v>29958785</v>
      </c>
      <c r="H1739" s="18" t="n">
        <f aca="false">G1739*$B$1/1000000</f>
        <v>66.0478151341405</v>
      </c>
    </row>
    <row r="1740" customFormat="false" ht="15" hidden="false" customHeight="false" outlineLevel="0" collapsed="false">
      <c r="A1740" s="4" t="s">
        <v>207</v>
      </c>
      <c r="B1740" s="4" t="s">
        <v>208</v>
      </c>
      <c r="C1740" s="4" t="s">
        <v>127</v>
      </c>
      <c r="D1740" s="16" t="n">
        <v>45870</v>
      </c>
      <c r="E1740" s="4" t="n">
        <v>2025</v>
      </c>
      <c r="F1740" s="4" t="n">
        <v>8</v>
      </c>
      <c r="G1740" s="17" t="n">
        <v>31365027</v>
      </c>
      <c r="H1740" s="18" t="n">
        <f aca="false">G1740*$B$1/1000000</f>
        <v>69.148048059136</v>
      </c>
    </row>
    <row r="1741" customFormat="false" ht="15" hidden="false" customHeight="false" outlineLevel="0" collapsed="false">
      <c r="A1741" s="4" t="s">
        <v>207</v>
      </c>
      <c r="B1741" s="4" t="s">
        <v>208</v>
      </c>
      <c r="C1741" s="4" t="s">
        <v>127</v>
      </c>
      <c r="D1741" s="16" t="n">
        <v>45962</v>
      </c>
      <c r="E1741" s="4" t="n">
        <v>2025</v>
      </c>
      <c r="F1741" s="4" t="n">
        <v>11</v>
      </c>
      <c r="G1741" s="17" t="n">
        <v>22741313</v>
      </c>
      <c r="H1741" s="18" t="n">
        <f aca="false">G1741*$B$1/1000000</f>
        <v>50.1360130903715</v>
      </c>
    </row>
    <row r="1742" customFormat="false" ht="15" hidden="false" customHeight="false" outlineLevel="0" collapsed="false">
      <c r="A1742" s="4" t="s">
        <v>207</v>
      </c>
      <c r="B1742" s="4" t="s">
        <v>208</v>
      </c>
      <c r="C1742" s="4" t="s">
        <v>127</v>
      </c>
      <c r="D1742" s="16" t="n">
        <v>45992</v>
      </c>
      <c r="E1742" s="4" t="n">
        <v>2025</v>
      </c>
      <c r="F1742" s="4" t="n">
        <v>12</v>
      </c>
      <c r="G1742" s="17" t="n">
        <v>26704544</v>
      </c>
      <c r="H1742" s="18" t="n">
        <f aca="false">G1742*$B$1/1000000</f>
        <v>58.8734418085887</v>
      </c>
    </row>
    <row r="1743" customFormat="false" ht="15" hidden="false" customHeight="false" outlineLevel="0" collapsed="false">
      <c r="A1743" s="4" t="s">
        <v>207</v>
      </c>
      <c r="B1743" s="4" t="s">
        <v>208</v>
      </c>
      <c r="C1743" s="4" t="s">
        <v>127</v>
      </c>
      <c r="D1743" s="16" t="n">
        <v>46113</v>
      </c>
      <c r="E1743" s="4" t="n">
        <v>2026</v>
      </c>
      <c r="F1743" s="4" t="n">
        <v>4</v>
      </c>
      <c r="G1743" s="17" t="n">
        <v>15254824</v>
      </c>
      <c r="H1743" s="18" t="n">
        <f aca="false">G1743*$B$1/1000000</f>
        <v>33.6311300827403</v>
      </c>
    </row>
    <row r="1744" customFormat="false" ht="15" hidden="false" customHeight="false" outlineLevel="0" collapsed="false">
      <c r="A1744" s="4" t="s">
        <v>207</v>
      </c>
      <c r="B1744" s="4" t="s">
        <v>208</v>
      </c>
      <c r="C1744" s="4" t="s">
        <v>127</v>
      </c>
      <c r="D1744" s="16" t="n">
        <v>46174</v>
      </c>
      <c r="E1744" s="4" t="n">
        <v>2026</v>
      </c>
      <c r="F1744" s="4" t="n">
        <v>6</v>
      </c>
      <c r="G1744" s="17" t="n">
        <v>704668</v>
      </c>
      <c r="H1744" s="18" t="n">
        <f aca="false">G1744*$B$1/1000000</f>
        <v>1.5535270136938</v>
      </c>
    </row>
    <row r="1745" customFormat="false" ht="15" hidden="false" customHeight="false" outlineLevel="0" collapsed="false">
      <c r="A1745" s="4" t="s">
        <v>207</v>
      </c>
      <c r="B1745" s="4" t="s">
        <v>208</v>
      </c>
      <c r="C1745" s="4" t="s">
        <v>127</v>
      </c>
      <c r="D1745" s="16" t="n">
        <v>46204</v>
      </c>
      <c r="E1745" s="4" t="n">
        <v>2026</v>
      </c>
      <c r="F1745" s="4" t="n">
        <v>7</v>
      </c>
      <c r="G1745" s="17" t="n">
        <v>27832686</v>
      </c>
      <c r="H1745" s="18" t="n">
        <f aca="false">G1745*$B$1/1000000</f>
        <v>61.3605691824478</v>
      </c>
    </row>
    <row r="1746" customFormat="false" ht="15" hidden="false" customHeight="false" outlineLevel="0" collapsed="false">
      <c r="A1746" s="4" t="s">
        <v>207</v>
      </c>
      <c r="B1746" s="4" t="s">
        <v>208</v>
      </c>
      <c r="C1746" s="4" t="s">
        <v>127</v>
      </c>
      <c r="D1746" s="16" t="n">
        <v>46235</v>
      </c>
      <c r="E1746" s="4" t="n">
        <v>2026</v>
      </c>
      <c r="F1746" s="4" t="n">
        <v>8</v>
      </c>
      <c r="G1746" s="17" t="n">
        <v>78060</v>
      </c>
      <c r="H1746" s="18" t="n">
        <f aca="false">G1746*$B$1/1000000</f>
        <v>0.172092841861611</v>
      </c>
    </row>
    <row r="1747" customFormat="false" ht="15" hidden="false" customHeight="false" outlineLevel="0" collapsed="false">
      <c r="A1747" s="4" t="s">
        <v>207</v>
      </c>
      <c r="B1747" s="4" t="s">
        <v>208</v>
      </c>
      <c r="C1747" s="4" t="s">
        <v>140</v>
      </c>
      <c r="D1747" s="16" t="n">
        <v>45261</v>
      </c>
      <c r="E1747" s="4" t="n">
        <v>2023</v>
      </c>
      <c r="F1747" s="4" t="n">
        <v>12</v>
      </c>
      <c r="G1747" s="17" t="n">
        <v>49098</v>
      </c>
      <c r="H1747" s="18" t="n">
        <f aca="false">G1747*$B$1/1000000</f>
        <v>0.108242561487591</v>
      </c>
    </row>
    <row r="1748" customFormat="false" ht="15" hidden="false" customHeight="false" outlineLevel="0" collapsed="false">
      <c r="A1748" s="4" t="s">
        <v>207</v>
      </c>
      <c r="B1748" s="4" t="s">
        <v>208</v>
      </c>
      <c r="C1748" s="4" t="s">
        <v>140</v>
      </c>
      <c r="D1748" s="16" t="n">
        <v>45292</v>
      </c>
      <c r="E1748" s="4" t="n">
        <v>2024</v>
      </c>
      <c r="F1748" s="4" t="n">
        <v>1</v>
      </c>
      <c r="G1748" s="17" t="n">
        <v>245534</v>
      </c>
      <c r="H1748" s="18" t="n">
        <f aca="false">G1748*$B$1/1000000</f>
        <v>0.541309810833318</v>
      </c>
    </row>
    <row r="1749" customFormat="false" ht="15" hidden="false" customHeight="false" outlineLevel="0" collapsed="false">
      <c r="A1749" s="4" t="s">
        <v>207</v>
      </c>
      <c r="B1749" s="4" t="s">
        <v>208</v>
      </c>
      <c r="C1749" s="4" t="s">
        <v>140</v>
      </c>
      <c r="D1749" s="16" t="n">
        <v>45352</v>
      </c>
      <c r="E1749" s="4" t="n">
        <v>2024</v>
      </c>
      <c r="F1749" s="4" t="n">
        <v>3</v>
      </c>
      <c r="G1749" s="17" t="n">
        <v>75434</v>
      </c>
      <c r="H1749" s="18" t="n">
        <f aca="false">G1749*$B$1/1000000</f>
        <v>0.166303502856633</v>
      </c>
    </row>
    <row r="1750" customFormat="false" ht="15" hidden="false" customHeight="false" outlineLevel="0" collapsed="false">
      <c r="A1750" s="4" t="s">
        <v>207</v>
      </c>
      <c r="B1750" s="4" t="s">
        <v>208</v>
      </c>
      <c r="C1750" s="4" t="s">
        <v>140</v>
      </c>
      <c r="D1750" s="16" t="n">
        <v>45383</v>
      </c>
      <c r="E1750" s="4" t="n">
        <v>2024</v>
      </c>
      <c r="F1750" s="4" t="n">
        <v>4</v>
      </c>
      <c r="G1750" s="17" t="n">
        <v>121323</v>
      </c>
      <c r="H1750" s="18" t="n">
        <f aca="false">G1750*$B$1/1000000</f>
        <v>0.267471430350708</v>
      </c>
    </row>
    <row r="1751" customFormat="false" ht="15" hidden="false" customHeight="false" outlineLevel="0" collapsed="false">
      <c r="A1751" s="4" t="s">
        <v>207</v>
      </c>
      <c r="B1751" s="4" t="s">
        <v>208</v>
      </c>
      <c r="C1751" s="4" t="s">
        <v>140</v>
      </c>
      <c r="D1751" s="16" t="n">
        <v>45474</v>
      </c>
      <c r="E1751" s="4" t="n">
        <v>2024</v>
      </c>
      <c r="F1751" s="4" t="n">
        <v>7</v>
      </c>
      <c r="G1751" s="17" t="n">
        <v>119871</v>
      </c>
      <c r="H1751" s="18" t="n">
        <f aca="false">G1751*$B$1/1000000</f>
        <v>0.264270318303781</v>
      </c>
    </row>
    <row r="1752" customFormat="false" ht="15" hidden="false" customHeight="false" outlineLevel="0" collapsed="false">
      <c r="A1752" s="4" t="s">
        <v>207</v>
      </c>
      <c r="B1752" s="4" t="s">
        <v>208</v>
      </c>
      <c r="C1752" s="4" t="s">
        <v>140</v>
      </c>
      <c r="D1752" s="16" t="n">
        <v>45536</v>
      </c>
      <c r="E1752" s="4" t="n">
        <v>2024</v>
      </c>
      <c r="F1752" s="4" t="n">
        <v>9</v>
      </c>
      <c r="G1752" s="17" t="n">
        <v>46557</v>
      </c>
      <c r="H1752" s="18" t="n">
        <f aca="false">G1752*$B$1/1000000</f>
        <v>0.10264061540547</v>
      </c>
    </row>
    <row r="1753" customFormat="false" ht="15" hidden="false" customHeight="false" outlineLevel="0" collapsed="false">
      <c r="A1753" s="4" t="s">
        <v>207</v>
      </c>
      <c r="B1753" s="4" t="s">
        <v>208</v>
      </c>
      <c r="C1753" s="4" t="s">
        <v>140</v>
      </c>
      <c r="D1753" s="16" t="n">
        <v>45778</v>
      </c>
      <c r="E1753" s="4" t="n">
        <v>2025</v>
      </c>
      <c r="F1753" s="4" t="n">
        <v>5</v>
      </c>
      <c r="G1753" s="17" t="n">
        <v>74400</v>
      </c>
      <c r="H1753" s="18" t="n">
        <f aca="false">G1753*$B$1/1000000</f>
        <v>0.16402392306564</v>
      </c>
    </row>
    <row r="1754" customFormat="false" ht="15" hidden="false" customHeight="false" outlineLevel="0" collapsed="false">
      <c r="A1754" s="4" t="s">
        <v>207</v>
      </c>
      <c r="B1754" s="4" t="s">
        <v>208</v>
      </c>
      <c r="C1754" s="4" t="s">
        <v>140</v>
      </c>
      <c r="D1754" s="16" t="n">
        <v>45809</v>
      </c>
      <c r="E1754" s="4" t="n">
        <v>2025</v>
      </c>
      <c r="F1754" s="4" t="n">
        <v>6</v>
      </c>
      <c r="G1754" s="17" t="n">
        <v>440330</v>
      </c>
      <c r="H1754" s="18" t="n">
        <f aca="false">G1754*$B$1/1000000</f>
        <v>0.970761479079211</v>
      </c>
    </row>
    <row r="1755" customFormat="false" ht="15" hidden="false" customHeight="false" outlineLevel="0" collapsed="false">
      <c r="A1755" s="4" t="s">
        <v>207</v>
      </c>
      <c r="B1755" s="4" t="s">
        <v>208</v>
      </c>
      <c r="C1755" s="4" t="s">
        <v>140</v>
      </c>
      <c r="D1755" s="16" t="n">
        <v>45839</v>
      </c>
      <c r="E1755" s="4" t="n">
        <v>2025</v>
      </c>
      <c r="F1755" s="4" t="n">
        <v>7</v>
      </c>
      <c r="G1755" s="17" t="n">
        <v>248550</v>
      </c>
      <c r="H1755" s="18" t="n">
        <f aca="false">G1755*$B$1/1000000</f>
        <v>0.547958952660818</v>
      </c>
    </row>
    <row r="1756" customFormat="false" ht="15" hidden="false" customHeight="false" outlineLevel="0" collapsed="false">
      <c r="A1756" s="4" t="s">
        <v>207</v>
      </c>
      <c r="B1756" s="4" t="s">
        <v>208</v>
      </c>
      <c r="C1756" s="4" t="s">
        <v>140</v>
      </c>
      <c r="D1756" s="16" t="n">
        <v>45870</v>
      </c>
      <c r="E1756" s="4" t="n">
        <v>2025</v>
      </c>
      <c r="F1756" s="4" t="n">
        <v>8</v>
      </c>
      <c r="G1756" s="17" t="n">
        <v>267169</v>
      </c>
      <c r="H1756" s="18" t="n">
        <f aca="false">G1756*$B$1/1000000</f>
        <v>0.589006821257043</v>
      </c>
    </row>
    <row r="1757" customFormat="false" ht="15" hidden="false" customHeight="false" outlineLevel="0" collapsed="false">
      <c r="A1757" s="4" t="s">
        <v>207</v>
      </c>
      <c r="B1757" s="4" t="s">
        <v>208</v>
      </c>
      <c r="C1757" s="4" t="s">
        <v>140</v>
      </c>
      <c r="D1757" s="16" t="n">
        <v>45901</v>
      </c>
      <c r="E1757" s="4" t="n">
        <v>2025</v>
      </c>
      <c r="F1757" s="4" t="n">
        <v>9</v>
      </c>
      <c r="G1757" s="17" t="n">
        <v>513700</v>
      </c>
      <c r="H1757" s="18" t="n">
        <f aca="false">G1757*$B$1/1000000</f>
        <v>1.13251464084435</v>
      </c>
    </row>
    <row r="1758" customFormat="false" ht="15" hidden="false" customHeight="false" outlineLevel="0" collapsed="false">
      <c r="A1758" s="4" t="s">
        <v>207</v>
      </c>
      <c r="B1758" s="4" t="s">
        <v>208</v>
      </c>
      <c r="C1758" s="4" t="s">
        <v>140</v>
      </c>
      <c r="D1758" s="16" t="n">
        <v>45962</v>
      </c>
      <c r="E1758" s="4" t="n">
        <v>2025</v>
      </c>
      <c r="F1758" s="4" t="n">
        <v>11</v>
      </c>
      <c r="G1758" s="17" t="n">
        <v>535560</v>
      </c>
      <c r="H1758" s="18" t="n">
        <f aca="false">G1758*$B$1/1000000</f>
        <v>1.18070769135799</v>
      </c>
    </row>
    <row r="1759" customFormat="false" ht="15" hidden="false" customHeight="false" outlineLevel="0" collapsed="false">
      <c r="A1759" s="4" t="s">
        <v>207</v>
      </c>
      <c r="B1759" s="4" t="s">
        <v>208</v>
      </c>
      <c r="C1759" s="4" t="s">
        <v>140</v>
      </c>
      <c r="D1759" s="16" t="n">
        <v>46174</v>
      </c>
      <c r="E1759" s="4" t="n">
        <v>2026</v>
      </c>
      <c r="F1759" s="4" t="n">
        <v>6</v>
      </c>
      <c r="G1759" s="17" t="n">
        <v>707714</v>
      </c>
      <c r="H1759" s="18" t="n">
        <f aca="false">G1759*$B$1/1000000</f>
        <v>1.56024229419995</v>
      </c>
    </row>
    <row r="1760" customFormat="false" ht="15" hidden="false" customHeight="false" outlineLevel="0" collapsed="false">
      <c r="A1760" s="4" t="s">
        <v>207</v>
      </c>
      <c r="B1760" s="4" t="s">
        <v>208</v>
      </c>
      <c r="C1760" s="4" t="s">
        <v>140</v>
      </c>
      <c r="D1760" s="16" t="n">
        <v>46235</v>
      </c>
      <c r="E1760" s="4" t="n">
        <v>2026</v>
      </c>
      <c r="F1760" s="4" t="n">
        <v>8</v>
      </c>
      <c r="G1760" s="17" t="n">
        <v>628080</v>
      </c>
      <c r="H1760" s="18" t="n">
        <f aca="false">G1760*$B$1/1000000</f>
        <v>1.38467937633155</v>
      </c>
    </row>
    <row r="1761" customFormat="false" ht="15" hidden="false" customHeight="false" outlineLevel="0" collapsed="false">
      <c r="A1761" s="4" t="s">
        <v>207</v>
      </c>
      <c r="B1761" s="4" t="s">
        <v>208</v>
      </c>
      <c r="C1761" s="4" t="s">
        <v>65</v>
      </c>
      <c r="D1761" s="16" t="n">
        <v>44075</v>
      </c>
      <c r="E1761" s="4" t="n">
        <v>2020</v>
      </c>
      <c r="F1761" s="4" t="n">
        <v>9</v>
      </c>
      <c r="G1761" s="17" t="n">
        <v>20900</v>
      </c>
      <c r="H1761" s="18" t="n">
        <f aca="false">G1761*$B$1/1000000</f>
        <v>0.046076612796665</v>
      </c>
    </row>
    <row r="1762" customFormat="false" ht="15" hidden="false" customHeight="false" outlineLevel="0" collapsed="false">
      <c r="A1762" s="4" t="s">
        <v>207</v>
      </c>
      <c r="B1762" s="4" t="s">
        <v>208</v>
      </c>
      <c r="C1762" s="4" t="s">
        <v>65</v>
      </c>
      <c r="D1762" s="16" t="n">
        <v>44774</v>
      </c>
      <c r="E1762" s="4" t="n">
        <v>2022</v>
      </c>
      <c r="F1762" s="4" t="n">
        <v>8</v>
      </c>
      <c r="G1762" s="17" t="n">
        <v>151987</v>
      </c>
      <c r="H1762" s="18" t="n">
        <f aca="false">G1762*$B$1/1000000</f>
        <v>0.335073978427116</v>
      </c>
    </row>
    <row r="1763" customFormat="false" ht="15" hidden="false" customHeight="false" outlineLevel="0" collapsed="false">
      <c r="A1763" s="4" t="s">
        <v>207</v>
      </c>
      <c r="B1763" s="4" t="s">
        <v>208</v>
      </c>
      <c r="C1763" s="4" t="s">
        <v>65</v>
      </c>
      <c r="D1763" s="16" t="n">
        <v>45108</v>
      </c>
      <c r="E1763" s="4" t="n">
        <v>2023</v>
      </c>
      <c r="F1763" s="4" t="n">
        <v>7</v>
      </c>
      <c r="G1763" s="17" t="n">
        <v>152458</v>
      </c>
      <c r="H1763" s="18" t="n">
        <f aca="false">G1763*$B$1/1000000</f>
        <v>0.336112355682007</v>
      </c>
    </row>
    <row r="1764" customFormat="false" ht="15" hidden="false" customHeight="false" outlineLevel="0" collapsed="false">
      <c r="A1764" s="4" t="s">
        <v>207</v>
      </c>
      <c r="B1764" s="4" t="s">
        <v>208</v>
      </c>
      <c r="C1764" s="4" t="s">
        <v>65</v>
      </c>
      <c r="D1764" s="16" t="n">
        <v>45200</v>
      </c>
      <c r="E1764" s="4" t="n">
        <v>2023</v>
      </c>
      <c r="F1764" s="4" t="n">
        <v>10</v>
      </c>
      <c r="G1764" s="17" t="n">
        <v>4857828</v>
      </c>
      <c r="H1764" s="18" t="n">
        <f aca="false">G1764*$B$1/1000000</f>
        <v>10.7096775018563</v>
      </c>
    </row>
    <row r="1765" customFormat="false" ht="15" hidden="false" customHeight="false" outlineLevel="0" collapsed="false">
      <c r="A1765" s="4" t="s">
        <v>207</v>
      </c>
      <c r="B1765" s="4" t="s">
        <v>208</v>
      </c>
      <c r="C1765" s="4" t="s">
        <v>65</v>
      </c>
      <c r="D1765" s="16" t="n">
        <v>45261</v>
      </c>
      <c r="E1765" s="4" t="n">
        <v>2023</v>
      </c>
      <c r="F1765" s="4" t="n">
        <v>12</v>
      </c>
      <c r="G1765" s="17" t="n">
        <v>6981657</v>
      </c>
      <c r="H1765" s="18" t="n">
        <f aca="false">G1765*$B$1/1000000</f>
        <v>15.3919189601974</v>
      </c>
    </row>
    <row r="1766" customFormat="false" ht="15" hidden="false" customHeight="false" outlineLevel="0" collapsed="false">
      <c r="A1766" s="4" t="s">
        <v>207</v>
      </c>
      <c r="B1766" s="4" t="s">
        <v>208</v>
      </c>
      <c r="C1766" s="4" t="s">
        <v>65</v>
      </c>
      <c r="D1766" s="16" t="n">
        <v>45474</v>
      </c>
      <c r="E1766" s="4" t="n">
        <v>2024</v>
      </c>
      <c r="F1766" s="4" t="n">
        <v>7</v>
      </c>
      <c r="G1766" s="17" t="n">
        <v>15032448</v>
      </c>
      <c r="H1766" s="18" t="n">
        <f aca="false">G1766*$B$1/1000000</f>
        <v>33.1408749225838</v>
      </c>
    </row>
    <row r="1767" customFormat="false" ht="15" hidden="false" customHeight="false" outlineLevel="0" collapsed="false">
      <c r="A1767" s="4" t="s">
        <v>207</v>
      </c>
      <c r="B1767" s="4" t="s">
        <v>208</v>
      </c>
      <c r="C1767" s="4" t="s">
        <v>65</v>
      </c>
      <c r="D1767" s="16" t="n">
        <v>45505</v>
      </c>
      <c r="E1767" s="4" t="n">
        <v>2024</v>
      </c>
      <c r="F1767" s="4" t="n">
        <v>8</v>
      </c>
      <c r="G1767" s="17" t="n">
        <v>40957493</v>
      </c>
      <c r="H1767" s="18" t="n">
        <f aca="false">G1767*$B$1/1000000</f>
        <v>90.295815602063</v>
      </c>
    </row>
    <row r="1768" customFormat="false" ht="15" hidden="false" customHeight="false" outlineLevel="0" collapsed="false">
      <c r="A1768" s="4" t="s">
        <v>207</v>
      </c>
      <c r="B1768" s="4" t="s">
        <v>208</v>
      </c>
      <c r="C1768" s="4" t="s">
        <v>65</v>
      </c>
      <c r="D1768" s="16" t="n">
        <v>45536</v>
      </c>
      <c r="E1768" s="4" t="n">
        <v>2024</v>
      </c>
      <c r="F1768" s="4" t="n">
        <v>9</v>
      </c>
      <c r="G1768" s="17" t="n">
        <v>20748470</v>
      </c>
      <c r="H1768" s="18" t="n">
        <f aca="false">G1768*$B$1/1000000</f>
        <v>45.7425463307761</v>
      </c>
    </row>
    <row r="1769" customFormat="false" ht="15" hidden="false" customHeight="false" outlineLevel="0" collapsed="false">
      <c r="A1769" s="4" t="s">
        <v>207</v>
      </c>
      <c r="B1769" s="4" t="s">
        <v>208</v>
      </c>
      <c r="C1769" s="4" t="s">
        <v>65</v>
      </c>
      <c r="D1769" s="16" t="n">
        <v>45566</v>
      </c>
      <c r="E1769" s="4" t="n">
        <v>2024</v>
      </c>
      <c r="F1769" s="4" t="n">
        <v>10</v>
      </c>
      <c r="G1769" s="17" t="n">
        <v>51729201</v>
      </c>
      <c r="H1769" s="18" t="n">
        <f aca="false">G1769*$B$1/1000000</f>
        <v>114.043366734826</v>
      </c>
    </row>
    <row r="1770" customFormat="false" ht="15" hidden="false" customHeight="false" outlineLevel="0" collapsed="false">
      <c r="A1770" s="4" t="s">
        <v>207</v>
      </c>
      <c r="B1770" s="4" t="s">
        <v>208</v>
      </c>
      <c r="C1770" s="4" t="s">
        <v>65</v>
      </c>
      <c r="D1770" s="16" t="n">
        <v>45597</v>
      </c>
      <c r="E1770" s="4" t="n">
        <v>2024</v>
      </c>
      <c r="F1770" s="4" t="n">
        <v>11</v>
      </c>
      <c r="G1770" s="17" t="n">
        <v>19563824</v>
      </c>
      <c r="H1770" s="18" t="n">
        <f aca="false">G1770*$B$1/1000000</f>
        <v>43.130848960292</v>
      </c>
    </row>
    <row r="1771" customFormat="false" ht="15" hidden="false" customHeight="false" outlineLevel="0" collapsed="false">
      <c r="A1771" s="4" t="s">
        <v>207</v>
      </c>
      <c r="B1771" s="4" t="s">
        <v>208</v>
      </c>
      <c r="C1771" s="4" t="s">
        <v>65</v>
      </c>
      <c r="D1771" s="16" t="n">
        <v>45627</v>
      </c>
      <c r="E1771" s="4" t="n">
        <v>2024</v>
      </c>
      <c r="F1771" s="4" t="n">
        <v>12</v>
      </c>
      <c r="G1771" s="17" t="n">
        <v>4074541</v>
      </c>
      <c r="H1771" s="18" t="n">
        <f aca="false">G1771*$B$1/1000000</f>
        <v>8.98282526225532</v>
      </c>
    </row>
    <row r="1772" customFormat="false" ht="15" hidden="false" customHeight="false" outlineLevel="0" collapsed="false">
      <c r="A1772" s="4" t="s">
        <v>207</v>
      </c>
      <c r="B1772" s="4" t="s">
        <v>208</v>
      </c>
      <c r="C1772" s="4" t="s">
        <v>65</v>
      </c>
      <c r="D1772" s="16" t="n">
        <v>45658</v>
      </c>
      <c r="E1772" s="4" t="n">
        <v>2025</v>
      </c>
      <c r="F1772" s="4" t="n">
        <v>1</v>
      </c>
      <c r="G1772" s="17" t="n">
        <v>26736255</v>
      </c>
      <c r="H1772" s="18" t="n">
        <f aca="false">G1772*$B$1/1000000</f>
        <v>58.9433525965502</v>
      </c>
    </row>
    <row r="1773" customFormat="false" ht="15" hidden="false" customHeight="false" outlineLevel="0" collapsed="false">
      <c r="A1773" s="4" t="s">
        <v>207</v>
      </c>
      <c r="B1773" s="4" t="s">
        <v>208</v>
      </c>
      <c r="C1773" s="4" t="s">
        <v>65</v>
      </c>
      <c r="D1773" s="16" t="n">
        <v>45689</v>
      </c>
      <c r="E1773" s="4" t="n">
        <v>2025</v>
      </c>
      <c r="F1773" s="4" t="n">
        <v>2</v>
      </c>
      <c r="G1773" s="17" t="n">
        <v>21261162</v>
      </c>
      <c r="H1773" s="18" t="n">
        <f aca="false">G1773*$B$1/1000000</f>
        <v>46.8728387120176</v>
      </c>
    </row>
    <row r="1774" customFormat="false" ht="15" hidden="false" customHeight="false" outlineLevel="0" collapsed="false">
      <c r="A1774" s="4" t="s">
        <v>207</v>
      </c>
      <c r="B1774" s="4" t="s">
        <v>208</v>
      </c>
      <c r="C1774" s="4" t="s">
        <v>65</v>
      </c>
      <c r="D1774" s="16" t="n">
        <v>45717</v>
      </c>
      <c r="E1774" s="4" t="n">
        <v>2025</v>
      </c>
      <c r="F1774" s="4" t="n">
        <v>3</v>
      </c>
      <c r="G1774" s="17" t="n">
        <v>9676995</v>
      </c>
      <c r="H1774" s="18" t="n">
        <f aca="false">G1774*$B$1/1000000</f>
        <v>21.3341220885293</v>
      </c>
    </row>
    <row r="1775" customFormat="false" ht="15" hidden="false" customHeight="false" outlineLevel="0" collapsed="false">
      <c r="A1775" s="4" t="s">
        <v>207</v>
      </c>
      <c r="B1775" s="4" t="s">
        <v>208</v>
      </c>
      <c r="C1775" s="4" t="s">
        <v>65</v>
      </c>
      <c r="D1775" s="16" t="n">
        <v>45778</v>
      </c>
      <c r="E1775" s="4" t="n">
        <v>2025</v>
      </c>
      <c r="F1775" s="4" t="n">
        <v>5</v>
      </c>
      <c r="G1775" s="17" t="n">
        <v>6723976</v>
      </c>
      <c r="H1775" s="18" t="n">
        <f aca="false">G1775*$B$1/1000000</f>
        <v>14.8238295983765</v>
      </c>
    </row>
    <row r="1776" customFormat="false" ht="15" hidden="false" customHeight="false" outlineLevel="0" collapsed="false">
      <c r="A1776" s="4" t="s">
        <v>207</v>
      </c>
      <c r="B1776" s="4" t="s">
        <v>208</v>
      </c>
      <c r="C1776" s="4" t="s">
        <v>65</v>
      </c>
      <c r="D1776" s="16" t="n">
        <v>45839</v>
      </c>
      <c r="E1776" s="4" t="n">
        <v>2025</v>
      </c>
      <c r="F1776" s="4" t="n">
        <v>7</v>
      </c>
      <c r="G1776" s="17" t="n">
        <v>44882797</v>
      </c>
      <c r="H1776" s="18" t="n">
        <f aca="false">G1776*$B$1/1000000</f>
        <v>98.9496295981013</v>
      </c>
    </row>
    <row r="1777" customFormat="false" ht="15" hidden="false" customHeight="false" outlineLevel="0" collapsed="false">
      <c r="A1777" s="4" t="s">
        <v>207</v>
      </c>
      <c r="B1777" s="4" t="s">
        <v>208</v>
      </c>
      <c r="C1777" s="4" t="s">
        <v>65</v>
      </c>
      <c r="D1777" s="16" t="n">
        <v>45870</v>
      </c>
      <c r="E1777" s="4" t="n">
        <v>2025</v>
      </c>
      <c r="F1777" s="4" t="n">
        <v>8</v>
      </c>
      <c r="G1777" s="17" t="n">
        <v>34274555</v>
      </c>
      <c r="H1777" s="18" t="n">
        <f aca="false">G1777*$B$1/1000000</f>
        <v>75.562459306842</v>
      </c>
    </row>
    <row r="1778" customFormat="false" ht="15" hidden="false" customHeight="false" outlineLevel="0" collapsed="false">
      <c r="A1778" s="4" t="s">
        <v>207</v>
      </c>
      <c r="B1778" s="4" t="s">
        <v>208</v>
      </c>
      <c r="C1778" s="4" t="s">
        <v>65</v>
      </c>
      <c r="D1778" s="16" t="n">
        <v>45931</v>
      </c>
      <c r="E1778" s="4" t="n">
        <v>2025</v>
      </c>
      <c r="F1778" s="4" t="n">
        <v>10</v>
      </c>
      <c r="G1778" s="17" t="n">
        <v>29334896</v>
      </c>
      <c r="H1778" s="18" t="n">
        <f aca="false">G1778*$B$1/1000000</f>
        <v>64.6723753312171</v>
      </c>
    </row>
    <row r="1779" customFormat="false" ht="15" hidden="false" customHeight="false" outlineLevel="0" collapsed="false">
      <c r="A1779" s="4" t="s">
        <v>207</v>
      </c>
      <c r="B1779" s="4" t="s">
        <v>208</v>
      </c>
      <c r="C1779" s="4" t="s">
        <v>65</v>
      </c>
      <c r="D1779" s="16" t="n">
        <v>45962</v>
      </c>
      <c r="E1779" s="4" t="n">
        <v>2025</v>
      </c>
      <c r="F1779" s="4" t="n">
        <v>11</v>
      </c>
      <c r="G1779" s="17" t="n">
        <v>29508554</v>
      </c>
      <c r="H1779" s="18" t="n">
        <f aca="false">G1779*$B$1/1000000</f>
        <v>65.0552256864823</v>
      </c>
    </row>
    <row r="1780" customFormat="false" ht="15" hidden="false" customHeight="false" outlineLevel="0" collapsed="false">
      <c r="A1780" s="4" t="s">
        <v>207</v>
      </c>
      <c r="B1780" s="4" t="s">
        <v>208</v>
      </c>
      <c r="C1780" s="4" t="s">
        <v>65</v>
      </c>
      <c r="D1780" s="16" t="n">
        <v>45992</v>
      </c>
      <c r="E1780" s="4" t="n">
        <v>2025</v>
      </c>
      <c r="F1780" s="4" t="n">
        <v>12</v>
      </c>
      <c r="G1780" s="17" t="n">
        <v>51337706</v>
      </c>
      <c r="H1780" s="18" t="n">
        <f aca="false">G1780*$B$1/1000000</f>
        <v>113.180268001484</v>
      </c>
    </row>
    <row r="1781" customFormat="false" ht="15" hidden="false" customHeight="false" outlineLevel="0" collapsed="false">
      <c r="A1781" s="4" t="s">
        <v>207</v>
      </c>
      <c r="B1781" s="4" t="s">
        <v>208</v>
      </c>
      <c r="C1781" s="4" t="s">
        <v>65</v>
      </c>
      <c r="D1781" s="16" t="n">
        <v>46023</v>
      </c>
      <c r="E1781" s="4" t="n">
        <v>2026</v>
      </c>
      <c r="F1781" s="4" t="n">
        <v>1</v>
      </c>
      <c r="G1781" s="17" t="n">
        <v>12032200</v>
      </c>
      <c r="H1781" s="18" t="n">
        <f aca="false">G1781*$B$1/1000000</f>
        <v>26.5264603106236</v>
      </c>
    </row>
    <row r="1782" customFormat="false" ht="15" hidden="false" customHeight="false" outlineLevel="0" collapsed="false">
      <c r="A1782" s="4" t="s">
        <v>207</v>
      </c>
      <c r="B1782" s="4" t="s">
        <v>208</v>
      </c>
      <c r="C1782" s="4" t="s">
        <v>65</v>
      </c>
      <c r="D1782" s="16" t="n">
        <v>46054</v>
      </c>
      <c r="E1782" s="4" t="n">
        <v>2026</v>
      </c>
      <c r="F1782" s="4" t="n">
        <v>2</v>
      </c>
      <c r="G1782" s="17" t="n">
        <v>20021954</v>
      </c>
      <c r="H1782" s="18" t="n">
        <f aca="false">G1782*$B$1/1000000</f>
        <v>44.1408527220401</v>
      </c>
    </row>
    <row r="1783" customFormat="false" ht="15" hidden="false" customHeight="false" outlineLevel="0" collapsed="false">
      <c r="A1783" s="4" t="s">
        <v>207</v>
      </c>
      <c r="B1783" s="4" t="s">
        <v>208</v>
      </c>
      <c r="C1783" s="4" t="s">
        <v>65</v>
      </c>
      <c r="D1783" s="16" t="n">
        <v>46082</v>
      </c>
      <c r="E1783" s="4" t="n">
        <v>2026</v>
      </c>
      <c r="F1783" s="4" t="n">
        <v>3</v>
      </c>
      <c r="G1783" s="17" t="n">
        <v>7926848</v>
      </c>
      <c r="H1783" s="18" t="n">
        <f aca="false">G1783*$B$1/1000000</f>
        <v>17.4757084207664</v>
      </c>
    </row>
    <row r="1784" customFormat="false" ht="15" hidden="false" customHeight="false" outlineLevel="0" collapsed="false">
      <c r="A1784" s="4" t="s">
        <v>207</v>
      </c>
      <c r="B1784" s="4" t="s">
        <v>208</v>
      </c>
      <c r="C1784" s="4" t="s">
        <v>65</v>
      </c>
      <c r="D1784" s="16" t="n">
        <v>46113</v>
      </c>
      <c r="E1784" s="4" t="n">
        <v>2026</v>
      </c>
      <c r="F1784" s="4" t="n">
        <v>4</v>
      </c>
      <c r="G1784" s="17" t="n">
        <v>33931685</v>
      </c>
      <c r="H1784" s="18" t="n">
        <f aca="false">G1784*$B$1/1000000</f>
        <v>74.8065603484883</v>
      </c>
    </row>
    <row r="1785" customFormat="false" ht="15" hidden="false" customHeight="false" outlineLevel="0" collapsed="false">
      <c r="A1785" s="4" t="s">
        <v>207</v>
      </c>
      <c r="B1785" s="4" t="s">
        <v>208</v>
      </c>
      <c r="C1785" s="4" t="s">
        <v>65</v>
      </c>
      <c r="D1785" s="16" t="n">
        <v>46143</v>
      </c>
      <c r="E1785" s="4" t="n">
        <v>2026</v>
      </c>
      <c r="F1785" s="4" t="n">
        <v>5</v>
      </c>
      <c r="G1785" s="17" t="n">
        <v>35666408</v>
      </c>
      <c r="H1785" s="18" t="n">
        <f aca="false">G1785*$B$1/1000000</f>
        <v>78.6309699169318</v>
      </c>
    </row>
    <row r="1786" customFormat="false" ht="15" hidden="false" customHeight="false" outlineLevel="0" collapsed="false">
      <c r="A1786" s="4" t="s">
        <v>207</v>
      </c>
      <c r="B1786" s="4" t="s">
        <v>208</v>
      </c>
      <c r="C1786" s="4" t="s">
        <v>65</v>
      </c>
      <c r="D1786" s="16" t="n">
        <v>46174</v>
      </c>
      <c r="E1786" s="4" t="n">
        <v>2026</v>
      </c>
      <c r="F1786" s="4" t="n">
        <v>6</v>
      </c>
      <c r="G1786" s="17" t="n">
        <v>12013489</v>
      </c>
      <c r="H1786" s="18" t="n">
        <f aca="false">G1786*$B$1/1000000</f>
        <v>26.4852096167461</v>
      </c>
    </row>
    <row r="1787" customFormat="false" ht="15" hidden="false" customHeight="false" outlineLevel="0" collapsed="false">
      <c r="A1787" s="4" t="s">
        <v>207</v>
      </c>
      <c r="B1787" s="4" t="s">
        <v>208</v>
      </c>
      <c r="C1787" s="4" t="s">
        <v>65</v>
      </c>
      <c r="D1787" s="16" t="n">
        <v>46204</v>
      </c>
      <c r="E1787" s="4" t="n">
        <v>2026</v>
      </c>
      <c r="F1787" s="4" t="n">
        <v>7</v>
      </c>
      <c r="G1787" s="17" t="n">
        <v>37380614</v>
      </c>
      <c r="H1787" s="18" t="n">
        <f aca="false">G1787*$B$1/1000000</f>
        <v>82.4101472430428</v>
      </c>
    </row>
    <row r="1788" customFormat="false" ht="15" hidden="false" customHeight="false" outlineLevel="0" collapsed="false">
      <c r="A1788" s="4" t="s">
        <v>207</v>
      </c>
      <c r="B1788" s="4" t="s">
        <v>208</v>
      </c>
      <c r="C1788" s="4" t="s">
        <v>65</v>
      </c>
      <c r="D1788" s="16" t="n">
        <v>46235</v>
      </c>
      <c r="E1788" s="4" t="n">
        <v>2026</v>
      </c>
      <c r="F1788" s="4" t="n">
        <v>8</v>
      </c>
      <c r="G1788" s="17" t="n">
        <v>48331250</v>
      </c>
      <c r="H1788" s="18" t="n">
        <f aca="false">G1788*$B$1/1000000</f>
        <v>106.552167092288</v>
      </c>
    </row>
    <row r="1789" customFormat="false" ht="15" hidden="false" customHeight="false" outlineLevel="0" collapsed="false">
      <c r="A1789" s="4" t="s">
        <v>207</v>
      </c>
      <c r="B1789" s="4" t="s">
        <v>208</v>
      </c>
      <c r="C1789" s="4" t="s">
        <v>47</v>
      </c>
      <c r="D1789" s="16" t="n">
        <v>43831</v>
      </c>
      <c r="E1789" s="4" t="n">
        <v>2020</v>
      </c>
      <c r="F1789" s="4" t="n">
        <v>1</v>
      </c>
      <c r="G1789" s="17" t="n">
        <v>219000</v>
      </c>
      <c r="H1789" s="18" t="n">
        <f aca="false">G1789*$B$1/1000000</f>
        <v>0.48281235418515</v>
      </c>
    </row>
    <row r="1790" customFormat="false" ht="15" hidden="false" customHeight="false" outlineLevel="0" collapsed="false">
      <c r="A1790" s="4" t="s">
        <v>207</v>
      </c>
      <c r="B1790" s="4" t="s">
        <v>208</v>
      </c>
      <c r="C1790" s="4" t="s">
        <v>47</v>
      </c>
      <c r="D1790" s="16" t="n">
        <v>43862</v>
      </c>
      <c r="E1790" s="4" t="n">
        <v>2020</v>
      </c>
      <c r="F1790" s="4" t="n">
        <v>2</v>
      </c>
      <c r="G1790" s="17" t="n">
        <v>154290</v>
      </c>
      <c r="H1790" s="18" t="n">
        <f aca="false">G1790*$B$1/1000000</f>
        <v>0.340151224325237</v>
      </c>
    </row>
    <row r="1791" customFormat="false" ht="15" hidden="false" customHeight="false" outlineLevel="0" collapsed="false">
      <c r="A1791" s="4" t="s">
        <v>207</v>
      </c>
      <c r="B1791" s="4" t="s">
        <v>208</v>
      </c>
      <c r="C1791" s="4" t="s">
        <v>47</v>
      </c>
      <c r="D1791" s="16" t="n">
        <v>43891</v>
      </c>
      <c r="E1791" s="4" t="n">
        <v>2020</v>
      </c>
      <c r="F1791" s="4" t="n">
        <v>3</v>
      </c>
      <c r="G1791" s="17" t="n">
        <v>229860</v>
      </c>
      <c r="H1791" s="18" t="n">
        <f aca="false">G1791*$B$1/1000000</f>
        <v>0.506754555858441</v>
      </c>
    </row>
    <row r="1792" customFormat="false" ht="15" hidden="false" customHeight="false" outlineLevel="0" collapsed="false">
      <c r="A1792" s="4" t="s">
        <v>207</v>
      </c>
      <c r="B1792" s="4" t="s">
        <v>208</v>
      </c>
      <c r="C1792" s="4" t="s">
        <v>47</v>
      </c>
      <c r="D1792" s="16" t="n">
        <v>43922</v>
      </c>
      <c r="E1792" s="4" t="n">
        <v>2020</v>
      </c>
      <c r="F1792" s="4" t="n">
        <v>4</v>
      </c>
      <c r="G1792" s="17" t="n">
        <v>145100</v>
      </c>
      <c r="H1792" s="18" t="n">
        <f aca="false">G1792*$B$1/1000000</f>
        <v>0.319890742430435</v>
      </c>
    </row>
    <row r="1793" customFormat="false" ht="15" hidden="false" customHeight="false" outlineLevel="0" collapsed="false">
      <c r="A1793" s="4" t="s">
        <v>207</v>
      </c>
      <c r="B1793" s="4" t="s">
        <v>208</v>
      </c>
      <c r="C1793" s="4" t="s">
        <v>47</v>
      </c>
      <c r="D1793" s="16" t="n">
        <v>43952</v>
      </c>
      <c r="E1793" s="4" t="n">
        <v>2020</v>
      </c>
      <c r="F1793" s="4" t="n">
        <v>5</v>
      </c>
      <c r="G1793" s="17" t="n">
        <v>78380</v>
      </c>
      <c r="H1793" s="18" t="n">
        <f aca="false">G1793*$B$1/1000000</f>
        <v>0.172798321100603</v>
      </c>
    </row>
    <row r="1794" customFormat="false" ht="15" hidden="false" customHeight="false" outlineLevel="0" collapsed="false">
      <c r="A1794" s="4" t="s">
        <v>207</v>
      </c>
      <c r="B1794" s="4" t="s">
        <v>208</v>
      </c>
      <c r="C1794" s="4" t="s">
        <v>47</v>
      </c>
      <c r="D1794" s="16" t="n">
        <v>43983</v>
      </c>
      <c r="E1794" s="4" t="n">
        <v>2020</v>
      </c>
      <c r="F1794" s="4" t="n">
        <v>6</v>
      </c>
      <c r="G1794" s="17" t="n">
        <v>73080</v>
      </c>
      <c r="H1794" s="18" t="n">
        <f aca="false">G1794*$B$1/1000000</f>
        <v>0.161113821204798</v>
      </c>
    </row>
    <row r="1795" customFormat="false" ht="15" hidden="false" customHeight="false" outlineLevel="0" collapsed="false">
      <c r="A1795" s="4" t="s">
        <v>207</v>
      </c>
      <c r="B1795" s="4" t="s">
        <v>208</v>
      </c>
      <c r="C1795" s="4" t="s">
        <v>47</v>
      </c>
      <c r="D1795" s="16" t="n">
        <v>44013</v>
      </c>
      <c r="E1795" s="4" t="n">
        <v>2020</v>
      </c>
      <c r="F1795" s="4" t="n">
        <v>7</v>
      </c>
      <c r="G1795" s="17" t="n">
        <v>235440</v>
      </c>
      <c r="H1795" s="18" t="n">
        <f aca="false">G1795*$B$1/1000000</f>
        <v>0.519056350088364</v>
      </c>
    </row>
    <row r="1796" customFormat="false" ht="15" hidden="false" customHeight="false" outlineLevel="0" collapsed="false">
      <c r="A1796" s="4" t="s">
        <v>207</v>
      </c>
      <c r="B1796" s="4" t="s">
        <v>208</v>
      </c>
      <c r="C1796" s="4" t="s">
        <v>47</v>
      </c>
      <c r="D1796" s="16" t="n">
        <v>44044</v>
      </c>
      <c r="E1796" s="4" t="n">
        <v>2020</v>
      </c>
      <c r="F1796" s="4" t="n">
        <v>8</v>
      </c>
      <c r="G1796" s="17" t="n">
        <v>313220</v>
      </c>
      <c r="H1796" s="18" t="n">
        <f aca="false">G1796*$B$1/1000000</f>
        <v>0.690531897615857</v>
      </c>
    </row>
    <row r="1797" customFormat="false" ht="15" hidden="false" customHeight="false" outlineLevel="0" collapsed="false">
      <c r="A1797" s="4" t="s">
        <v>207</v>
      </c>
      <c r="B1797" s="4" t="s">
        <v>208</v>
      </c>
      <c r="C1797" s="4" t="s">
        <v>47</v>
      </c>
      <c r="D1797" s="16" t="n">
        <v>44075</v>
      </c>
      <c r="E1797" s="4" t="n">
        <v>2020</v>
      </c>
      <c r="F1797" s="4" t="n">
        <v>9</v>
      </c>
      <c r="G1797" s="17" t="n">
        <v>79961</v>
      </c>
      <c r="H1797" s="18" t="n">
        <f aca="false">G1797*$B$1/1000000</f>
        <v>0.176283829465748</v>
      </c>
    </row>
    <row r="1798" customFormat="false" ht="15" hidden="false" customHeight="false" outlineLevel="0" collapsed="false">
      <c r="A1798" s="4" t="s">
        <v>207</v>
      </c>
      <c r="B1798" s="4" t="s">
        <v>208</v>
      </c>
      <c r="C1798" s="4" t="s">
        <v>47</v>
      </c>
      <c r="D1798" s="16" t="n">
        <v>44105</v>
      </c>
      <c r="E1798" s="4" t="n">
        <v>2020</v>
      </c>
      <c r="F1798" s="4" t="n">
        <v>10</v>
      </c>
      <c r="G1798" s="17" t="n">
        <v>98850</v>
      </c>
      <c r="H1798" s="18" t="n">
        <f aca="false">G1798*$B$1/1000000</f>
        <v>0.217926946169873</v>
      </c>
    </row>
    <row r="1799" customFormat="false" ht="15" hidden="false" customHeight="false" outlineLevel="0" collapsed="false">
      <c r="A1799" s="4" t="s">
        <v>207</v>
      </c>
      <c r="B1799" s="4" t="s">
        <v>208</v>
      </c>
      <c r="C1799" s="4" t="s">
        <v>47</v>
      </c>
      <c r="D1799" s="16" t="n">
        <v>44136</v>
      </c>
      <c r="E1799" s="4" t="n">
        <v>2020</v>
      </c>
      <c r="F1799" s="4" t="n">
        <v>11</v>
      </c>
      <c r="G1799" s="17" t="n">
        <v>307150</v>
      </c>
      <c r="H1799" s="18" t="n">
        <f aca="false">G1799*$B$1/1000000</f>
        <v>0.677149838301228</v>
      </c>
    </row>
    <row r="1800" customFormat="false" ht="15" hidden="false" customHeight="false" outlineLevel="0" collapsed="false">
      <c r="A1800" s="4" t="s">
        <v>207</v>
      </c>
      <c r="B1800" s="4" t="s">
        <v>208</v>
      </c>
      <c r="C1800" s="4" t="s">
        <v>47</v>
      </c>
      <c r="D1800" s="16" t="n">
        <v>44166</v>
      </c>
      <c r="E1800" s="4" t="n">
        <v>2020</v>
      </c>
      <c r="F1800" s="4" t="n">
        <v>12</v>
      </c>
      <c r="G1800" s="17" t="n">
        <v>122780</v>
      </c>
      <c r="H1800" s="18" t="n">
        <f aca="false">G1800*$B$1/1000000</f>
        <v>0.270683565510743</v>
      </c>
    </row>
    <row r="1801" customFormat="false" ht="15" hidden="false" customHeight="false" outlineLevel="0" collapsed="false">
      <c r="A1801" s="4" t="s">
        <v>207</v>
      </c>
      <c r="B1801" s="4" t="s">
        <v>208</v>
      </c>
      <c r="C1801" s="4" t="s">
        <v>47</v>
      </c>
      <c r="D1801" s="16" t="n">
        <v>44197</v>
      </c>
      <c r="E1801" s="4" t="n">
        <v>2021</v>
      </c>
      <c r="F1801" s="4" t="n">
        <v>1</v>
      </c>
      <c r="G1801" s="17" t="n">
        <v>237445</v>
      </c>
      <c r="H1801" s="18" t="n">
        <f aca="false">G1801*$B$1/1000000</f>
        <v>0.523476618445173</v>
      </c>
    </row>
    <row r="1802" customFormat="false" ht="15" hidden="false" customHeight="false" outlineLevel="0" collapsed="false">
      <c r="A1802" s="4" t="s">
        <v>207</v>
      </c>
      <c r="B1802" s="4" t="s">
        <v>208</v>
      </c>
      <c r="C1802" s="4" t="s">
        <v>47</v>
      </c>
      <c r="D1802" s="16" t="n">
        <v>44228</v>
      </c>
      <c r="E1802" s="4" t="n">
        <v>2021</v>
      </c>
      <c r="F1802" s="4" t="n">
        <v>2</v>
      </c>
      <c r="G1802" s="17" t="n">
        <v>152580</v>
      </c>
      <c r="H1802" s="18" t="n">
        <f aca="false">G1802*$B$1/1000000</f>
        <v>0.336381319641873</v>
      </c>
    </row>
    <row r="1803" customFormat="false" ht="15" hidden="false" customHeight="false" outlineLevel="0" collapsed="false">
      <c r="A1803" s="4" t="s">
        <v>207</v>
      </c>
      <c r="B1803" s="4" t="s">
        <v>208</v>
      </c>
      <c r="C1803" s="4" t="s">
        <v>47</v>
      </c>
      <c r="D1803" s="16" t="n">
        <v>44256</v>
      </c>
      <c r="E1803" s="4" t="n">
        <v>2021</v>
      </c>
      <c r="F1803" s="4" t="n">
        <v>3</v>
      </c>
      <c r="G1803" s="17" t="n">
        <v>224540</v>
      </c>
      <c r="H1803" s="18" t="n">
        <f aca="false">G1803*$B$1/1000000</f>
        <v>0.495025963510199</v>
      </c>
    </row>
    <row r="1804" customFormat="false" ht="15" hidden="false" customHeight="false" outlineLevel="0" collapsed="false">
      <c r="A1804" s="4" t="s">
        <v>207</v>
      </c>
      <c r="B1804" s="4" t="s">
        <v>208</v>
      </c>
      <c r="C1804" s="4" t="s">
        <v>47</v>
      </c>
      <c r="D1804" s="16" t="n">
        <v>44287</v>
      </c>
      <c r="E1804" s="4" t="n">
        <v>2021</v>
      </c>
      <c r="F1804" s="4" t="n">
        <v>4</v>
      </c>
      <c r="G1804" s="17" t="n">
        <v>78356</v>
      </c>
      <c r="H1804" s="18" t="n">
        <f aca="false">G1804*$B$1/1000000</f>
        <v>0.172745410157679</v>
      </c>
    </row>
    <row r="1805" customFormat="false" ht="15" hidden="false" customHeight="false" outlineLevel="0" collapsed="false">
      <c r="A1805" s="4" t="s">
        <v>207</v>
      </c>
      <c r="B1805" s="4" t="s">
        <v>208</v>
      </c>
      <c r="C1805" s="4" t="s">
        <v>47</v>
      </c>
      <c r="D1805" s="16" t="n">
        <v>44317</v>
      </c>
      <c r="E1805" s="4" t="n">
        <v>2021</v>
      </c>
      <c r="F1805" s="4" t="n">
        <v>5</v>
      </c>
      <c r="G1805" s="17" t="n">
        <v>181690</v>
      </c>
      <c r="H1805" s="18" t="n">
        <f aca="false">G1805*$B$1/1000000</f>
        <v>0.400557884163927</v>
      </c>
    </row>
    <row r="1806" customFormat="false" ht="15" hidden="false" customHeight="false" outlineLevel="0" collapsed="false">
      <c r="A1806" s="4" t="s">
        <v>207</v>
      </c>
      <c r="B1806" s="4" t="s">
        <v>208</v>
      </c>
      <c r="C1806" s="4" t="s">
        <v>47</v>
      </c>
      <c r="D1806" s="16" t="n">
        <v>44348</v>
      </c>
      <c r="E1806" s="4" t="n">
        <v>2021</v>
      </c>
      <c r="F1806" s="4" t="n">
        <v>6</v>
      </c>
      <c r="G1806" s="17" t="n">
        <v>232752</v>
      </c>
      <c r="H1806" s="18" t="n">
        <f aca="false">G1806*$B$1/1000000</f>
        <v>0.513130324480831</v>
      </c>
    </row>
    <row r="1807" customFormat="false" ht="15" hidden="false" customHeight="false" outlineLevel="0" collapsed="false">
      <c r="A1807" s="4" t="s">
        <v>207</v>
      </c>
      <c r="B1807" s="4" t="s">
        <v>208</v>
      </c>
      <c r="C1807" s="4" t="s">
        <v>47</v>
      </c>
      <c r="D1807" s="16" t="n">
        <v>44378</v>
      </c>
      <c r="E1807" s="4" t="n">
        <v>2021</v>
      </c>
      <c r="F1807" s="4" t="n">
        <v>7</v>
      </c>
      <c r="G1807" s="17" t="n">
        <v>201490</v>
      </c>
      <c r="H1807" s="18" t="n">
        <f aca="false">G1807*$B$1/1000000</f>
        <v>0.444209412076557</v>
      </c>
    </row>
    <row r="1808" customFormat="false" ht="15" hidden="false" customHeight="false" outlineLevel="0" collapsed="false">
      <c r="A1808" s="4" t="s">
        <v>207</v>
      </c>
      <c r="B1808" s="4" t="s">
        <v>208</v>
      </c>
      <c r="C1808" s="4" t="s">
        <v>47</v>
      </c>
      <c r="D1808" s="16" t="n">
        <v>44409</v>
      </c>
      <c r="E1808" s="4" t="n">
        <v>2021</v>
      </c>
      <c r="F1808" s="4" t="n">
        <v>8</v>
      </c>
      <c r="G1808" s="17" t="n">
        <v>193860</v>
      </c>
      <c r="H1808" s="18" t="n">
        <f aca="false">G1808*$B$1/1000000</f>
        <v>0.427388141471841</v>
      </c>
    </row>
    <row r="1809" customFormat="false" ht="15" hidden="false" customHeight="false" outlineLevel="0" collapsed="false">
      <c r="A1809" s="4" t="s">
        <v>207</v>
      </c>
      <c r="B1809" s="4" t="s">
        <v>208</v>
      </c>
      <c r="C1809" s="4" t="s">
        <v>47</v>
      </c>
      <c r="D1809" s="16" t="n">
        <v>44440</v>
      </c>
      <c r="E1809" s="4" t="n">
        <v>2021</v>
      </c>
      <c r="F1809" s="4" t="n">
        <v>9</v>
      </c>
      <c r="G1809" s="17" t="n">
        <v>270080</v>
      </c>
      <c r="H1809" s="18" t="n">
        <f aca="false">G1809*$B$1/1000000</f>
        <v>0.595424477709248</v>
      </c>
    </row>
    <row r="1810" customFormat="false" ht="15" hidden="false" customHeight="false" outlineLevel="0" collapsed="false">
      <c r="A1810" s="4" t="s">
        <v>207</v>
      </c>
      <c r="B1810" s="4" t="s">
        <v>208</v>
      </c>
      <c r="C1810" s="4" t="s">
        <v>47</v>
      </c>
      <c r="D1810" s="16" t="n">
        <v>44470</v>
      </c>
      <c r="E1810" s="4" t="n">
        <v>2021</v>
      </c>
      <c r="F1810" s="4" t="n">
        <v>10</v>
      </c>
      <c r="G1810" s="17" t="n">
        <v>615791</v>
      </c>
      <c r="H1810" s="18" t="n">
        <f aca="false">G1810*$B$1/1000000</f>
        <v>1.35758676893163</v>
      </c>
    </row>
    <row r="1811" customFormat="false" ht="15" hidden="false" customHeight="false" outlineLevel="0" collapsed="false">
      <c r="A1811" s="4" t="s">
        <v>207</v>
      </c>
      <c r="B1811" s="4" t="s">
        <v>208</v>
      </c>
      <c r="C1811" s="4" t="s">
        <v>47</v>
      </c>
      <c r="D1811" s="16" t="n">
        <v>44501</v>
      </c>
      <c r="E1811" s="4" t="n">
        <v>2021</v>
      </c>
      <c r="F1811" s="4" t="n">
        <v>11</v>
      </c>
      <c r="G1811" s="17" t="n">
        <v>119380</v>
      </c>
      <c r="H1811" s="18" t="n">
        <f aca="false">G1811*$B$1/1000000</f>
        <v>0.263187848596453</v>
      </c>
    </row>
    <row r="1812" customFormat="false" ht="15" hidden="false" customHeight="false" outlineLevel="0" collapsed="false">
      <c r="A1812" s="4" t="s">
        <v>207</v>
      </c>
      <c r="B1812" s="4" t="s">
        <v>208</v>
      </c>
      <c r="C1812" s="4" t="s">
        <v>47</v>
      </c>
      <c r="D1812" s="16" t="n">
        <v>44531</v>
      </c>
      <c r="E1812" s="4" t="n">
        <v>2021</v>
      </c>
      <c r="F1812" s="4" t="n">
        <v>12</v>
      </c>
      <c r="G1812" s="17" t="n">
        <v>510800</v>
      </c>
      <c r="H1812" s="18" t="n">
        <f aca="false">G1812*$B$1/1000000</f>
        <v>1.12612123524098</v>
      </c>
    </row>
    <row r="1813" customFormat="false" ht="15" hidden="false" customHeight="false" outlineLevel="0" collapsed="false">
      <c r="A1813" s="4" t="s">
        <v>207</v>
      </c>
      <c r="B1813" s="4" t="s">
        <v>208</v>
      </c>
      <c r="C1813" s="4" t="s">
        <v>47</v>
      </c>
      <c r="D1813" s="16" t="n">
        <v>44562</v>
      </c>
      <c r="E1813" s="4" t="n">
        <v>2022</v>
      </c>
      <c r="F1813" s="4" t="n">
        <v>1</v>
      </c>
      <c r="G1813" s="17" t="n">
        <v>455840</v>
      </c>
      <c r="H1813" s="18" t="n">
        <f aca="false">G1813*$B$1/1000000</f>
        <v>1.0049551759441</v>
      </c>
    </row>
    <row r="1814" customFormat="false" ht="15" hidden="false" customHeight="false" outlineLevel="0" collapsed="false">
      <c r="A1814" s="4" t="s">
        <v>207</v>
      </c>
      <c r="B1814" s="4" t="s">
        <v>208</v>
      </c>
      <c r="C1814" s="4" t="s">
        <v>47</v>
      </c>
      <c r="D1814" s="16" t="n">
        <v>44621</v>
      </c>
      <c r="E1814" s="4" t="n">
        <v>2022</v>
      </c>
      <c r="F1814" s="4" t="n">
        <v>3</v>
      </c>
      <c r="G1814" s="17" t="n">
        <v>404780</v>
      </c>
      <c r="H1814" s="18" t="n">
        <f aca="false">G1814*$B$1/1000000</f>
        <v>0.892387144872443</v>
      </c>
    </row>
    <row r="1815" customFormat="false" ht="15" hidden="false" customHeight="false" outlineLevel="0" collapsed="false">
      <c r="A1815" s="4" t="s">
        <v>207</v>
      </c>
      <c r="B1815" s="4" t="s">
        <v>208</v>
      </c>
      <c r="C1815" s="4" t="s">
        <v>47</v>
      </c>
      <c r="D1815" s="16" t="n">
        <v>44652</v>
      </c>
      <c r="E1815" s="4" t="n">
        <v>2022</v>
      </c>
      <c r="F1815" s="4" t="n">
        <v>4</v>
      </c>
      <c r="G1815" s="17" t="n">
        <v>408290</v>
      </c>
      <c r="H1815" s="18" t="n">
        <f aca="false">G1815*$B$1/1000000</f>
        <v>0.900125370275137</v>
      </c>
    </row>
    <row r="1816" customFormat="false" ht="15" hidden="false" customHeight="false" outlineLevel="0" collapsed="false">
      <c r="A1816" s="4" t="s">
        <v>207</v>
      </c>
      <c r="B1816" s="4" t="s">
        <v>208</v>
      </c>
      <c r="C1816" s="4" t="s">
        <v>47</v>
      </c>
      <c r="D1816" s="16" t="n">
        <v>44682</v>
      </c>
      <c r="E1816" s="4" t="n">
        <v>2022</v>
      </c>
      <c r="F1816" s="4" t="n">
        <v>5</v>
      </c>
      <c r="G1816" s="17" t="n">
        <v>709182</v>
      </c>
      <c r="H1816" s="18" t="n">
        <f aca="false">G1816*$B$1/1000000</f>
        <v>1.56347868020883</v>
      </c>
    </row>
    <row r="1817" customFormat="false" ht="15" hidden="false" customHeight="false" outlineLevel="0" collapsed="false">
      <c r="A1817" s="4" t="s">
        <v>207</v>
      </c>
      <c r="B1817" s="4" t="s">
        <v>208</v>
      </c>
      <c r="C1817" s="4" t="s">
        <v>47</v>
      </c>
      <c r="D1817" s="16" t="n">
        <v>44713</v>
      </c>
      <c r="E1817" s="4" t="n">
        <v>2022</v>
      </c>
      <c r="F1817" s="4" t="n">
        <v>6</v>
      </c>
      <c r="G1817" s="17" t="n">
        <v>725010</v>
      </c>
      <c r="H1817" s="18" t="n">
        <f aca="false">G1817*$B$1/1000000</f>
        <v>1.59837344706747</v>
      </c>
    </row>
    <row r="1818" customFormat="false" ht="15" hidden="false" customHeight="false" outlineLevel="0" collapsed="false">
      <c r="A1818" s="4" t="s">
        <v>207</v>
      </c>
      <c r="B1818" s="4" t="s">
        <v>208</v>
      </c>
      <c r="C1818" s="4" t="s">
        <v>47</v>
      </c>
      <c r="D1818" s="16" t="n">
        <v>44743</v>
      </c>
      <c r="E1818" s="4" t="n">
        <v>2022</v>
      </c>
      <c r="F1818" s="4" t="n">
        <v>7</v>
      </c>
      <c r="G1818" s="17" t="n">
        <v>828501</v>
      </c>
      <c r="H1818" s="18" t="n">
        <f aca="false">G1818*$B$1/1000000</f>
        <v>1.82653204682535</v>
      </c>
    </row>
    <row r="1819" customFormat="false" ht="15" hidden="false" customHeight="false" outlineLevel="0" collapsed="false">
      <c r="A1819" s="4" t="s">
        <v>207</v>
      </c>
      <c r="B1819" s="4" t="s">
        <v>208</v>
      </c>
      <c r="C1819" s="4" t="s">
        <v>47</v>
      </c>
      <c r="D1819" s="16" t="n">
        <v>44774</v>
      </c>
      <c r="E1819" s="4" t="n">
        <v>2022</v>
      </c>
      <c r="F1819" s="4" t="n">
        <v>8</v>
      </c>
      <c r="G1819" s="17" t="n">
        <v>614690</v>
      </c>
      <c r="H1819" s="18" t="n">
        <f aca="false">G1819*$B$1/1000000</f>
        <v>1.35515947942498</v>
      </c>
    </row>
    <row r="1820" customFormat="false" ht="15" hidden="false" customHeight="false" outlineLevel="0" collapsed="false">
      <c r="A1820" s="4" t="s">
        <v>207</v>
      </c>
      <c r="B1820" s="4" t="s">
        <v>208</v>
      </c>
      <c r="C1820" s="4" t="s">
        <v>47</v>
      </c>
      <c r="D1820" s="16" t="n">
        <v>44805</v>
      </c>
      <c r="E1820" s="4" t="n">
        <v>2022</v>
      </c>
      <c r="F1820" s="4" t="n">
        <v>9</v>
      </c>
      <c r="G1820" s="17" t="n">
        <v>908131</v>
      </c>
      <c r="H1820" s="18" t="n">
        <f aca="false">G1820*$B$1/1000000</f>
        <v>2.00208614620326</v>
      </c>
    </row>
    <row r="1821" customFormat="false" ht="15" hidden="false" customHeight="false" outlineLevel="0" collapsed="false">
      <c r="A1821" s="4" t="s">
        <v>207</v>
      </c>
      <c r="B1821" s="4" t="s">
        <v>208</v>
      </c>
      <c r="C1821" s="4" t="s">
        <v>47</v>
      </c>
      <c r="D1821" s="16" t="n">
        <v>44835</v>
      </c>
      <c r="E1821" s="4" t="n">
        <v>2022</v>
      </c>
      <c r="F1821" s="4" t="n">
        <v>10</v>
      </c>
      <c r="G1821" s="17" t="n">
        <v>1451820</v>
      </c>
      <c r="H1821" s="18" t="n">
        <f aca="false">G1821*$B$1/1000000</f>
        <v>3.20071521485427</v>
      </c>
    </row>
    <row r="1822" customFormat="false" ht="15" hidden="false" customHeight="false" outlineLevel="0" collapsed="false">
      <c r="A1822" s="4" t="s">
        <v>207</v>
      </c>
      <c r="B1822" s="4" t="s">
        <v>208</v>
      </c>
      <c r="C1822" s="4" t="s">
        <v>47</v>
      </c>
      <c r="D1822" s="16" t="n">
        <v>44866</v>
      </c>
      <c r="E1822" s="4" t="n">
        <v>2022</v>
      </c>
      <c r="F1822" s="4" t="n">
        <v>11</v>
      </c>
      <c r="G1822" s="17" t="n">
        <v>1305635</v>
      </c>
      <c r="H1822" s="18" t="n">
        <f aca="false">G1822*$B$1/1000000</f>
        <v>2.87843245687913</v>
      </c>
    </row>
    <row r="1823" customFormat="false" ht="15" hidden="false" customHeight="false" outlineLevel="0" collapsed="false">
      <c r="A1823" s="4" t="s">
        <v>207</v>
      </c>
      <c r="B1823" s="4" t="s">
        <v>208</v>
      </c>
      <c r="C1823" s="4" t="s">
        <v>47</v>
      </c>
      <c r="D1823" s="16" t="n">
        <v>44896</v>
      </c>
      <c r="E1823" s="4" t="n">
        <v>2022</v>
      </c>
      <c r="F1823" s="4" t="n">
        <v>12</v>
      </c>
      <c r="G1823" s="17" t="n">
        <v>2422401</v>
      </c>
      <c r="H1823" s="18" t="n">
        <f aca="false">G1823*$B$1/1000000</f>
        <v>5.34048004379206</v>
      </c>
    </row>
    <row r="1824" customFormat="false" ht="15" hidden="false" customHeight="false" outlineLevel="0" collapsed="false">
      <c r="A1824" s="4" t="s">
        <v>207</v>
      </c>
      <c r="B1824" s="4" t="s">
        <v>208</v>
      </c>
      <c r="C1824" s="4" t="s">
        <v>47</v>
      </c>
      <c r="D1824" s="16" t="n">
        <v>44927</v>
      </c>
      <c r="E1824" s="4" t="n">
        <v>2023</v>
      </c>
      <c r="F1824" s="4" t="n">
        <v>1</v>
      </c>
      <c r="G1824" s="17" t="n">
        <v>2141770</v>
      </c>
      <c r="H1824" s="18" t="n">
        <f aca="false">G1824*$B$1/1000000</f>
        <v>4.72179459279967</v>
      </c>
    </row>
    <row r="1825" customFormat="false" ht="15" hidden="false" customHeight="false" outlineLevel="0" collapsed="false">
      <c r="A1825" s="4" t="s">
        <v>207</v>
      </c>
      <c r="B1825" s="4" t="s">
        <v>208</v>
      </c>
      <c r="C1825" s="4" t="s">
        <v>47</v>
      </c>
      <c r="D1825" s="16" t="n">
        <v>44958</v>
      </c>
      <c r="E1825" s="4" t="n">
        <v>2023</v>
      </c>
      <c r="F1825" s="4" t="n">
        <v>2</v>
      </c>
      <c r="G1825" s="17" t="n">
        <v>516761</v>
      </c>
      <c r="H1825" s="18" t="n">
        <f aca="false">G1825*$B$1/1000000</f>
        <v>1.13926299068983</v>
      </c>
    </row>
    <row r="1826" customFormat="false" ht="15" hidden="false" customHeight="false" outlineLevel="0" collapsed="false">
      <c r="A1826" s="4" t="s">
        <v>207</v>
      </c>
      <c r="B1826" s="4" t="s">
        <v>208</v>
      </c>
      <c r="C1826" s="4" t="s">
        <v>47</v>
      </c>
      <c r="D1826" s="16" t="n">
        <v>44986</v>
      </c>
      <c r="E1826" s="4" t="n">
        <v>2023</v>
      </c>
      <c r="F1826" s="4" t="n">
        <v>3</v>
      </c>
      <c r="G1826" s="17" t="n">
        <v>2357412</v>
      </c>
      <c r="H1826" s="18" t="n">
        <f aca="false">G1826*$B$1/1000000</f>
        <v>5.19720382422065</v>
      </c>
    </row>
    <row r="1827" customFormat="false" ht="15" hidden="false" customHeight="false" outlineLevel="0" collapsed="false">
      <c r="A1827" s="4" t="s">
        <v>207</v>
      </c>
      <c r="B1827" s="4" t="s">
        <v>208</v>
      </c>
      <c r="C1827" s="4" t="s">
        <v>47</v>
      </c>
      <c r="D1827" s="16" t="n">
        <v>45017</v>
      </c>
      <c r="E1827" s="4" t="n">
        <v>2023</v>
      </c>
      <c r="F1827" s="4" t="n">
        <v>4</v>
      </c>
      <c r="G1827" s="17" t="n">
        <v>1104281</v>
      </c>
      <c r="H1827" s="18" t="n">
        <f aca="false">G1827*$B$1/1000000</f>
        <v>2.43452287347914</v>
      </c>
    </row>
    <row r="1828" customFormat="false" ht="15" hidden="false" customHeight="false" outlineLevel="0" collapsed="false">
      <c r="A1828" s="4" t="s">
        <v>207</v>
      </c>
      <c r="B1828" s="4" t="s">
        <v>208</v>
      </c>
      <c r="C1828" s="4" t="s">
        <v>47</v>
      </c>
      <c r="D1828" s="16" t="n">
        <v>45047</v>
      </c>
      <c r="E1828" s="4" t="n">
        <v>2023</v>
      </c>
      <c r="F1828" s="4" t="n">
        <v>5</v>
      </c>
      <c r="G1828" s="17" t="n">
        <v>1687741</v>
      </c>
      <c r="H1828" s="18" t="n">
        <f aca="false">G1828*$B$1/1000000</f>
        <v>3.72083198842374</v>
      </c>
    </row>
    <row r="1829" customFormat="false" ht="15" hidden="false" customHeight="false" outlineLevel="0" collapsed="false">
      <c r="A1829" s="4" t="s">
        <v>207</v>
      </c>
      <c r="B1829" s="4" t="s">
        <v>208</v>
      </c>
      <c r="C1829" s="4" t="s">
        <v>47</v>
      </c>
      <c r="D1829" s="16" t="n">
        <v>45078</v>
      </c>
      <c r="E1829" s="4" t="n">
        <v>2023</v>
      </c>
      <c r="F1829" s="4" t="n">
        <v>6</v>
      </c>
      <c r="G1829" s="17" t="n">
        <v>605923</v>
      </c>
      <c r="H1829" s="18" t="n">
        <f aca="false">G1829*$B$1/1000000</f>
        <v>1.33583155289922</v>
      </c>
    </row>
    <row r="1830" customFormat="false" ht="15" hidden="false" customHeight="false" outlineLevel="0" collapsed="false">
      <c r="A1830" s="4" t="s">
        <v>207</v>
      </c>
      <c r="B1830" s="4" t="s">
        <v>208</v>
      </c>
      <c r="C1830" s="4" t="s">
        <v>47</v>
      </c>
      <c r="D1830" s="16" t="n">
        <v>45108</v>
      </c>
      <c r="E1830" s="4" t="n">
        <v>2023</v>
      </c>
      <c r="F1830" s="4" t="n">
        <v>7</v>
      </c>
      <c r="G1830" s="17" t="n">
        <v>2694420</v>
      </c>
      <c r="H1830" s="18" t="n">
        <f aca="false">G1830*$B$1/1000000</f>
        <v>5.94017928476508</v>
      </c>
    </row>
    <row r="1831" customFormat="false" ht="15" hidden="false" customHeight="false" outlineLevel="0" collapsed="false">
      <c r="A1831" s="4" t="s">
        <v>207</v>
      </c>
      <c r="B1831" s="4" t="s">
        <v>208</v>
      </c>
      <c r="C1831" s="4" t="s">
        <v>47</v>
      </c>
      <c r="D1831" s="16" t="n">
        <v>45139</v>
      </c>
      <c r="E1831" s="4" t="n">
        <v>2023</v>
      </c>
      <c r="F1831" s="4" t="n">
        <v>8</v>
      </c>
      <c r="G1831" s="17" t="n">
        <v>2413720</v>
      </c>
      <c r="H1831" s="18" t="n">
        <f aca="false">G1831*$B$1/1000000</f>
        <v>5.32134171481178</v>
      </c>
    </row>
    <row r="1832" customFormat="false" ht="15" hidden="false" customHeight="false" outlineLevel="0" collapsed="false">
      <c r="A1832" s="4" t="s">
        <v>207</v>
      </c>
      <c r="B1832" s="4" t="s">
        <v>208</v>
      </c>
      <c r="C1832" s="4" t="s">
        <v>47</v>
      </c>
      <c r="D1832" s="16" t="n">
        <v>45170</v>
      </c>
      <c r="E1832" s="4" t="n">
        <v>2023</v>
      </c>
      <c r="F1832" s="4" t="n">
        <v>9</v>
      </c>
      <c r="G1832" s="17" t="n">
        <v>2653087</v>
      </c>
      <c r="H1832" s="18" t="n">
        <f aca="false">G1832*$B$1/1000000</f>
        <v>5.84905561793615</v>
      </c>
    </row>
    <row r="1833" customFormat="false" ht="15" hidden="false" customHeight="false" outlineLevel="0" collapsed="false">
      <c r="A1833" s="4" t="s">
        <v>207</v>
      </c>
      <c r="B1833" s="4" t="s">
        <v>208</v>
      </c>
      <c r="C1833" s="4" t="s">
        <v>47</v>
      </c>
      <c r="D1833" s="16" t="n">
        <v>45200</v>
      </c>
      <c r="E1833" s="4" t="n">
        <v>2023</v>
      </c>
      <c r="F1833" s="4" t="n">
        <v>10</v>
      </c>
      <c r="G1833" s="17" t="n">
        <v>2869670</v>
      </c>
      <c r="H1833" s="18" t="n">
        <f aca="false">G1833*$B$1/1000000</f>
        <v>6.32653939924429</v>
      </c>
    </row>
    <row r="1834" customFormat="false" ht="15" hidden="false" customHeight="false" outlineLevel="0" collapsed="false">
      <c r="A1834" s="4" t="s">
        <v>207</v>
      </c>
      <c r="B1834" s="4" t="s">
        <v>208</v>
      </c>
      <c r="C1834" s="4" t="s">
        <v>47</v>
      </c>
      <c r="D1834" s="16" t="n">
        <v>45231</v>
      </c>
      <c r="E1834" s="4" t="n">
        <v>2023</v>
      </c>
      <c r="F1834" s="4" t="n">
        <v>11</v>
      </c>
      <c r="G1834" s="17" t="n">
        <v>990303</v>
      </c>
      <c r="H1834" s="18" t="n">
        <f aca="false">G1834*$B$1/1000000</f>
        <v>2.18324439628592</v>
      </c>
    </row>
    <row r="1835" customFormat="false" ht="15" hidden="false" customHeight="false" outlineLevel="0" collapsed="false">
      <c r="A1835" s="4" t="s">
        <v>207</v>
      </c>
      <c r="B1835" s="4" t="s">
        <v>208</v>
      </c>
      <c r="C1835" s="4" t="s">
        <v>47</v>
      </c>
      <c r="D1835" s="16" t="n">
        <v>45261</v>
      </c>
      <c r="E1835" s="4" t="n">
        <v>2023</v>
      </c>
      <c r="F1835" s="4" t="n">
        <v>12</v>
      </c>
      <c r="G1835" s="17" t="n">
        <v>1171863</v>
      </c>
      <c r="H1835" s="18" t="n">
        <f aca="false">G1835*$B$1/1000000</f>
        <v>2.58351567950901</v>
      </c>
    </row>
    <row r="1836" customFormat="false" ht="15" hidden="false" customHeight="false" outlineLevel="0" collapsed="false">
      <c r="A1836" s="4" t="s">
        <v>207</v>
      </c>
      <c r="B1836" s="4" t="s">
        <v>208</v>
      </c>
      <c r="C1836" s="4" t="s">
        <v>47</v>
      </c>
      <c r="D1836" s="16" t="n">
        <v>45292</v>
      </c>
      <c r="E1836" s="4" t="n">
        <v>2024</v>
      </c>
      <c r="F1836" s="4" t="n">
        <v>1</v>
      </c>
      <c r="G1836" s="17" t="n">
        <v>402570</v>
      </c>
      <c r="H1836" s="18" t="n">
        <f aca="false">G1836*$B$1/1000000</f>
        <v>0.887514928878155</v>
      </c>
    </row>
    <row r="1837" customFormat="false" ht="15" hidden="false" customHeight="false" outlineLevel="0" collapsed="false">
      <c r="A1837" s="4" t="s">
        <v>207</v>
      </c>
      <c r="B1837" s="4" t="s">
        <v>208</v>
      </c>
      <c r="C1837" s="4" t="s">
        <v>47</v>
      </c>
      <c r="D1837" s="16" t="n">
        <v>45323</v>
      </c>
      <c r="E1837" s="4" t="n">
        <v>2024</v>
      </c>
      <c r="F1837" s="4" t="n">
        <v>2</v>
      </c>
      <c r="G1837" s="17" t="n">
        <v>19500</v>
      </c>
      <c r="H1837" s="18" t="n">
        <f aca="false">G1837*$B$1/1000000</f>
        <v>0.042990141126075</v>
      </c>
    </row>
    <row r="1838" customFormat="false" ht="15" hidden="false" customHeight="false" outlineLevel="0" collapsed="false">
      <c r="A1838" s="4" t="s">
        <v>207</v>
      </c>
      <c r="B1838" s="4" t="s">
        <v>208</v>
      </c>
      <c r="C1838" s="4" t="s">
        <v>47</v>
      </c>
      <c r="D1838" s="16" t="n">
        <v>45352</v>
      </c>
      <c r="E1838" s="4" t="n">
        <v>2024</v>
      </c>
      <c r="F1838" s="4" t="n">
        <v>3</v>
      </c>
      <c r="G1838" s="17" t="n">
        <v>80130</v>
      </c>
      <c r="H1838" s="18" t="n">
        <f aca="false">G1838*$B$1/1000000</f>
        <v>0.176656410688841</v>
      </c>
    </row>
    <row r="1839" customFormat="false" ht="15" hidden="false" customHeight="false" outlineLevel="0" collapsed="false">
      <c r="A1839" s="4" t="s">
        <v>207</v>
      </c>
      <c r="B1839" s="4" t="s">
        <v>208</v>
      </c>
      <c r="C1839" s="4" t="s">
        <v>47</v>
      </c>
      <c r="D1839" s="16" t="n">
        <v>45383</v>
      </c>
      <c r="E1839" s="4" t="n">
        <v>2024</v>
      </c>
      <c r="F1839" s="4" t="n">
        <v>4</v>
      </c>
      <c r="G1839" s="17" t="n">
        <v>240230</v>
      </c>
      <c r="H1839" s="18" t="n">
        <f aca="false">G1839*$B$1/1000000</f>
        <v>0.529616492447026</v>
      </c>
    </row>
    <row r="1840" customFormat="false" ht="15" hidden="false" customHeight="false" outlineLevel="0" collapsed="false">
      <c r="A1840" s="4" t="s">
        <v>207</v>
      </c>
      <c r="B1840" s="4" t="s">
        <v>208</v>
      </c>
      <c r="C1840" s="4" t="s">
        <v>47</v>
      </c>
      <c r="D1840" s="16" t="n">
        <v>45413</v>
      </c>
      <c r="E1840" s="4" t="n">
        <v>2024</v>
      </c>
      <c r="F1840" s="4" t="n">
        <v>5</v>
      </c>
      <c r="G1840" s="17" t="n">
        <v>105369</v>
      </c>
      <c r="H1840" s="18" t="n">
        <f aca="false">G1840*$B$1/1000000</f>
        <v>0.232298881041713</v>
      </c>
    </row>
    <row r="1841" customFormat="false" ht="15" hidden="false" customHeight="false" outlineLevel="0" collapsed="false">
      <c r="A1841" s="4" t="s">
        <v>207</v>
      </c>
      <c r="B1841" s="4" t="s">
        <v>208</v>
      </c>
      <c r="C1841" s="4" t="s">
        <v>47</v>
      </c>
      <c r="D1841" s="16" t="n">
        <v>45444</v>
      </c>
      <c r="E1841" s="4" t="n">
        <v>2024</v>
      </c>
      <c r="F1841" s="4" t="n">
        <v>6</v>
      </c>
      <c r="G1841" s="17" t="n">
        <v>808770</v>
      </c>
      <c r="H1841" s="18" t="n">
        <f aca="false">G1841*$B$1/1000000</f>
        <v>1.78303263787362</v>
      </c>
    </row>
    <row r="1842" customFormat="false" ht="15" hidden="false" customHeight="false" outlineLevel="0" collapsed="false">
      <c r="A1842" s="4" t="s">
        <v>207</v>
      </c>
      <c r="B1842" s="4" t="s">
        <v>208</v>
      </c>
      <c r="C1842" s="4" t="s">
        <v>47</v>
      </c>
      <c r="D1842" s="16" t="n">
        <v>45474</v>
      </c>
      <c r="E1842" s="4" t="n">
        <v>2024</v>
      </c>
      <c r="F1842" s="4" t="n">
        <v>7</v>
      </c>
      <c r="G1842" s="17" t="n">
        <v>2591008</v>
      </c>
      <c r="H1842" s="18" t="n">
        <f aca="false">G1842*$B$1/1000000</f>
        <v>5.71219485019433</v>
      </c>
    </row>
    <row r="1843" customFormat="false" ht="15" hidden="false" customHeight="false" outlineLevel="0" collapsed="false">
      <c r="A1843" s="4" t="s">
        <v>207</v>
      </c>
      <c r="B1843" s="4" t="s">
        <v>208</v>
      </c>
      <c r="C1843" s="4" t="s">
        <v>47</v>
      </c>
      <c r="D1843" s="16" t="n">
        <v>45505</v>
      </c>
      <c r="E1843" s="4" t="n">
        <v>2024</v>
      </c>
      <c r="F1843" s="4" t="n">
        <v>8</v>
      </c>
      <c r="G1843" s="17" t="n">
        <v>3559203</v>
      </c>
      <c r="H1843" s="18" t="n">
        <f aca="false">G1843*$B$1/1000000</f>
        <v>7.84669944955639</v>
      </c>
    </row>
    <row r="1844" customFormat="false" ht="15" hidden="false" customHeight="false" outlineLevel="0" collapsed="false">
      <c r="A1844" s="4" t="s">
        <v>207</v>
      </c>
      <c r="B1844" s="4" t="s">
        <v>208</v>
      </c>
      <c r="C1844" s="4" t="s">
        <v>47</v>
      </c>
      <c r="D1844" s="16" t="n">
        <v>45536</v>
      </c>
      <c r="E1844" s="4" t="n">
        <v>2024</v>
      </c>
      <c r="F1844" s="4" t="n">
        <v>9</v>
      </c>
      <c r="G1844" s="17" t="n">
        <v>4220920</v>
      </c>
      <c r="H1844" s="18" t="n">
        <f aca="false">G1844*$B$1/1000000</f>
        <v>9.3055357170191</v>
      </c>
    </row>
    <row r="1845" customFormat="false" ht="15" hidden="false" customHeight="false" outlineLevel="0" collapsed="false">
      <c r="A1845" s="4" t="s">
        <v>207</v>
      </c>
      <c r="B1845" s="4" t="s">
        <v>208</v>
      </c>
      <c r="C1845" s="4" t="s">
        <v>47</v>
      </c>
      <c r="D1845" s="16" t="n">
        <v>45566</v>
      </c>
      <c r="E1845" s="4" t="n">
        <v>2024</v>
      </c>
      <c r="F1845" s="4" t="n">
        <v>10</v>
      </c>
      <c r="G1845" s="17" t="n">
        <v>1345510</v>
      </c>
      <c r="H1845" s="18" t="n">
        <f aca="false">G1845*$B$1/1000000</f>
        <v>2.96634178392539</v>
      </c>
    </row>
    <row r="1846" customFormat="false" ht="15" hidden="false" customHeight="false" outlineLevel="0" collapsed="false">
      <c r="A1846" s="4" t="s">
        <v>207</v>
      </c>
      <c r="B1846" s="4" t="s">
        <v>208</v>
      </c>
      <c r="C1846" s="4" t="s">
        <v>47</v>
      </c>
      <c r="D1846" s="16" t="n">
        <v>45597</v>
      </c>
      <c r="E1846" s="4" t="n">
        <v>2024</v>
      </c>
      <c r="F1846" s="4" t="n">
        <v>11</v>
      </c>
      <c r="G1846" s="17" t="n">
        <v>1512291</v>
      </c>
      <c r="H1846" s="18" t="n">
        <f aca="false">G1846*$B$1/1000000</f>
        <v>3.33403094942016</v>
      </c>
    </row>
    <row r="1847" customFormat="false" ht="15" hidden="false" customHeight="false" outlineLevel="0" collapsed="false">
      <c r="A1847" s="4" t="s">
        <v>207</v>
      </c>
      <c r="B1847" s="4" t="s">
        <v>208</v>
      </c>
      <c r="C1847" s="4" t="s">
        <v>47</v>
      </c>
      <c r="D1847" s="16" t="n">
        <v>45627</v>
      </c>
      <c r="E1847" s="4" t="n">
        <v>2024</v>
      </c>
      <c r="F1847" s="4" t="n">
        <v>12</v>
      </c>
      <c r="G1847" s="17" t="n">
        <v>2284536</v>
      </c>
      <c r="H1847" s="18" t="n">
        <f aca="false">G1847*$B$1/1000000</f>
        <v>5.03653974603071</v>
      </c>
    </row>
    <row r="1848" customFormat="false" ht="15" hidden="false" customHeight="false" outlineLevel="0" collapsed="false">
      <c r="A1848" s="4" t="s">
        <v>207</v>
      </c>
      <c r="B1848" s="4" t="s">
        <v>208</v>
      </c>
      <c r="C1848" s="4" t="s">
        <v>47</v>
      </c>
      <c r="D1848" s="16" t="n">
        <v>45658</v>
      </c>
      <c r="E1848" s="4" t="n">
        <v>2025</v>
      </c>
      <c r="F1848" s="4" t="n">
        <v>1</v>
      </c>
      <c r="G1848" s="17" t="n">
        <v>1582779</v>
      </c>
      <c r="H1848" s="18" t="n">
        <f aca="false">G1848*$B$1/1000000</f>
        <v>3.48943038878912</v>
      </c>
    </row>
    <row r="1849" customFormat="false" ht="15" hidden="false" customHeight="false" outlineLevel="0" collapsed="false">
      <c r="A1849" s="4" t="s">
        <v>207</v>
      </c>
      <c r="B1849" s="4" t="s">
        <v>208</v>
      </c>
      <c r="C1849" s="4" t="s">
        <v>47</v>
      </c>
      <c r="D1849" s="16" t="n">
        <v>45689</v>
      </c>
      <c r="E1849" s="4" t="n">
        <v>2025</v>
      </c>
      <c r="F1849" s="4" t="n">
        <v>2</v>
      </c>
      <c r="G1849" s="17" t="n">
        <v>875518</v>
      </c>
      <c r="H1849" s="18" t="n">
        <f aca="false">G1849*$B$1/1000000</f>
        <v>1.93018678863687</v>
      </c>
    </row>
    <row r="1850" customFormat="false" ht="15" hidden="false" customHeight="false" outlineLevel="0" collapsed="false">
      <c r="A1850" s="4" t="s">
        <v>207</v>
      </c>
      <c r="B1850" s="4" t="s">
        <v>208</v>
      </c>
      <c r="C1850" s="4" t="s">
        <v>47</v>
      </c>
      <c r="D1850" s="16" t="n">
        <v>45717</v>
      </c>
      <c r="E1850" s="4" t="n">
        <v>2025</v>
      </c>
      <c r="F1850" s="4" t="n">
        <v>3</v>
      </c>
      <c r="G1850" s="17" t="n">
        <v>729160</v>
      </c>
      <c r="H1850" s="18" t="n">
        <f aca="false">G1850*$B$1/1000000</f>
        <v>1.60752263094815</v>
      </c>
    </row>
    <row r="1851" customFormat="false" ht="15" hidden="false" customHeight="false" outlineLevel="0" collapsed="false">
      <c r="A1851" s="4" t="s">
        <v>207</v>
      </c>
      <c r="B1851" s="4" t="s">
        <v>208</v>
      </c>
      <c r="C1851" s="4" t="s">
        <v>47</v>
      </c>
      <c r="D1851" s="16" t="n">
        <v>45748</v>
      </c>
      <c r="E1851" s="4" t="n">
        <v>2025</v>
      </c>
      <c r="F1851" s="4" t="n">
        <v>4</v>
      </c>
      <c r="G1851" s="17" t="n">
        <v>650120</v>
      </c>
      <c r="H1851" s="18" t="n">
        <f aca="false">G1851*$B$1/1000000</f>
        <v>1.43326925891712</v>
      </c>
    </row>
    <row r="1852" customFormat="false" ht="15" hidden="false" customHeight="false" outlineLevel="0" collapsed="false">
      <c r="A1852" s="4" t="s">
        <v>207</v>
      </c>
      <c r="B1852" s="4" t="s">
        <v>208</v>
      </c>
      <c r="C1852" s="4" t="s">
        <v>47</v>
      </c>
      <c r="D1852" s="16" t="n">
        <v>45778</v>
      </c>
      <c r="E1852" s="4" t="n">
        <v>2025</v>
      </c>
      <c r="F1852" s="4" t="n">
        <v>5</v>
      </c>
      <c r="G1852" s="17" t="n">
        <v>699440</v>
      </c>
      <c r="H1852" s="18" t="n">
        <f aca="false">G1852*$B$1/1000000</f>
        <v>1.54200124662676</v>
      </c>
    </row>
    <row r="1853" customFormat="false" ht="15" hidden="false" customHeight="false" outlineLevel="0" collapsed="false">
      <c r="A1853" s="4" t="s">
        <v>207</v>
      </c>
      <c r="B1853" s="4" t="s">
        <v>208</v>
      </c>
      <c r="C1853" s="4" t="s">
        <v>47</v>
      </c>
      <c r="D1853" s="16" t="n">
        <v>45809</v>
      </c>
      <c r="E1853" s="4" t="n">
        <v>2025</v>
      </c>
      <c r="F1853" s="4" t="n">
        <v>6</v>
      </c>
      <c r="G1853" s="17" t="n">
        <v>374429</v>
      </c>
      <c r="H1853" s="18" t="n">
        <f aca="false">G1853*$B$1/1000000</f>
        <v>0.825474643676674</v>
      </c>
    </row>
    <row r="1854" customFormat="false" ht="15" hidden="false" customHeight="false" outlineLevel="0" collapsed="false">
      <c r="A1854" s="4" t="s">
        <v>207</v>
      </c>
      <c r="B1854" s="4" t="s">
        <v>208</v>
      </c>
      <c r="C1854" s="4" t="s">
        <v>47</v>
      </c>
      <c r="D1854" s="16" t="n">
        <v>45839</v>
      </c>
      <c r="E1854" s="4" t="n">
        <v>2025</v>
      </c>
      <c r="F1854" s="4" t="n">
        <v>7</v>
      </c>
      <c r="G1854" s="17" t="n">
        <v>1411371</v>
      </c>
      <c r="H1854" s="18" t="n">
        <f aca="false">G1854*$B$1/1000000</f>
        <v>3.11154043442306</v>
      </c>
    </row>
    <row r="1855" customFormat="false" ht="15" hidden="false" customHeight="false" outlineLevel="0" collapsed="false">
      <c r="A1855" s="4" t="s">
        <v>207</v>
      </c>
      <c r="B1855" s="4" t="s">
        <v>208</v>
      </c>
      <c r="C1855" s="4" t="s">
        <v>47</v>
      </c>
      <c r="D1855" s="16" t="n">
        <v>45870</v>
      </c>
      <c r="E1855" s="4" t="n">
        <v>2025</v>
      </c>
      <c r="F1855" s="4" t="n">
        <v>8</v>
      </c>
      <c r="G1855" s="17" t="n">
        <v>2019304</v>
      </c>
      <c r="H1855" s="18" t="n">
        <f aca="false">G1855*$B$1/1000000</f>
        <v>4.45180327879219</v>
      </c>
    </row>
    <row r="1856" customFormat="false" ht="15" hidden="false" customHeight="false" outlineLevel="0" collapsed="false">
      <c r="A1856" s="4" t="s">
        <v>207</v>
      </c>
      <c r="B1856" s="4" t="s">
        <v>208</v>
      </c>
      <c r="C1856" s="4" t="s">
        <v>47</v>
      </c>
      <c r="D1856" s="16" t="n">
        <v>45901</v>
      </c>
      <c r="E1856" s="4" t="n">
        <v>2025</v>
      </c>
      <c r="F1856" s="4" t="n">
        <v>9</v>
      </c>
      <c r="G1856" s="17" t="n">
        <v>1829070</v>
      </c>
      <c r="H1856" s="18" t="n">
        <f aca="false">G1856*$B$1/1000000</f>
        <v>4.03240909894718</v>
      </c>
    </row>
    <row r="1857" customFormat="false" ht="15" hidden="false" customHeight="false" outlineLevel="0" collapsed="false">
      <c r="A1857" s="4" t="s">
        <v>207</v>
      </c>
      <c r="B1857" s="4" t="s">
        <v>208</v>
      </c>
      <c r="C1857" s="4" t="s">
        <v>47</v>
      </c>
      <c r="D1857" s="16" t="n">
        <v>45931</v>
      </c>
      <c r="E1857" s="4" t="n">
        <v>2025</v>
      </c>
      <c r="F1857" s="4" t="n">
        <v>10</v>
      </c>
      <c r="G1857" s="17" t="n">
        <v>936650</v>
      </c>
      <c r="H1857" s="18" t="n">
        <f aca="false">G1857*$B$1/1000000</f>
        <v>2.0649597787558</v>
      </c>
    </row>
    <row r="1858" customFormat="false" ht="15" hidden="false" customHeight="false" outlineLevel="0" collapsed="false">
      <c r="A1858" s="4" t="s">
        <v>207</v>
      </c>
      <c r="B1858" s="4" t="s">
        <v>208</v>
      </c>
      <c r="C1858" s="4" t="s">
        <v>47</v>
      </c>
      <c r="D1858" s="16" t="n">
        <v>45962</v>
      </c>
      <c r="E1858" s="4" t="n">
        <v>2025</v>
      </c>
      <c r="F1858" s="4" t="n">
        <v>11</v>
      </c>
      <c r="G1858" s="17" t="n">
        <v>1247560</v>
      </c>
      <c r="H1858" s="18" t="n">
        <f aca="false">G1858*$B$1/1000000</f>
        <v>2.75039899811519</v>
      </c>
    </row>
    <row r="1859" customFormat="false" ht="15" hidden="false" customHeight="false" outlineLevel="0" collapsed="false">
      <c r="A1859" s="4" t="s">
        <v>207</v>
      </c>
      <c r="B1859" s="4" t="s">
        <v>208</v>
      </c>
      <c r="C1859" s="4" t="s">
        <v>47</v>
      </c>
      <c r="D1859" s="16" t="n">
        <v>45992</v>
      </c>
      <c r="E1859" s="4" t="n">
        <v>2025</v>
      </c>
      <c r="F1859" s="4" t="n">
        <v>12</v>
      </c>
      <c r="G1859" s="17" t="n">
        <v>552117</v>
      </c>
      <c r="H1859" s="18" t="n">
        <f aca="false">G1859*$B$1/1000000</f>
        <v>1.21720962810796</v>
      </c>
    </row>
    <row r="1860" customFormat="false" ht="15" hidden="false" customHeight="false" outlineLevel="0" collapsed="false">
      <c r="A1860" s="4" t="s">
        <v>207</v>
      </c>
      <c r="B1860" s="4" t="s">
        <v>208</v>
      </c>
      <c r="C1860" s="4" t="s">
        <v>47</v>
      </c>
      <c r="D1860" s="16" t="n">
        <v>46023</v>
      </c>
      <c r="E1860" s="4" t="n">
        <v>2026</v>
      </c>
      <c r="F1860" s="4" t="n">
        <v>1</v>
      </c>
      <c r="G1860" s="17" t="n">
        <v>225260</v>
      </c>
      <c r="H1860" s="18" t="n">
        <f aca="false">G1860*$B$1/1000000</f>
        <v>0.496613291797931</v>
      </c>
    </row>
    <row r="1861" customFormat="false" ht="15" hidden="false" customHeight="false" outlineLevel="0" collapsed="false">
      <c r="A1861" s="4" t="s">
        <v>207</v>
      </c>
      <c r="B1861" s="4" t="s">
        <v>208</v>
      </c>
      <c r="C1861" s="4" t="s">
        <v>47</v>
      </c>
      <c r="D1861" s="16" t="n">
        <v>46054</v>
      </c>
      <c r="E1861" s="4" t="n">
        <v>2026</v>
      </c>
      <c r="F1861" s="4" t="n">
        <v>2</v>
      </c>
      <c r="G1861" s="17" t="n">
        <v>1128450</v>
      </c>
      <c r="H1861" s="18" t="n">
        <f aca="false">G1861*$B$1/1000000</f>
        <v>2.48780639762663</v>
      </c>
    </row>
    <row r="1862" customFormat="false" ht="15" hidden="false" customHeight="false" outlineLevel="0" collapsed="false">
      <c r="A1862" s="4" t="s">
        <v>207</v>
      </c>
      <c r="B1862" s="4" t="s">
        <v>208</v>
      </c>
      <c r="C1862" s="4" t="s">
        <v>47</v>
      </c>
      <c r="D1862" s="16" t="n">
        <v>46082</v>
      </c>
      <c r="E1862" s="4" t="n">
        <v>2026</v>
      </c>
      <c r="F1862" s="4" t="n">
        <v>3</v>
      </c>
      <c r="G1862" s="17" t="n">
        <v>1274310</v>
      </c>
      <c r="H1862" s="18" t="n">
        <f aca="false">G1862*$B$1/1000000</f>
        <v>2.80937265324967</v>
      </c>
    </row>
    <row r="1863" customFormat="false" ht="15" hidden="false" customHeight="false" outlineLevel="0" collapsed="false">
      <c r="A1863" s="4" t="s">
        <v>207</v>
      </c>
      <c r="B1863" s="4" t="s">
        <v>208</v>
      </c>
      <c r="C1863" s="4" t="s">
        <v>47</v>
      </c>
      <c r="D1863" s="16" t="n">
        <v>46113</v>
      </c>
      <c r="E1863" s="4" t="n">
        <v>2026</v>
      </c>
      <c r="F1863" s="4" t="n">
        <v>4</v>
      </c>
      <c r="G1863" s="17" t="n">
        <v>1707392</v>
      </c>
      <c r="H1863" s="18" t="n">
        <f aca="false">G1863*$B$1/1000000</f>
        <v>3.76415502756572</v>
      </c>
    </row>
    <row r="1864" customFormat="false" ht="15" hidden="false" customHeight="false" outlineLevel="0" collapsed="false">
      <c r="A1864" s="4" t="s">
        <v>207</v>
      </c>
      <c r="B1864" s="4" t="s">
        <v>208</v>
      </c>
      <c r="C1864" s="4" t="s">
        <v>47</v>
      </c>
      <c r="D1864" s="16" t="n">
        <v>46143</v>
      </c>
      <c r="E1864" s="4" t="n">
        <v>2026</v>
      </c>
      <c r="F1864" s="4" t="n">
        <v>5</v>
      </c>
      <c r="G1864" s="17" t="n">
        <v>2090855</v>
      </c>
      <c r="H1864" s="18" t="n">
        <f aca="false">G1864*$B$1/1000000</f>
        <v>4.60954623200818</v>
      </c>
    </row>
    <row r="1865" customFormat="false" ht="15" hidden="false" customHeight="false" outlineLevel="0" collapsed="false">
      <c r="A1865" s="4" t="s">
        <v>207</v>
      </c>
      <c r="B1865" s="4" t="s">
        <v>208</v>
      </c>
      <c r="C1865" s="4" t="s">
        <v>47</v>
      </c>
      <c r="D1865" s="16" t="n">
        <v>46174</v>
      </c>
      <c r="E1865" s="4" t="n">
        <v>2026</v>
      </c>
      <c r="F1865" s="4" t="n">
        <v>6</v>
      </c>
      <c r="G1865" s="17" t="n">
        <v>2713075</v>
      </c>
      <c r="H1865" s="18" t="n">
        <f aca="false">G1865*$B$1/1000000</f>
        <v>5.98130651977569</v>
      </c>
    </row>
    <row r="1866" customFormat="false" ht="15" hidden="false" customHeight="false" outlineLevel="0" collapsed="false">
      <c r="A1866" s="4" t="s">
        <v>207</v>
      </c>
      <c r="B1866" s="4" t="s">
        <v>208</v>
      </c>
      <c r="C1866" s="4" t="s">
        <v>47</v>
      </c>
      <c r="D1866" s="16" t="n">
        <v>46204</v>
      </c>
      <c r="E1866" s="4" t="n">
        <v>2026</v>
      </c>
      <c r="F1866" s="4" t="n">
        <v>7</v>
      </c>
      <c r="G1866" s="17" t="n">
        <v>3959617</v>
      </c>
      <c r="H1866" s="18" t="n">
        <f aca="false">G1866*$B$1/1000000</f>
        <v>8.72946121206183</v>
      </c>
    </row>
    <row r="1867" customFormat="false" ht="15" hidden="false" customHeight="false" outlineLevel="0" collapsed="false">
      <c r="A1867" s="4" t="s">
        <v>207</v>
      </c>
      <c r="B1867" s="4" t="s">
        <v>208</v>
      </c>
      <c r="C1867" s="4" t="s">
        <v>47</v>
      </c>
      <c r="D1867" s="16" t="n">
        <v>46235</v>
      </c>
      <c r="E1867" s="4" t="n">
        <v>2026</v>
      </c>
      <c r="F1867" s="4" t="n">
        <v>8</v>
      </c>
      <c r="G1867" s="17" t="n">
        <v>3324443</v>
      </c>
      <c r="H1867" s="18" t="n">
        <f aca="false">G1867*$B$1/1000000</f>
        <v>7.32914224285088</v>
      </c>
    </row>
    <row r="1868" customFormat="false" ht="15" hidden="false" customHeight="false" outlineLevel="0" collapsed="false">
      <c r="A1868" s="4" t="s">
        <v>207</v>
      </c>
      <c r="B1868" s="4" t="s">
        <v>208</v>
      </c>
      <c r="C1868" s="4" t="s">
        <v>95</v>
      </c>
      <c r="D1868" s="16" t="n">
        <v>44470</v>
      </c>
      <c r="E1868" s="4" t="n">
        <v>2021</v>
      </c>
      <c r="F1868" s="4" t="n">
        <v>10</v>
      </c>
      <c r="G1868" s="17" t="n">
        <v>5</v>
      </c>
      <c r="H1868" s="18" t="n">
        <f aca="false">G1868*$B$1/1000000</f>
        <v>1.102311310925E-005</v>
      </c>
    </row>
    <row r="1869" customFormat="false" ht="15" hidden="false" customHeight="false" outlineLevel="0" collapsed="false">
      <c r="A1869" s="4" t="s">
        <v>207</v>
      </c>
      <c r="B1869" s="4" t="s">
        <v>208</v>
      </c>
      <c r="C1869" s="4" t="s">
        <v>95</v>
      </c>
      <c r="D1869" s="16" t="n">
        <v>44501</v>
      </c>
      <c r="E1869" s="4" t="n">
        <v>2021</v>
      </c>
      <c r="F1869" s="4" t="n">
        <v>11</v>
      </c>
      <c r="G1869" s="17" t="n">
        <v>6</v>
      </c>
      <c r="H1869" s="18" t="n">
        <f aca="false">G1869*$B$1/1000000</f>
        <v>1.32277357311E-005</v>
      </c>
    </row>
    <row r="1870" customFormat="false" ht="15" hidden="false" customHeight="false" outlineLevel="0" collapsed="false">
      <c r="A1870" s="4" t="s">
        <v>207</v>
      </c>
      <c r="B1870" s="4" t="s">
        <v>208</v>
      </c>
      <c r="C1870" s="4" t="s">
        <v>95</v>
      </c>
      <c r="D1870" s="16" t="n">
        <v>44652</v>
      </c>
      <c r="E1870" s="4" t="n">
        <v>2022</v>
      </c>
      <c r="F1870" s="4" t="n">
        <v>4</v>
      </c>
      <c r="G1870" s="17" t="n">
        <v>5</v>
      </c>
      <c r="H1870" s="18" t="n">
        <f aca="false">G1870*$B$1/1000000</f>
        <v>1.102311310925E-005</v>
      </c>
    </row>
    <row r="1871" customFormat="false" ht="15" hidden="false" customHeight="false" outlineLevel="0" collapsed="false">
      <c r="A1871" s="4" t="s">
        <v>207</v>
      </c>
      <c r="B1871" s="4" t="s">
        <v>208</v>
      </c>
      <c r="C1871" s="4" t="s">
        <v>177</v>
      </c>
      <c r="D1871" s="16" t="n">
        <v>45901</v>
      </c>
      <c r="E1871" s="4" t="n">
        <v>2025</v>
      </c>
      <c r="F1871" s="4" t="n">
        <v>9</v>
      </c>
      <c r="G1871" s="17" t="n">
        <v>17060</v>
      </c>
      <c r="H1871" s="18" t="n">
        <f aca="false">G1871*$B$1/1000000</f>
        <v>0.037610861928761</v>
      </c>
    </row>
    <row r="1872" customFormat="false" ht="15" hidden="false" customHeight="false" outlineLevel="0" collapsed="false">
      <c r="A1872" s="4" t="s">
        <v>207</v>
      </c>
      <c r="B1872" s="4" t="s">
        <v>208</v>
      </c>
      <c r="C1872" s="4" t="s">
        <v>177</v>
      </c>
      <c r="D1872" s="16" t="n">
        <v>46023</v>
      </c>
      <c r="E1872" s="4" t="n">
        <v>2026</v>
      </c>
      <c r="F1872" s="4" t="n">
        <v>1</v>
      </c>
      <c r="G1872" s="17" t="n">
        <v>19000</v>
      </c>
      <c r="H1872" s="18" t="n">
        <f aca="false">G1872*$B$1/1000000</f>
        <v>0.04188782981515</v>
      </c>
    </row>
    <row r="1873" customFormat="false" ht="15" hidden="false" customHeight="false" outlineLevel="0" collapsed="false">
      <c r="A1873" s="4" t="s">
        <v>207</v>
      </c>
      <c r="B1873" s="4" t="s">
        <v>208</v>
      </c>
      <c r="C1873" s="4" t="s">
        <v>61</v>
      </c>
      <c r="D1873" s="16" t="n">
        <v>43831</v>
      </c>
      <c r="E1873" s="4" t="n">
        <v>2020</v>
      </c>
      <c r="F1873" s="4" t="n">
        <v>1</v>
      </c>
      <c r="G1873" s="17" t="n">
        <v>38000</v>
      </c>
      <c r="H1873" s="18" t="n">
        <f aca="false">G1873*$B$1/1000000</f>
        <v>0.0837756596303</v>
      </c>
    </row>
    <row r="1874" customFormat="false" ht="15" hidden="false" customHeight="false" outlineLevel="0" collapsed="false">
      <c r="A1874" s="4" t="s">
        <v>207</v>
      </c>
      <c r="B1874" s="4" t="s">
        <v>208</v>
      </c>
      <c r="C1874" s="4" t="s">
        <v>61</v>
      </c>
      <c r="D1874" s="16" t="n">
        <v>44166</v>
      </c>
      <c r="E1874" s="4" t="n">
        <v>2020</v>
      </c>
      <c r="F1874" s="4" t="n">
        <v>12</v>
      </c>
      <c r="G1874" s="17" t="n">
        <v>38000</v>
      </c>
      <c r="H1874" s="18" t="n">
        <f aca="false">G1874*$B$1/1000000</f>
        <v>0.0837756596303</v>
      </c>
    </row>
    <row r="1875" customFormat="false" ht="15" hidden="false" customHeight="false" outlineLevel="0" collapsed="false">
      <c r="A1875" s="4" t="s">
        <v>207</v>
      </c>
      <c r="B1875" s="4" t="s">
        <v>208</v>
      </c>
      <c r="C1875" s="4" t="s">
        <v>61</v>
      </c>
      <c r="D1875" s="16" t="n">
        <v>44805</v>
      </c>
      <c r="E1875" s="4" t="n">
        <v>2022</v>
      </c>
      <c r="F1875" s="4" t="n">
        <v>9</v>
      </c>
      <c r="G1875" s="17" t="n">
        <v>60</v>
      </c>
      <c r="H1875" s="18" t="n">
        <f aca="false">G1875*$B$1/1000000</f>
        <v>0.000132277357311</v>
      </c>
    </row>
    <row r="1876" customFormat="false" ht="15" hidden="false" customHeight="false" outlineLevel="0" collapsed="false">
      <c r="A1876" s="4" t="s">
        <v>207</v>
      </c>
      <c r="B1876" s="4" t="s">
        <v>208</v>
      </c>
      <c r="C1876" s="4" t="s">
        <v>61</v>
      </c>
      <c r="D1876" s="16" t="n">
        <v>45078</v>
      </c>
      <c r="E1876" s="4" t="n">
        <v>2023</v>
      </c>
      <c r="F1876" s="4" t="n">
        <v>6</v>
      </c>
      <c r="G1876" s="17" t="n">
        <v>2197636</v>
      </c>
      <c r="H1876" s="18" t="n">
        <f aca="false">G1876*$B$1/1000000</f>
        <v>4.84495804019195</v>
      </c>
    </row>
    <row r="1877" customFormat="false" ht="15" hidden="false" customHeight="false" outlineLevel="0" collapsed="false">
      <c r="A1877" s="4" t="s">
        <v>207</v>
      </c>
      <c r="B1877" s="4" t="s">
        <v>208</v>
      </c>
      <c r="C1877" s="4" t="s">
        <v>61</v>
      </c>
      <c r="D1877" s="16" t="n">
        <v>45139</v>
      </c>
      <c r="E1877" s="4" t="n">
        <v>2023</v>
      </c>
      <c r="F1877" s="4" t="n">
        <v>8</v>
      </c>
      <c r="G1877" s="17" t="n">
        <v>1810480</v>
      </c>
      <c r="H1877" s="18" t="n">
        <f aca="false">G1877*$B$1/1000000</f>
        <v>3.99142516440699</v>
      </c>
    </row>
    <row r="1878" customFormat="false" ht="15" hidden="false" customHeight="false" outlineLevel="0" collapsed="false">
      <c r="A1878" s="4" t="s">
        <v>207</v>
      </c>
      <c r="B1878" s="4" t="s">
        <v>208</v>
      </c>
      <c r="C1878" s="4" t="s">
        <v>61</v>
      </c>
      <c r="D1878" s="16" t="n">
        <v>45170</v>
      </c>
      <c r="E1878" s="4" t="n">
        <v>2023</v>
      </c>
      <c r="F1878" s="4" t="n">
        <v>9</v>
      </c>
      <c r="G1878" s="17" t="n">
        <v>5286764</v>
      </c>
      <c r="H1878" s="18" t="n">
        <f aca="false">G1878*$B$1/1000000</f>
        <v>11.6553195107822</v>
      </c>
    </row>
    <row r="1879" customFormat="false" ht="15" hidden="false" customHeight="false" outlineLevel="0" collapsed="false">
      <c r="A1879" s="4" t="s">
        <v>207</v>
      </c>
      <c r="B1879" s="4" t="s">
        <v>208</v>
      </c>
      <c r="C1879" s="4" t="s">
        <v>61</v>
      </c>
      <c r="D1879" s="16" t="n">
        <v>45200</v>
      </c>
      <c r="E1879" s="4" t="n">
        <v>2023</v>
      </c>
      <c r="F1879" s="4" t="n">
        <v>10</v>
      </c>
      <c r="G1879" s="17" t="n">
        <v>2257326</v>
      </c>
      <c r="H1879" s="18" t="n">
        <f aca="false">G1879*$B$1/1000000</f>
        <v>4.97655196449017</v>
      </c>
    </row>
    <row r="1880" customFormat="false" ht="15" hidden="false" customHeight="false" outlineLevel="0" collapsed="false">
      <c r="A1880" s="4" t="s">
        <v>207</v>
      </c>
      <c r="B1880" s="4" t="s">
        <v>208</v>
      </c>
      <c r="C1880" s="4" t="s">
        <v>61</v>
      </c>
      <c r="D1880" s="16" t="n">
        <v>45261</v>
      </c>
      <c r="E1880" s="4" t="n">
        <v>2023</v>
      </c>
      <c r="F1880" s="4" t="n">
        <v>12</v>
      </c>
      <c r="G1880" s="17" t="n">
        <v>3875280</v>
      </c>
      <c r="H1880" s="18" t="n">
        <f aca="false">G1880*$B$1/1000000</f>
        <v>8.54352995400287</v>
      </c>
    </row>
    <row r="1881" customFormat="false" ht="15" hidden="false" customHeight="false" outlineLevel="0" collapsed="false">
      <c r="A1881" s="4" t="s">
        <v>207</v>
      </c>
      <c r="B1881" s="4" t="s">
        <v>208</v>
      </c>
      <c r="C1881" s="4" t="s">
        <v>61</v>
      </c>
      <c r="D1881" s="16" t="n">
        <v>45292</v>
      </c>
      <c r="E1881" s="4" t="n">
        <v>2024</v>
      </c>
      <c r="F1881" s="4" t="n">
        <v>1</v>
      </c>
      <c r="G1881" s="17" t="n">
        <v>8174110</v>
      </c>
      <c r="H1881" s="18" t="n">
        <f aca="false">G1881*$B$1/1000000</f>
        <v>18.0208278194903</v>
      </c>
    </row>
    <row r="1882" customFormat="false" ht="15" hidden="false" customHeight="false" outlineLevel="0" collapsed="false">
      <c r="A1882" s="4" t="s">
        <v>207</v>
      </c>
      <c r="B1882" s="4" t="s">
        <v>208</v>
      </c>
      <c r="C1882" s="4" t="s">
        <v>61</v>
      </c>
      <c r="D1882" s="16" t="n">
        <v>45352</v>
      </c>
      <c r="E1882" s="4" t="n">
        <v>2024</v>
      </c>
      <c r="F1882" s="4" t="n">
        <v>3</v>
      </c>
      <c r="G1882" s="17" t="n">
        <v>4779219</v>
      </c>
      <c r="H1882" s="18" t="n">
        <f aca="false">G1882*$B$1/1000000</f>
        <v>10.5363743221753</v>
      </c>
    </row>
    <row r="1883" customFormat="false" ht="15" hidden="false" customHeight="false" outlineLevel="0" collapsed="false">
      <c r="A1883" s="4" t="s">
        <v>207</v>
      </c>
      <c r="B1883" s="4" t="s">
        <v>208</v>
      </c>
      <c r="C1883" s="4" t="s">
        <v>61</v>
      </c>
      <c r="D1883" s="16" t="n">
        <v>45383</v>
      </c>
      <c r="E1883" s="4" t="n">
        <v>2024</v>
      </c>
      <c r="F1883" s="4" t="n">
        <v>4</v>
      </c>
      <c r="G1883" s="17" t="n">
        <v>4465384</v>
      </c>
      <c r="H1883" s="18" t="n">
        <f aca="false">G1883*$B$1/1000000</f>
        <v>9.84448658164704</v>
      </c>
    </row>
    <row r="1884" customFormat="false" ht="15" hidden="false" customHeight="false" outlineLevel="0" collapsed="false">
      <c r="A1884" s="4" t="s">
        <v>207</v>
      </c>
      <c r="B1884" s="4" t="s">
        <v>208</v>
      </c>
      <c r="C1884" s="4" t="s">
        <v>61</v>
      </c>
      <c r="D1884" s="16" t="n">
        <v>45474</v>
      </c>
      <c r="E1884" s="4" t="n">
        <v>2024</v>
      </c>
      <c r="F1884" s="4" t="n">
        <v>7</v>
      </c>
      <c r="G1884" s="17" t="n">
        <v>523666</v>
      </c>
      <c r="H1884" s="18" t="n">
        <f aca="false">G1884*$B$1/1000000</f>
        <v>1.1544859098937</v>
      </c>
    </row>
    <row r="1885" customFormat="false" ht="15" hidden="false" customHeight="false" outlineLevel="0" collapsed="false">
      <c r="A1885" s="4" t="s">
        <v>207</v>
      </c>
      <c r="B1885" s="4" t="s">
        <v>208</v>
      </c>
      <c r="C1885" s="4" t="s">
        <v>61</v>
      </c>
      <c r="D1885" s="16" t="n">
        <v>45505</v>
      </c>
      <c r="E1885" s="4" t="n">
        <v>2024</v>
      </c>
      <c r="F1885" s="4" t="n">
        <v>8</v>
      </c>
      <c r="G1885" s="17" t="n">
        <v>3091444</v>
      </c>
      <c r="H1885" s="18" t="n">
        <f aca="false">G1885*$B$1/1000000</f>
        <v>6.81546737658245</v>
      </c>
    </row>
    <row r="1886" customFormat="false" ht="15" hidden="false" customHeight="false" outlineLevel="0" collapsed="false">
      <c r="A1886" s="4" t="s">
        <v>207</v>
      </c>
      <c r="B1886" s="4" t="s">
        <v>208</v>
      </c>
      <c r="C1886" s="4" t="s">
        <v>61</v>
      </c>
      <c r="D1886" s="16" t="n">
        <v>45536</v>
      </c>
      <c r="E1886" s="4" t="n">
        <v>2024</v>
      </c>
      <c r="F1886" s="4" t="n">
        <v>9</v>
      </c>
      <c r="G1886" s="17" t="n">
        <v>3868960</v>
      </c>
      <c r="H1886" s="18" t="n">
        <f aca="false">G1886*$B$1/1000000</f>
        <v>8.52959673903278</v>
      </c>
    </row>
    <row r="1887" customFormat="false" ht="15" hidden="false" customHeight="false" outlineLevel="0" collapsed="false">
      <c r="A1887" s="4" t="s">
        <v>207</v>
      </c>
      <c r="B1887" s="4" t="s">
        <v>208</v>
      </c>
      <c r="C1887" s="4" t="s">
        <v>61</v>
      </c>
      <c r="D1887" s="16" t="n">
        <v>45566</v>
      </c>
      <c r="E1887" s="4" t="n">
        <v>2024</v>
      </c>
      <c r="F1887" s="4" t="n">
        <v>10</v>
      </c>
      <c r="G1887" s="17" t="n">
        <v>3683518</v>
      </c>
      <c r="H1887" s="18" t="n">
        <f aca="false">G1887*$B$1/1000000</f>
        <v>8.12076711079167</v>
      </c>
    </row>
    <row r="1888" customFormat="false" ht="15" hidden="false" customHeight="false" outlineLevel="0" collapsed="false">
      <c r="A1888" s="4" t="s">
        <v>207</v>
      </c>
      <c r="B1888" s="4" t="s">
        <v>208</v>
      </c>
      <c r="C1888" s="4" t="s">
        <v>61</v>
      </c>
      <c r="D1888" s="16" t="n">
        <v>45689</v>
      </c>
      <c r="E1888" s="4" t="n">
        <v>2025</v>
      </c>
      <c r="F1888" s="4" t="n">
        <v>2</v>
      </c>
      <c r="G1888" s="17" t="n">
        <v>4119440</v>
      </c>
      <c r="H1888" s="18" t="n">
        <f aca="false">G1888*$B$1/1000000</f>
        <v>9.08181061335377</v>
      </c>
    </row>
    <row r="1889" customFormat="false" ht="15" hidden="false" customHeight="false" outlineLevel="0" collapsed="false">
      <c r="A1889" s="4" t="s">
        <v>207</v>
      </c>
      <c r="B1889" s="4" t="s">
        <v>208</v>
      </c>
      <c r="C1889" s="4" t="s">
        <v>61</v>
      </c>
      <c r="D1889" s="16" t="n">
        <v>45748</v>
      </c>
      <c r="E1889" s="4" t="n">
        <v>2025</v>
      </c>
      <c r="F1889" s="4" t="n">
        <v>4</v>
      </c>
      <c r="G1889" s="17" t="n">
        <v>7425</v>
      </c>
      <c r="H1889" s="18" t="n">
        <f aca="false">G1889*$B$1/1000000</f>
        <v>0.0163693229672363</v>
      </c>
    </row>
    <row r="1890" customFormat="false" ht="15" hidden="false" customHeight="false" outlineLevel="0" collapsed="false">
      <c r="A1890" s="4" t="s">
        <v>207</v>
      </c>
      <c r="B1890" s="4" t="s">
        <v>208</v>
      </c>
      <c r="C1890" s="4" t="s">
        <v>61</v>
      </c>
      <c r="D1890" s="16" t="n">
        <v>45778</v>
      </c>
      <c r="E1890" s="4" t="n">
        <v>2025</v>
      </c>
      <c r="F1890" s="4" t="n">
        <v>5</v>
      </c>
      <c r="G1890" s="17" t="n">
        <v>7182085</v>
      </c>
      <c r="H1890" s="18" t="n">
        <f aca="false">G1890*$B$1/1000000</f>
        <v>15.8337870630496</v>
      </c>
    </row>
    <row r="1891" customFormat="false" ht="15" hidden="false" customHeight="false" outlineLevel="0" collapsed="false">
      <c r="A1891" s="4" t="s">
        <v>207</v>
      </c>
      <c r="B1891" s="4" t="s">
        <v>208</v>
      </c>
      <c r="C1891" s="4" t="s">
        <v>61</v>
      </c>
      <c r="D1891" s="16" t="n">
        <v>45809</v>
      </c>
      <c r="E1891" s="4" t="n">
        <v>2025</v>
      </c>
      <c r="F1891" s="4" t="n">
        <v>6</v>
      </c>
      <c r="G1891" s="17" t="n">
        <v>3850440</v>
      </c>
      <c r="H1891" s="18" t="n">
        <f aca="false">G1891*$B$1/1000000</f>
        <v>8.48876712807611</v>
      </c>
    </row>
    <row r="1892" customFormat="false" ht="15" hidden="false" customHeight="false" outlineLevel="0" collapsed="false">
      <c r="A1892" s="4" t="s">
        <v>207</v>
      </c>
      <c r="B1892" s="4" t="s">
        <v>208</v>
      </c>
      <c r="C1892" s="4" t="s">
        <v>61</v>
      </c>
      <c r="D1892" s="16" t="n">
        <v>45839</v>
      </c>
      <c r="E1892" s="4" t="n">
        <v>2025</v>
      </c>
      <c r="F1892" s="4" t="n">
        <v>7</v>
      </c>
      <c r="G1892" s="17" t="n">
        <v>3488980</v>
      </c>
      <c r="H1892" s="18" t="n">
        <f aca="false">G1892*$B$1/1000000</f>
        <v>7.69188423518221</v>
      </c>
    </row>
    <row r="1893" customFormat="false" ht="15" hidden="false" customHeight="false" outlineLevel="0" collapsed="false">
      <c r="A1893" s="4" t="s">
        <v>207</v>
      </c>
      <c r="B1893" s="4" t="s">
        <v>208</v>
      </c>
      <c r="C1893" s="4" t="s">
        <v>61</v>
      </c>
      <c r="D1893" s="16" t="n">
        <v>45870</v>
      </c>
      <c r="E1893" s="4" t="n">
        <v>2025</v>
      </c>
      <c r="F1893" s="4" t="n">
        <v>8</v>
      </c>
      <c r="G1893" s="17" t="n">
        <v>1535803</v>
      </c>
      <c r="H1893" s="18" t="n">
        <f aca="false">G1893*$B$1/1000000</f>
        <v>3.3858660365051</v>
      </c>
    </row>
    <row r="1894" customFormat="false" ht="15" hidden="false" customHeight="false" outlineLevel="0" collapsed="false">
      <c r="A1894" s="4" t="s">
        <v>207</v>
      </c>
      <c r="B1894" s="4" t="s">
        <v>208</v>
      </c>
      <c r="C1894" s="4" t="s">
        <v>61</v>
      </c>
      <c r="D1894" s="16" t="n">
        <v>45901</v>
      </c>
      <c r="E1894" s="4" t="n">
        <v>2025</v>
      </c>
      <c r="F1894" s="4" t="n">
        <v>9</v>
      </c>
      <c r="G1894" s="17" t="n">
        <v>3051920</v>
      </c>
      <c r="H1894" s="18" t="n">
        <f aca="false">G1894*$B$1/1000000</f>
        <v>6.72833187207645</v>
      </c>
    </row>
    <row r="1895" customFormat="false" ht="15" hidden="false" customHeight="false" outlineLevel="0" collapsed="false">
      <c r="A1895" s="4" t="s">
        <v>207</v>
      </c>
      <c r="B1895" s="4" t="s">
        <v>208</v>
      </c>
      <c r="C1895" s="4" t="s">
        <v>61</v>
      </c>
      <c r="D1895" s="16" t="n">
        <v>46174</v>
      </c>
      <c r="E1895" s="4" t="n">
        <v>2026</v>
      </c>
      <c r="F1895" s="4" t="n">
        <v>6</v>
      </c>
      <c r="G1895" s="17" t="n">
        <v>1837680</v>
      </c>
      <c r="H1895" s="18" t="n">
        <f aca="false">G1895*$B$1/1000000</f>
        <v>4.05139089972131</v>
      </c>
    </row>
    <row r="1896" customFormat="false" ht="15" hidden="false" customHeight="false" outlineLevel="0" collapsed="false">
      <c r="A1896" s="4" t="s">
        <v>207</v>
      </c>
      <c r="B1896" s="4" t="s">
        <v>208</v>
      </c>
      <c r="C1896" s="4" t="s">
        <v>61</v>
      </c>
      <c r="D1896" s="16" t="n">
        <v>46235</v>
      </c>
      <c r="E1896" s="4" t="n">
        <v>2026</v>
      </c>
      <c r="F1896" s="4" t="n">
        <v>8</v>
      </c>
      <c r="G1896" s="17" t="n">
        <v>7615380</v>
      </c>
      <c r="H1896" s="18" t="n">
        <f aca="false">G1896*$B$1/1000000</f>
        <v>16.7890390219841</v>
      </c>
    </row>
    <row r="1897" customFormat="false" ht="15" hidden="false" customHeight="false" outlineLevel="0" collapsed="false">
      <c r="A1897" s="4" t="s">
        <v>207</v>
      </c>
      <c r="B1897" s="4" t="s">
        <v>208</v>
      </c>
      <c r="C1897" s="4" t="s">
        <v>78</v>
      </c>
      <c r="D1897" s="16" t="n">
        <v>43891</v>
      </c>
      <c r="E1897" s="4" t="n">
        <v>2020</v>
      </c>
      <c r="F1897" s="4" t="n">
        <v>3</v>
      </c>
      <c r="G1897" s="17" t="n">
        <v>35</v>
      </c>
      <c r="H1897" s="18" t="n">
        <f aca="false">G1897*$B$1/1000000</f>
        <v>7.716179176475E-005</v>
      </c>
    </row>
    <row r="1898" customFormat="false" ht="15" hidden="false" customHeight="false" outlineLevel="0" collapsed="false">
      <c r="A1898" s="4" t="s">
        <v>207</v>
      </c>
      <c r="B1898" s="4" t="s">
        <v>208</v>
      </c>
      <c r="C1898" s="4" t="s">
        <v>78</v>
      </c>
      <c r="D1898" s="16" t="n">
        <v>44562</v>
      </c>
      <c r="E1898" s="4" t="n">
        <v>2022</v>
      </c>
      <c r="F1898" s="4" t="n">
        <v>1</v>
      </c>
      <c r="G1898" s="17" t="n">
        <v>3831161</v>
      </c>
      <c r="H1898" s="18" t="n">
        <f aca="false">G1898*$B$1/1000000</f>
        <v>8.44626420854947</v>
      </c>
    </row>
    <row r="1899" customFormat="false" ht="15" hidden="false" customHeight="false" outlineLevel="0" collapsed="false">
      <c r="A1899" s="4" t="s">
        <v>207</v>
      </c>
      <c r="B1899" s="4" t="s">
        <v>208</v>
      </c>
      <c r="C1899" s="4" t="s">
        <v>78</v>
      </c>
      <c r="D1899" s="16" t="n">
        <v>44835</v>
      </c>
      <c r="E1899" s="4" t="n">
        <v>2022</v>
      </c>
      <c r="F1899" s="4" t="n">
        <v>10</v>
      </c>
      <c r="G1899" s="17" t="n">
        <v>17015929</v>
      </c>
      <c r="H1899" s="18" t="n">
        <f aca="false">G1899*$B$1/1000000</f>
        <v>37.5137020051935</v>
      </c>
    </row>
    <row r="1900" customFormat="false" ht="15" hidden="false" customHeight="false" outlineLevel="0" collapsed="false">
      <c r="A1900" s="4" t="s">
        <v>207</v>
      </c>
      <c r="B1900" s="4" t="s">
        <v>208</v>
      </c>
      <c r="C1900" s="4" t="s">
        <v>78</v>
      </c>
      <c r="D1900" s="16" t="n">
        <v>44866</v>
      </c>
      <c r="E1900" s="4" t="n">
        <v>2022</v>
      </c>
      <c r="F1900" s="4" t="n">
        <v>11</v>
      </c>
      <c r="G1900" s="17" t="n">
        <v>4829339</v>
      </c>
      <c r="H1900" s="18" t="n">
        <f aca="false">G1900*$B$1/1000000</f>
        <v>10.6468700079825</v>
      </c>
    </row>
    <row r="1901" customFormat="false" ht="15" hidden="false" customHeight="false" outlineLevel="0" collapsed="false">
      <c r="A1901" s="4" t="s">
        <v>207</v>
      </c>
      <c r="B1901" s="4" t="s">
        <v>208</v>
      </c>
      <c r="C1901" s="4" t="s">
        <v>78</v>
      </c>
      <c r="D1901" s="16" t="n">
        <v>44896</v>
      </c>
      <c r="E1901" s="4" t="n">
        <v>2022</v>
      </c>
      <c r="F1901" s="4" t="n">
        <v>12</v>
      </c>
      <c r="G1901" s="17" t="n">
        <v>9122884</v>
      </c>
      <c r="H1901" s="18" t="n">
        <f aca="false">G1901*$B$1/1000000</f>
        <v>20.1125164429134</v>
      </c>
    </row>
    <row r="1902" customFormat="false" ht="15" hidden="false" customHeight="false" outlineLevel="0" collapsed="false">
      <c r="A1902" s="4" t="s">
        <v>207</v>
      </c>
      <c r="B1902" s="4" t="s">
        <v>208</v>
      </c>
      <c r="C1902" s="4" t="s">
        <v>78</v>
      </c>
      <c r="D1902" s="16" t="n">
        <v>44958</v>
      </c>
      <c r="E1902" s="4" t="n">
        <v>2023</v>
      </c>
      <c r="F1902" s="4" t="n">
        <v>2</v>
      </c>
      <c r="G1902" s="17" t="n">
        <v>10384491</v>
      </c>
      <c r="H1902" s="18" t="n">
        <f aca="false">G1902*$B$1/1000000</f>
        <v>22.8938837749977</v>
      </c>
    </row>
    <row r="1903" customFormat="false" ht="15" hidden="false" customHeight="false" outlineLevel="0" collapsed="false">
      <c r="A1903" s="4" t="s">
        <v>207</v>
      </c>
      <c r="B1903" s="4" t="s">
        <v>208</v>
      </c>
      <c r="C1903" s="4" t="s">
        <v>78</v>
      </c>
      <c r="D1903" s="16" t="n">
        <v>44986</v>
      </c>
      <c r="E1903" s="4" t="n">
        <v>2023</v>
      </c>
      <c r="F1903" s="4" t="n">
        <v>3</v>
      </c>
      <c r="G1903" s="17" t="n">
        <v>11739023</v>
      </c>
      <c r="H1903" s="18" t="n">
        <f aca="false">G1903*$B$1/1000000</f>
        <v>25.8801156642175</v>
      </c>
    </row>
    <row r="1904" customFormat="false" ht="15" hidden="false" customHeight="false" outlineLevel="0" collapsed="false">
      <c r="A1904" s="4" t="s">
        <v>207</v>
      </c>
      <c r="B1904" s="4" t="s">
        <v>208</v>
      </c>
      <c r="C1904" s="4" t="s">
        <v>78</v>
      </c>
      <c r="D1904" s="16" t="n">
        <v>45017</v>
      </c>
      <c r="E1904" s="4" t="n">
        <v>2023</v>
      </c>
      <c r="F1904" s="4" t="n">
        <v>4</v>
      </c>
      <c r="G1904" s="17" t="n">
        <v>3000095</v>
      </c>
      <c r="H1904" s="18" t="n">
        <f aca="false">G1904*$B$1/1000000</f>
        <v>6.61407730469908</v>
      </c>
    </row>
    <row r="1905" customFormat="false" ht="15" hidden="false" customHeight="false" outlineLevel="0" collapsed="false">
      <c r="A1905" s="4" t="s">
        <v>207</v>
      </c>
      <c r="B1905" s="4" t="s">
        <v>208</v>
      </c>
      <c r="C1905" s="4" t="s">
        <v>78</v>
      </c>
      <c r="D1905" s="16" t="n">
        <v>45047</v>
      </c>
      <c r="E1905" s="4" t="n">
        <v>2023</v>
      </c>
      <c r="F1905" s="4" t="n">
        <v>5</v>
      </c>
      <c r="G1905" s="17" t="n">
        <v>6881305</v>
      </c>
      <c r="H1905" s="18" t="n">
        <f aca="false">G1905*$B$1/1000000</f>
        <v>15.1706806708495</v>
      </c>
    </row>
    <row r="1906" customFormat="false" ht="15" hidden="false" customHeight="false" outlineLevel="0" collapsed="false">
      <c r="A1906" s="4" t="s">
        <v>207</v>
      </c>
      <c r="B1906" s="4" t="s">
        <v>208</v>
      </c>
      <c r="C1906" s="4" t="s">
        <v>78</v>
      </c>
      <c r="D1906" s="16" t="n">
        <v>45078</v>
      </c>
      <c r="E1906" s="4" t="n">
        <v>2023</v>
      </c>
      <c r="F1906" s="4" t="n">
        <v>6</v>
      </c>
      <c r="G1906" s="17" t="n">
        <v>17447822</v>
      </c>
      <c r="H1906" s="18" t="n">
        <f aca="false">G1906*$B$1/1000000</f>
        <v>38.4658630832121</v>
      </c>
    </row>
    <row r="1907" customFormat="false" ht="15" hidden="false" customHeight="false" outlineLevel="0" collapsed="false">
      <c r="A1907" s="4" t="s">
        <v>207</v>
      </c>
      <c r="B1907" s="4" t="s">
        <v>208</v>
      </c>
      <c r="C1907" s="4" t="s">
        <v>78</v>
      </c>
      <c r="D1907" s="16" t="n">
        <v>45170</v>
      </c>
      <c r="E1907" s="4" t="n">
        <v>2023</v>
      </c>
      <c r="F1907" s="4" t="n">
        <v>9</v>
      </c>
      <c r="G1907" s="17" t="n">
        <v>4613761</v>
      </c>
      <c r="H1907" s="18" t="n">
        <f aca="false">G1907*$B$1/1000000</f>
        <v>10.1716018724093</v>
      </c>
    </row>
    <row r="1908" customFormat="false" ht="15" hidden="false" customHeight="false" outlineLevel="0" collapsed="false">
      <c r="A1908" s="4" t="s">
        <v>207</v>
      </c>
      <c r="B1908" s="4" t="s">
        <v>208</v>
      </c>
      <c r="C1908" s="4" t="s">
        <v>78</v>
      </c>
      <c r="D1908" s="16" t="n">
        <v>45200</v>
      </c>
      <c r="E1908" s="4" t="n">
        <v>2023</v>
      </c>
      <c r="F1908" s="4" t="n">
        <v>10</v>
      </c>
      <c r="G1908" s="17" t="n">
        <v>18960252</v>
      </c>
      <c r="H1908" s="18" t="n">
        <f aca="false">G1908*$B$1/1000000</f>
        <v>41.8002004751767</v>
      </c>
    </row>
    <row r="1909" customFormat="false" ht="15" hidden="false" customHeight="false" outlineLevel="0" collapsed="false">
      <c r="A1909" s="4" t="s">
        <v>207</v>
      </c>
      <c r="B1909" s="4" t="s">
        <v>208</v>
      </c>
      <c r="C1909" s="4" t="s">
        <v>78</v>
      </c>
      <c r="D1909" s="16" t="n">
        <v>45323</v>
      </c>
      <c r="E1909" s="4" t="n">
        <v>2024</v>
      </c>
      <c r="F1909" s="4" t="n">
        <v>2</v>
      </c>
      <c r="G1909" s="17" t="n">
        <v>16373822</v>
      </c>
      <c r="H1909" s="18" t="n">
        <f aca="false">G1909*$B$1/1000000</f>
        <v>36.0980983873452</v>
      </c>
    </row>
    <row r="1910" customFormat="false" ht="15" hidden="false" customHeight="false" outlineLevel="0" collapsed="false">
      <c r="A1910" s="4" t="s">
        <v>207</v>
      </c>
      <c r="B1910" s="4" t="s">
        <v>208</v>
      </c>
      <c r="C1910" s="4" t="s">
        <v>78</v>
      </c>
      <c r="D1910" s="16" t="n">
        <v>45352</v>
      </c>
      <c r="E1910" s="4" t="n">
        <v>2024</v>
      </c>
      <c r="F1910" s="4" t="n">
        <v>3</v>
      </c>
      <c r="G1910" s="17" t="n">
        <v>8688953</v>
      </c>
      <c r="H1910" s="18" t="n">
        <f aca="false">G1910*$B$1/1000000</f>
        <v>19.1558623439914</v>
      </c>
    </row>
    <row r="1911" customFormat="false" ht="15" hidden="false" customHeight="false" outlineLevel="0" collapsed="false">
      <c r="A1911" s="4" t="s">
        <v>207</v>
      </c>
      <c r="B1911" s="4" t="s">
        <v>208</v>
      </c>
      <c r="C1911" s="4" t="s">
        <v>78</v>
      </c>
      <c r="D1911" s="16" t="n">
        <v>45444</v>
      </c>
      <c r="E1911" s="4" t="n">
        <v>2024</v>
      </c>
      <c r="F1911" s="4" t="n">
        <v>6</v>
      </c>
      <c r="G1911" s="17" t="n">
        <v>5862421</v>
      </c>
      <c r="H1911" s="18" t="n">
        <f aca="false">G1911*$B$1/1000000</f>
        <v>12.9244259554085</v>
      </c>
    </row>
    <row r="1912" customFormat="false" ht="15" hidden="false" customHeight="false" outlineLevel="0" collapsed="false">
      <c r="A1912" s="4" t="s">
        <v>207</v>
      </c>
      <c r="B1912" s="4" t="s">
        <v>208</v>
      </c>
      <c r="C1912" s="4" t="s">
        <v>78</v>
      </c>
      <c r="D1912" s="16" t="n">
        <v>45474</v>
      </c>
      <c r="E1912" s="4" t="n">
        <v>2024</v>
      </c>
      <c r="F1912" s="4" t="n">
        <v>7</v>
      </c>
      <c r="G1912" s="17" t="n">
        <v>10</v>
      </c>
      <c r="H1912" s="18" t="n">
        <f aca="false">G1912*$B$1/1000000</f>
        <v>2.20462262185E-005</v>
      </c>
    </row>
    <row r="1913" customFormat="false" ht="15" hidden="false" customHeight="false" outlineLevel="0" collapsed="false">
      <c r="A1913" s="4" t="s">
        <v>207</v>
      </c>
      <c r="B1913" s="4" t="s">
        <v>208</v>
      </c>
      <c r="C1913" s="4" t="s">
        <v>78</v>
      </c>
      <c r="D1913" s="16" t="n">
        <v>45536</v>
      </c>
      <c r="E1913" s="4" t="n">
        <v>2024</v>
      </c>
      <c r="F1913" s="4" t="n">
        <v>9</v>
      </c>
      <c r="G1913" s="17" t="n">
        <v>12001460</v>
      </c>
      <c r="H1913" s="18" t="n">
        <f aca="false">G1913*$B$1/1000000</f>
        <v>26.4586902112279</v>
      </c>
    </row>
    <row r="1914" customFormat="false" ht="15" hidden="false" customHeight="false" outlineLevel="0" collapsed="false">
      <c r="A1914" s="4" t="s">
        <v>207</v>
      </c>
      <c r="B1914" s="4" t="s">
        <v>208</v>
      </c>
      <c r="C1914" s="4" t="s">
        <v>78</v>
      </c>
      <c r="D1914" s="16" t="n">
        <v>45566</v>
      </c>
      <c r="E1914" s="4" t="n">
        <v>2024</v>
      </c>
      <c r="F1914" s="4" t="n">
        <v>10</v>
      </c>
      <c r="G1914" s="17" t="n">
        <v>997308</v>
      </c>
      <c r="H1914" s="18" t="n">
        <f aca="false">G1914*$B$1/1000000</f>
        <v>2.19868777775198</v>
      </c>
    </row>
    <row r="1915" customFormat="false" ht="15" hidden="false" customHeight="false" outlineLevel="0" collapsed="false">
      <c r="A1915" s="4" t="s">
        <v>207</v>
      </c>
      <c r="B1915" s="4" t="s">
        <v>208</v>
      </c>
      <c r="C1915" s="4" t="s">
        <v>78</v>
      </c>
      <c r="D1915" s="16" t="n">
        <v>45658</v>
      </c>
      <c r="E1915" s="4" t="n">
        <v>2025</v>
      </c>
      <c r="F1915" s="4" t="n">
        <v>1</v>
      </c>
      <c r="G1915" s="17" t="n">
        <v>3609465</v>
      </c>
      <c r="H1915" s="18" t="n">
        <f aca="false">G1915*$B$1/1000000</f>
        <v>7.95750819177581</v>
      </c>
    </row>
    <row r="1916" customFormat="false" ht="15" hidden="false" customHeight="false" outlineLevel="0" collapsed="false">
      <c r="A1916" s="4" t="s">
        <v>207</v>
      </c>
      <c r="B1916" s="4" t="s">
        <v>208</v>
      </c>
      <c r="C1916" s="4" t="s">
        <v>78</v>
      </c>
      <c r="D1916" s="16" t="n">
        <v>45689</v>
      </c>
      <c r="E1916" s="4" t="n">
        <v>2025</v>
      </c>
      <c r="F1916" s="4" t="n">
        <v>2</v>
      </c>
      <c r="G1916" s="17" t="n">
        <v>4617928</v>
      </c>
      <c r="H1916" s="18" t="n">
        <f aca="false">G1916*$B$1/1000000</f>
        <v>10.1807885348745</v>
      </c>
    </row>
    <row r="1917" customFormat="false" ht="15" hidden="false" customHeight="false" outlineLevel="0" collapsed="false">
      <c r="A1917" s="4" t="s">
        <v>207</v>
      </c>
      <c r="B1917" s="4" t="s">
        <v>208</v>
      </c>
      <c r="C1917" s="4" t="s">
        <v>78</v>
      </c>
      <c r="D1917" s="16" t="n">
        <v>45717</v>
      </c>
      <c r="E1917" s="4" t="n">
        <v>2025</v>
      </c>
      <c r="F1917" s="4" t="n">
        <v>3</v>
      </c>
      <c r="G1917" s="17" t="n">
        <v>23710567</v>
      </c>
      <c r="H1917" s="18" t="n">
        <f aca="false">G1917*$B$1/1000000</f>
        <v>52.2728523850901</v>
      </c>
    </row>
    <row r="1918" customFormat="false" ht="15" hidden="false" customHeight="false" outlineLevel="0" collapsed="false">
      <c r="A1918" s="4" t="s">
        <v>207</v>
      </c>
      <c r="B1918" s="4" t="s">
        <v>208</v>
      </c>
      <c r="C1918" s="4" t="s">
        <v>78</v>
      </c>
      <c r="D1918" s="16" t="n">
        <v>45778</v>
      </c>
      <c r="E1918" s="4" t="n">
        <v>2025</v>
      </c>
      <c r="F1918" s="4" t="n">
        <v>5</v>
      </c>
      <c r="G1918" s="17" t="n">
        <v>17874846</v>
      </c>
      <c r="H1918" s="18" t="n">
        <f aca="false">G1918*$B$1/1000000</f>
        <v>39.407289853685</v>
      </c>
    </row>
    <row r="1919" customFormat="false" ht="15" hidden="false" customHeight="false" outlineLevel="0" collapsed="false">
      <c r="A1919" s="4" t="s">
        <v>207</v>
      </c>
      <c r="B1919" s="4" t="s">
        <v>208</v>
      </c>
      <c r="C1919" s="4" t="s">
        <v>78</v>
      </c>
      <c r="D1919" s="16" t="n">
        <v>45839</v>
      </c>
      <c r="E1919" s="4" t="n">
        <v>2025</v>
      </c>
      <c r="F1919" s="4" t="n">
        <v>7</v>
      </c>
      <c r="G1919" s="17" t="n">
        <v>4460663</v>
      </c>
      <c r="H1919" s="18" t="n">
        <f aca="false">G1919*$B$1/1000000</f>
        <v>9.83407855824929</v>
      </c>
    </row>
    <row r="1920" customFormat="false" ht="15" hidden="false" customHeight="false" outlineLevel="0" collapsed="false">
      <c r="A1920" s="4" t="s">
        <v>207</v>
      </c>
      <c r="B1920" s="4" t="s">
        <v>208</v>
      </c>
      <c r="C1920" s="4" t="s">
        <v>78</v>
      </c>
      <c r="D1920" s="16" t="n">
        <v>45870</v>
      </c>
      <c r="E1920" s="4" t="n">
        <v>2025</v>
      </c>
      <c r="F1920" s="4" t="n">
        <v>8</v>
      </c>
      <c r="G1920" s="17" t="n">
        <v>3209496</v>
      </c>
      <c r="H1920" s="18" t="n">
        <f aca="false">G1920*$B$1/1000000</f>
        <v>7.07572748633709</v>
      </c>
    </row>
    <row r="1921" customFormat="false" ht="15" hidden="false" customHeight="false" outlineLevel="0" collapsed="false">
      <c r="A1921" s="4" t="s">
        <v>207</v>
      </c>
      <c r="B1921" s="4" t="s">
        <v>208</v>
      </c>
      <c r="C1921" s="4" t="s">
        <v>78</v>
      </c>
      <c r="D1921" s="16" t="n">
        <v>45901</v>
      </c>
      <c r="E1921" s="4" t="n">
        <v>2025</v>
      </c>
      <c r="F1921" s="4" t="n">
        <v>9</v>
      </c>
      <c r="G1921" s="17" t="n">
        <v>6716731</v>
      </c>
      <c r="H1921" s="18" t="n">
        <f aca="false">G1921*$B$1/1000000</f>
        <v>14.8078571074812</v>
      </c>
    </row>
    <row r="1922" customFormat="false" ht="15" hidden="false" customHeight="false" outlineLevel="0" collapsed="false">
      <c r="A1922" s="4" t="s">
        <v>207</v>
      </c>
      <c r="B1922" s="4" t="s">
        <v>208</v>
      </c>
      <c r="C1922" s="4" t="s">
        <v>78</v>
      </c>
      <c r="D1922" s="16" t="n">
        <v>45931</v>
      </c>
      <c r="E1922" s="4" t="n">
        <v>2025</v>
      </c>
      <c r="F1922" s="4" t="n">
        <v>10</v>
      </c>
      <c r="G1922" s="17" t="n">
        <v>2633081</v>
      </c>
      <c r="H1922" s="18" t="n">
        <f aca="false">G1922*$B$1/1000000</f>
        <v>5.80494993776342</v>
      </c>
    </row>
    <row r="1923" customFormat="false" ht="15" hidden="false" customHeight="false" outlineLevel="0" collapsed="false">
      <c r="A1923" s="4" t="s">
        <v>207</v>
      </c>
      <c r="B1923" s="4" t="s">
        <v>208</v>
      </c>
      <c r="C1923" s="4" t="s">
        <v>78</v>
      </c>
      <c r="D1923" s="16" t="n">
        <v>45962</v>
      </c>
      <c r="E1923" s="4" t="n">
        <v>2025</v>
      </c>
      <c r="F1923" s="4" t="n">
        <v>11</v>
      </c>
      <c r="G1923" s="17" t="n">
        <v>15609608</v>
      </c>
      <c r="H1923" s="18" t="n">
        <f aca="false">G1923*$B$1/1000000</f>
        <v>34.4132949150107</v>
      </c>
    </row>
    <row r="1924" customFormat="false" ht="15" hidden="false" customHeight="false" outlineLevel="0" collapsed="false">
      <c r="A1924" s="4" t="s">
        <v>207</v>
      </c>
      <c r="B1924" s="4" t="s">
        <v>208</v>
      </c>
      <c r="C1924" s="4" t="s">
        <v>78</v>
      </c>
      <c r="D1924" s="16" t="n">
        <v>45992</v>
      </c>
      <c r="E1924" s="4" t="n">
        <v>2025</v>
      </c>
      <c r="F1924" s="4" t="n">
        <v>12</v>
      </c>
      <c r="G1924" s="17" t="n">
        <v>2288895</v>
      </c>
      <c r="H1924" s="18" t="n">
        <f aca="false">G1924*$B$1/1000000</f>
        <v>5.04614969603936</v>
      </c>
    </row>
    <row r="1925" customFormat="false" ht="15" hidden="false" customHeight="false" outlineLevel="0" collapsed="false">
      <c r="A1925" s="4" t="s">
        <v>207</v>
      </c>
      <c r="B1925" s="4" t="s">
        <v>208</v>
      </c>
      <c r="C1925" s="4" t="s">
        <v>78</v>
      </c>
      <c r="D1925" s="16" t="n">
        <v>46054</v>
      </c>
      <c r="E1925" s="4" t="n">
        <v>2026</v>
      </c>
      <c r="F1925" s="4" t="n">
        <v>2</v>
      </c>
      <c r="G1925" s="17" t="n">
        <v>2851774</v>
      </c>
      <c r="H1925" s="18" t="n">
        <f aca="false">G1925*$B$1/1000000</f>
        <v>6.28708547280366</v>
      </c>
    </row>
    <row r="1926" customFormat="false" ht="15" hidden="false" customHeight="false" outlineLevel="0" collapsed="false">
      <c r="A1926" s="4" t="s">
        <v>207</v>
      </c>
      <c r="B1926" s="4" t="s">
        <v>208</v>
      </c>
      <c r="C1926" s="4" t="s">
        <v>78</v>
      </c>
      <c r="D1926" s="16" t="n">
        <v>46082</v>
      </c>
      <c r="E1926" s="4" t="n">
        <v>2026</v>
      </c>
      <c r="F1926" s="4" t="n">
        <v>3</v>
      </c>
      <c r="G1926" s="17" t="n">
        <v>6807058</v>
      </c>
      <c r="H1926" s="18" t="n">
        <f aca="false">G1926*$B$1/1000000</f>
        <v>15.006994055045</v>
      </c>
    </row>
    <row r="1927" customFormat="false" ht="15" hidden="false" customHeight="false" outlineLevel="0" collapsed="false">
      <c r="A1927" s="4" t="s">
        <v>207</v>
      </c>
      <c r="B1927" s="4" t="s">
        <v>208</v>
      </c>
      <c r="C1927" s="4" t="s">
        <v>78</v>
      </c>
      <c r="D1927" s="16" t="n">
        <v>46143</v>
      </c>
      <c r="E1927" s="4" t="n">
        <v>2026</v>
      </c>
      <c r="F1927" s="4" t="n">
        <v>5</v>
      </c>
      <c r="G1927" s="17" t="n">
        <v>3863410</v>
      </c>
      <c r="H1927" s="18" t="n">
        <f aca="false">G1927*$B$1/1000000</f>
        <v>8.51736108348151</v>
      </c>
    </row>
    <row r="1928" customFormat="false" ht="15" hidden="false" customHeight="false" outlineLevel="0" collapsed="false">
      <c r="A1928" s="4" t="s">
        <v>207</v>
      </c>
      <c r="B1928" s="4" t="s">
        <v>208</v>
      </c>
      <c r="C1928" s="4" t="s">
        <v>78</v>
      </c>
      <c r="D1928" s="16" t="n">
        <v>46204</v>
      </c>
      <c r="E1928" s="4" t="n">
        <v>2026</v>
      </c>
      <c r="F1928" s="4" t="n">
        <v>7</v>
      </c>
      <c r="G1928" s="17" t="n">
        <v>4562994</v>
      </c>
      <c r="H1928" s="18" t="n">
        <f aca="false">G1928*$B$1/1000000</f>
        <v>10.0596797957658</v>
      </c>
    </row>
    <row r="1929" customFormat="false" ht="15" hidden="false" customHeight="false" outlineLevel="0" collapsed="false">
      <c r="A1929" s="4" t="s">
        <v>207</v>
      </c>
      <c r="B1929" s="4" t="s">
        <v>208</v>
      </c>
      <c r="C1929" s="4" t="s">
        <v>191</v>
      </c>
      <c r="D1929" s="16" t="n">
        <v>46082</v>
      </c>
      <c r="E1929" s="4" t="n">
        <v>2026</v>
      </c>
      <c r="F1929" s="4" t="n">
        <v>3</v>
      </c>
      <c r="G1929" s="17" t="n">
        <v>2270</v>
      </c>
      <c r="H1929" s="18" t="n">
        <f aca="false">G1929*$B$1/1000000</f>
        <v>0.0050044933515995</v>
      </c>
    </row>
    <row r="1930" customFormat="false" ht="15" hidden="false" customHeight="false" outlineLevel="0" collapsed="false">
      <c r="A1930" s="4" t="s">
        <v>207</v>
      </c>
      <c r="B1930" s="4" t="s">
        <v>208</v>
      </c>
      <c r="C1930" s="4" t="s">
        <v>191</v>
      </c>
      <c r="D1930" s="16" t="n">
        <v>46174</v>
      </c>
      <c r="E1930" s="4" t="n">
        <v>2026</v>
      </c>
      <c r="F1930" s="4" t="n">
        <v>6</v>
      </c>
      <c r="G1930" s="17" t="n">
        <v>750</v>
      </c>
      <c r="H1930" s="18" t="n">
        <f aca="false">G1930*$B$1/1000000</f>
        <v>0.0016534669663875</v>
      </c>
    </row>
    <row r="1931" customFormat="false" ht="15" hidden="false" customHeight="false" outlineLevel="0" collapsed="false">
      <c r="A1931" s="4" t="s">
        <v>207</v>
      </c>
      <c r="B1931" s="4" t="s">
        <v>208</v>
      </c>
      <c r="C1931" s="4" t="s">
        <v>129</v>
      </c>
      <c r="D1931" s="16" t="n">
        <v>44927</v>
      </c>
      <c r="E1931" s="4" t="n">
        <v>2023</v>
      </c>
      <c r="F1931" s="4" t="n">
        <v>1</v>
      </c>
      <c r="G1931" s="17" t="n">
        <v>23402</v>
      </c>
      <c r="H1931" s="18" t="n">
        <f aca="false">G1931*$B$1/1000000</f>
        <v>0.0515925785965337</v>
      </c>
    </row>
    <row r="1932" customFormat="false" ht="15" hidden="false" customHeight="false" outlineLevel="0" collapsed="false">
      <c r="A1932" s="4" t="s">
        <v>207</v>
      </c>
      <c r="B1932" s="4" t="s">
        <v>208</v>
      </c>
      <c r="C1932" s="4" t="s">
        <v>129</v>
      </c>
      <c r="D1932" s="16" t="n">
        <v>44958</v>
      </c>
      <c r="E1932" s="4" t="n">
        <v>2023</v>
      </c>
      <c r="F1932" s="4" t="n">
        <v>2</v>
      </c>
      <c r="G1932" s="17" t="n">
        <v>64326</v>
      </c>
      <c r="H1932" s="18" t="n">
        <f aca="false">G1932*$B$1/1000000</f>
        <v>0.141814554773123</v>
      </c>
    </row>
    <row r="1933" customFormat="false" ht="15" hidden="false" customHeight="false" outlineLevel="0" collapsed="false">
      <c r="A1933" s="4" t="s">
        <v>207</v>
      </c>
      <c r="B1933" s="4" t="s">
        <v>208</v>
      </c>
      <c r="C1933" s="4" t="s">
        <v>129</v>
      </c>
      <c r="D1933" s="16" t="n">
        <v>45047</v>
      </c>
      <c r="E1933" s="4" t="n">
        <v>2023</v>
      </c>
      <c r="F1933" s="4" t="n">
        <v>5</v>
      </c>
      <c r="G1933" s="17" t="n">
        <v>131877</v>
      </c>
      <c r="H1933" s="18" t="n">
        <f aca="false">G1933*$B$1/1000000</f>
        <v>0.290739017501712</v>
      </c>
    </row>
    <row r="1934" customFormat="false" ht="15" hidden="false" customHeight="false" outlineLevel="0" collapsed="false">
      <c r="A1934" s="4" t="s">
        <v>207</v>
      </c>
      <c r="B1934" s="4" t="s">
        <v>208</v>
      </c>
      <c r="C1934" s="4" t="s">
        <v>129</v>
      </c>
      <c r="D1934" s="16" t="n">
        <v>45078</v>
      </c>
      <c r="E1934" s="4" t="n">
        <v>2023</v>
      </c>
      <c r="F1934" s="4" t="n">
        <v>6</v>
      </c>
      <c r="G1934" s="17" t="n">
        <v>242970</v>
      </c>
      <c r="H1934" s="18" t="n">
        <f aca="false">G1934*$B$1/1000000</f>
        <v>0.535657158430895</v>
      </c>
    </row>
    <row r="1935" customFormat="false" ht="15" hidden="false" customHeight="false" outlineLevel="0" collapsed="false">
      <c r="A1935" s="4" t="s">
        <v>207</v>
      </c>
      <c r="B1935" s="4" t="s">
        <v>208</v>
      </c>
      <c r="C1935" s="4" t="s">
        <v>129</v>
      </c>
      <c r="D1935" s="16" t="n">
        <v>45108</v>
      </c>
      <c r="E1935" s="4" t="n">
        <v>2023</v>
      </c>
      <c r="F1935" s="4" t="n">
        <v>7</v>
      </c>
      <c r="G1935" s="17" t="n">
        <v>508560</v>
      </c>
      <c r="H1935" s="18" t="n">
        <f aca="false">G1935*$B$1/1000000</f>
        <v>1.12118288056804</v>
      </c>
    </row>
    <row r="1936" customFormat="false" ht="15" hidden="false" customHeight="false" outlineLevel="0" collapsed="false">
      <c r="A1936" s="4" t="s">
        <v>207</v>
      </c>
      <c r="B1936" s="4" t="s">
        <v>208</v>
      </c>
      <c r="C1936" s="4" t="s">
        <v>129</v>
      </c>
      <c r="D1936" s="16" t="n">
        <v>45139</v>
      </c>
      <c r="E1936" s="4" t="n">
        <v>2023</v>
      </c>
      <c r="F1936" s="4" t="n">
        <v>8</v>
      </c>
      <c r="G1936" s="17" t="n">
        <v>446960</v>
      </c>
      <c r="H1936" s="18" t="n">
        <f aca="false">G1936*$B$1/1000000</f>
        <v>0.985378127062076</v>
      </c>
    </row>
    <row r="1937" customFormat="false" ht="15" hidden="false" customHeight="false" outlineLevel="0" collapsed="false">
      <c r="A1937" s="4" t="s">
        <v>207</v>
      </c>
      <c r="B1937" s="4" t="s">
        <v>208</v>
      </c>
      <c r="C1937" s="4" t="s">
        <v>129</v>
      </c>
      <c r="D1937" s="16" t="n">
        <v>45170</v>
      </c>
      <c r="E1937" s="4" t="n">
        <v>2023</v>
      </c>
      <c r="F1937" s="4" t="n">
        <v>9</v>
      </c>
      <c r="G1937" s="17" t="n">
        <v>64430</v>
      </c>
      <c r="H1937" s="18" t="n">
        <f aca="false">G1937*$B$1/1000000</f>
        <v>0.142043835525796</v>
      </c>
    </row>
    <row r="1938" customFormat="false" ht="15" hidden="false" customHeight="false" outlineLevel="0" collapsed="false">
      <c r="A1938" s="4" t="s">
        <v>207</v>
      </c>
      <c r="B1938" s="4" t="s">
        <v>208</v>
      </c>
      <c r="C1938" s="4" t="s">
        <v>129</v>
      </c>
      <c r="D1938" s="16" t="n">
        <v>45200</v>
      </c>
      <c r="E1938" s="4" t="n">
        <v>2023</v>
      </c>
      <c r="F1938" s="4" t="n">
        <v>10</v>
      </c>
      <c r="G1938" s="17" t="n">
        <v>48414</v>
      </c>
      <c r="H1938" s="18" t="n">
        <f aca="false">G1938*$B$1/1000000</f>
        <v>0.106734599614246</v>
      </c>
    </row>
    <row r="1939" customFormat="false" ht="15" hidden="false" customHeight="false" outlineLevel="0" collapsed="false">
      <c r="A1939" s="4" t="s">
        <v>207</v>
      </c>
      <c r="B1939" s="4" t="s">
        <v>208</v>
      </c>
      <c r="C1939" s="4" t="s">
        <v>129</v>
      </c>
      <c r="D1939" s="16" t="n">
        <v>45231</v>
      </c>
      <c r="E1939" s="4" t="n">
        <v>2023</v>
      </c>
      <c r="F1939" s="4" t="n">
        <v>11</v>
      </c>
      <c r="G1939" s="17" t="n">
        <v>69786</v>
      </c>
      <c r="H1939" s="18" t="n">
        <f aca="false">G1939*$B$1/1000000</f>
        <v>0.153851794288424</v>
      </c>
    </row>
    <row r="1940" customFormat="false" ht="15" hidden="false" customHeight="false" outlineLevel="0" collapsed="false">
      <c r="A1940" s="4" t="s">
        <v>207</v>
      </c>
      <c r="B1940" s="4" t="s">
        <v>208</v>
      </c>
      <c r="C1940" s="4" t="s">
        <v>129</v>
      </c>
      <c r="D1940" s="16" t="n">
        <v>45658</v>
      </c>
      <c r="E1940" s="4" t="n">
        <v>2025</v>
      </c>
      <c r="F1940" s="4" t="n">
        <v>1</v>
      </c>
      <c r="G1940" s="17" t="n">
        <v>95639</v>
      </c>
      <c r="H1940" s="18" t="n">
        <f aca="false">G1940*$B$1/1000000</f>
        <v>0.210847902931112</v>
      </c>
    </row>
    <row r="1941" customFormat="false" ht="15" hidden="false" customHeight="false" outlineLevel="0" collapsed="false">
      <c r="A1941" s="4" t="s">
        <v>207</v>
      </c>
      <c r="B1941" s="4" t="s">
        <v>208</v>
      </c>
      <c r="C1941" s="4" t="s">
        <v>129</v>
      </c>
      <c r="D1941" s="16" t="n">
        <v>45962</v>
      </c>
      <c r="E1941" s="4" t="n">
        <v>2025</v>
      </c>
      <c r="F1941" s="4" t="n">
        <v>11</v>
      </c>
      <c r="G1941" s="17" t="n">
        <v>104870</v>
      </c>
      <c r="H1941" s="18" t="n">
        <f aca="false">G1941*$B$1/1000000</f>
        <v>0.23119877435341</v>
      </c>
    </row>
    <row r="1942" customFormat="false" ht="15" hidden="false" customHeight="false" outlineLevel="0" collapsed="false">
      <c r="A1942" s="4" t="s">
        <v>207</v>
      </c>
      <c r="B1942" s="4" t="s">
        <v>208</v>
      </c>
      <c r="C1942" s="4" t="s">
        <v>129</v>
      </c>
      <c r="D1942" s="16" t="n">
        <v>46023</v>
      </c>
      <c r="E1942" s="4" t="n">
        <v>2026</v>
      </c>
      <c r="F1942" s="4" t="n">
        <v>1</v>
      </c>
      <c r="G1942" s="17" t="n">
        <v>43112</v>
      </c>
      <c r="H1942" s="18" t="n">
        <f aca="false">G1942*$B$1/1000000</f>
        <v>0.0950456904731972</v>
      </c>
    </row>
    <row r="1943" customFormat="false" ht="15" hidden="false" customHeight="false" outlineLevel="0" collapsed="false">
      <c r="A1943" s="4" t="s">
        <v>207</v>
      </c>
      <c r="B1943" s="4" t="s">
        <v>208</v>
      </c>
      <c r="C1943" s="4" t="s">
        <v>129</v>
      </c>
      <c r="D1943" s="16" t="n">
        <v>46082</v>
      </c>
      <c r="E1943" s="4" t="n">
        <v>2026</v>
      </c>
      <c r="F1943" s="4" t="n">
        <v>3</v>
      </c>
      <c r="G1943" s="17" t="n">
        <v>19837</v>
      </c>
      <c r="H1943" s="18" t="n">
        <f aca="false">G1943*$B$1/1000000</f>
        <v>0.0437330989496385</v>
      </c>
    </row>
    <row r="1944" customFormat="false" ht="15" hidden="false" customHeight="false" outlineLevel="0" collapsed="false">
      <c r="A1944" s="4" t="s">
        <v>207</v>
      </c>
      <c r="B1944" s="4" t="s">
        <v>208</v>
      </c>
      <c r="C1944" s="4" t="s">
        <v>129</v>
      </c>
      <c r="D1944" s="16" t="n">
        <v>46174</v>
      </c>
      <c r="E1944" s="4" t="n">
        <v>2026</v>
      </c>
      <c r="F1944" s="4" t="n">
        <v>6</v>
      </c>
      <c r="G1944" s="17" t="n">
        <v>49934</v>
      </c>
      <c r="H1944" s="18" t="n">
        <f aca="false">G1944*$B$1/1000000</f>
        <v>0.110085625999458</v>
      </c>
    </row>
    <row r="1945" customFormat="false" ht="15" hidden="false" customHeight="false" outlineLevel="0" collapsed="false">
      <c r="A1945" s="4" t="s">
        <v>207</v>
      </c>
      <c r="B1945" s="4" t="s">
        <v>208</v>
      </c>
      <c r="C1945" s="4" t="s">
        <v>129</v>
      </c>
      <c r="D1945" s="16" t="n">
        <v>46204</v>
      </c>
      <c r="E1945" s="4" t="n">
        <v>2026</v>
      </c>
      <c r="F1945" s="4" t="n">
        <v>7</v>
      </c>
      <c r="G1945" s="17" t="n">
        <v>50594</v>
      </c>
      <c r="H1945" s="18" t="n">
        <f aca="false">G1945*$B$1/1000000</f>
        <v>0.111540676929879</v>
      </c>
    </row>
    <row r="1946" customFormat="false" ht="15" hidden="false" customHeight="false" outlineLevel="0" collapsed="false">
      <c r="A1946" s="4" t="s">
        <v>207</v>
      </c>
      <c r="B1946" s="4" t="s">
        <v>208</v>
      </c>
      <c r="C1946" s="4" t="s">
        <v>93</v>
      </c>
      <c r="D1946" s="16" t="n">
        <v>44440</v>
      </c>
      <c r="E1946" s="4" t="n">
        <v>2021</v>
      </c>
      <c r="F1946" s="4" t="n">
        <v>9</v>
      </c>
      <c r="G1946" s="17" t="n">
        <v>41971</v>
      </c>
      <c r="H1946" s="18" t="n">
        <f aca="false">G1946*$B$1/1000000</f>
        <v>0.0925302160616664</v>
      </c>
    </row>
    <row r="1947" customFormat="false" ht="15" hidden="false" customHeight="false" outlineLevel="0" collapsed="false">
      <c r="A1947" s="4" t="s">
        <v>207</v>
      </c>
      <c r="B1947" s="4" t="s">
        <v>208</v>
      </c>
      <c r="C1947" s="4" t="s">
        <v>63</v>
      </c>
      <c r="D1947" s="16" t="n">
        <v>43831</v>
      </c>
      <c r="E1947" s="4" t="n">
        <v>2020</v>
      </c>
      <c r="F1947" s="4" t="n">
        <v>1</v>
      </c>
      <c r="G1947" s="17" t="n">
        <v>63310</v>
      </c>
      <c r="H1947" s="18" t="n">
        <f aca="false">G1947*$B$1/1000000</f>
        <v>0.139574658189324</v>
      </c>
    </row>
    <row r="1948" customFormat="false" ht="15" hidden="false" customHeight="false" outlineLevel="0" collapsed="false">
      <c r="A1948" s="4" t="s">
        <v>207</v>
      </c>
      <c r="B1948" s="4" t="s">
        <v>208</v>
      </c>
      <c r="C1948" s="4" t="s">
        <v>63</v>
      </c>
      <c r="D1948" s="16" t="n">
        <v>44896</v>
      </c>
      <c r="E1948" s="4" t="n">
        <v>2022</v>
      </c>
      <c r="F1948" s="4" t="n">
        <v>12</v>
      </c>
      <c r="G1948" s="17" t="n">
        <v>393965</v>
      </c>
      <c r="H1948" s="18" t="n">
        <f aca="false">G1948*$B$1/1000000</f>
        <v>0.868544151217135</v>
      </c>
    </row>
    <row r="1949" customFormat="false" ht="15" hidden="false" customHeight="false" outlineLevel="0" collapsed="false">
      <c r="A1949" s="4" t="s">
        <v>207</v>
      </c>
      <c r="B1949" s="4" t="s">
        <v>208</v>
      </c>
      <c r="C1949" s="4" t="s">
        <v>63</v>
      </c>
      <c r="D1949" s="16" t="n">
        <v>44927</v>
      </c>
      <c r="E1949" s="4" t="n">
        <v>2023</v>
      </c>
      <c r="F1949" s="4" t="n">
        <v>1</v>
      </c>
      <c r="G1949" s="17" t="n">
        <v>510504</v>
      </c>
      <c r="H1949" s="18" t="n">
        <f aca="false">G1949*$B$1/1000000</f>
        <v>1.12546866694491</v>
      </c>
    </row>
    <row r="1950" customFormat="false" ht="15" hidden="false" customHeight="false" outlineLevel="0" collapsed="false">
      <c r="A1950" s="4" t="s">
        <v>207</v>
      </c>
      <c r="B1950" s="4" t="s">
        <v>208</v>
      </c>
      <c r="C1950" s="4" t="s">
        <v>63</v>
      </c>
      <c r="D1950" s="16" t="n">
        <v>44958</v>
      </c>
      <c r="E1950" s="4" t="n">
        <v>2023</v>
      </c>
      <c r="F1950" s="4" t="n">
        <v>2</v>
      </c>
      <c r="G1950" s="17" t="n">
        <v>547850</v>
      </c>
      <c r="H1950" s="18" t="n">
        <f aca="false">G1950*$B$1/1000000</f>
        <v>1.20780250338052</v>
      </c>
    </row>
    <row r="1951" customFormat="false" ht="15" hidden="false" customHeight="false" outlineLevel="0" collapsed="false">
      <c r="A1951" s="4" t="s">
        <v>207</v>
      </c>
      <c r="B1951" s="4" t="s">
        <v>208</v>
      </c>
      <c r="C1951" s="4" t="s">
        <v>63</v>
      </c>
      <c r="D1951" s="16" t="n">
        <v>44986</v>
      </c>
      <c r="E1951" s="4" t="n">
        <v>2023</v>
      </c>
      <c r="F1951" s="4" t="n">
        <v>3</v>
      </c>
      <c r="G1951" s="17" t="n">
        <v>64510</v>
      </c>
      <c r="H1951" s="18" t="n">
        <f aca="false">G1951*$B$1/1000000</f>
        <v>0.142220205335544</v>
      </c>
    </row>
    <row r="1952" customFormat="false" ht="15" hidden="false" customHeight="false" outlineLevel="0" collapsed="false">
      <c r="A1952" s="4" t="s">
        <v>207</v>
      </c>
      <c r="B1952" s="4" t="s">
        <v>208</v>
      </c>
      <c r="C1952" s="4" t="s">
        <v>63</v>
      </c>
      <c r="D1952" s="16" t="n">
        <v>45017</v>
      </c>
      <c r="E1952" s="4" t="n">
        <v>2023</v>
      </c>
      <c r="F1952" s="4" t="n">
        <v>4</v>
      </c>
      <c r="G1952" s="17" t="n">
        <v>180581</v>
      </c>
      <c r="H1952" s="18" t="n">
        <f aca="false">G1952*$B$1/1000000</f>
        <v>0.398112957676295</v>
      </c>
    </row>
    <row r="1953" customFormat="false" ht="15" hidden="false" customHeight="false" outlineLevel="0" collapsed="false">
      <c r="A1953" s="4" t="s">
        <v>207</v>
      </c>
      <c r="B1953" s="4" t="s">
        <v>208</v>
      </c>
      <c r="C1953" s="4" t="s">
        <v>63</v>
      </c>
      <c r="D1953" s="16" t="n">
        <v>45047</v>
      </c>
      <c r="E1953" s="4" t="n">
        <v>2023</v>
      </c>
      <c r="F1953" s="4" t="n">
        <v>5</v>
      </c>
      <c r="G1953" s="17" t="n">
        <v>300000</v>
      </c>
      <c r="H1953" s="18" t="n">
        <f aca="false">G1953*$B$1/1000000</f>
        <v>0.661386786555</v>
      </c>
    </row>
    <row r="1954" customFormat="false" ht="15" hidden="false" customHeight="false" outlineLevel="0" collapsed="false">
      <c r="A1954" s="4" t="s">
        <v>207</v>
      </c>
      <c r="B1954" s="4" t="s">
        <v>208</v>
      </c>
      <c r="C1954" s="4" t="s">
        <v>63</v>
      </c>
      <c r="D1954" s="16" t="n">
        <v>45078</v>
      </c>
      <c r="E1954" s="4" t="n">
        <v>2023</v>
      </c>
      <c r="F1954" s="4" t="n">
        <v>6</v>
      </c>
      <c r="G1954" s="17" t="n">
        <v>344805</v>
      </c>
      <c r="H1954" s="18" t="n">
        <f aca="false">G1954*$B$1/1000000</f>
        <v>0.760164903126989</v>
      </c>
    </row>
    <row r="1955" customFormat="false" ht="15" hidden="false" customHeight="false" outlineLevel="0" collapsed="false">
      <c r="A1955" s="4" t="s">
        <v>207</v>
      </c>
      <c r="B1955" s="4" t="s">
        <v>208</v>
      </c>
      <c r="C1955" s="4" t="s">
        <v>63</v>
      </c>
      <c r="D1955" s="16" t="n">
        <v>45108</v>
      </c>
      <c r="E1955" s="4" t="n">
        <v>2023</v>
      </c>
      <c r="F1955" s="4" t="n">
        <v>7</v>
      </c>
      <c r="G1955" s="17" t="n">
        <v>313810</v>
      </c>
      <c r="H1955" s="18" t="n">
        <f aca="false">G1955*$B$1/1000000</f>
        <v>0.691832624962748</v>
      </c>
    </row>
    <row r="1956" customFormat="false" ht="15" hidden="false" customHeight="false" outlineLevel="0" collapsed="false">
      <c r="A1956" s="4" t="s">
        <v>207</v>
      </c>
      <c r="B1956" s="4" t="s">
        <v>208</v>
      </c>
      <c r="C1956" s="4" t="s">
        <v>63</v>
      </c>
      <c r="D1956" s="16" t="n">
        <v>46023</v>
      </c>
      <c r="E1956" s="4" t="n">
        <v>2026</v>
      </c>
      <c r="F1956" s="4" t="n">
        <v>1</v>
      </c>
      <c r="G1956" s="17" t="n">
        <v>400</v>
      </c>
      <c r="H1956" s="18" t="n">
        <f aca="false">G1956*$B$1/1000000</f>
        <v>0.00088184904874</v>
      </c>
    </row>
    <row r="1957" customFormat="false" ht="15" hidden="false" customHeight="false" outlineLevel="0" collapsed="false">
      <c r="A1957" s="4" t="s">
        <v>207</v>
      </c>
      <c r="B1957" s="4" t="s">
        <v>208</v>
      </c>
      <c r="C1957" s="4" t="s">
        <v>132</v>
      </c>
      <c r="D1957" s="16" t="n">
        <v>45170</v>
      </c>
      <c r="E1957" s="4" t="n">
        <v>2023</v>
      </c>
      <c r="F1957" s="4" t="n">
        <v>9</v>
      </c>
      <c r="G1957" s="17" t="n">
        <v>359592</v>
      </c>
      <c r="H1957" s="18" t="n">
        <f aca="false">G1957*$B$1/1000000</f>
        <v>0.792764657836285</v>
      </c>
    </row>
    <row r="1958" customFormat="false" ht="15" hidden="false" customHeight="false" outlineLevel="0" collapsed="false">
      <c r="A1958" s="4" t="s">
        <v>207</v>
      </c>
      <c r="B1958" s="4" t="s">
        <v>208</v>
      </c>
      <c r="C1958" s="4" t="s">
        <v>128</v>
      </c>
      <c r="D1958" s="16" t="n">
        <v>45078</v>
      </c>
      <c r="E1958" s="4" t="n">
        <v>2023</v>
      </c>
      <c r="F1958" s="4" t="n">
        <v>6</v>
      </c>
      <c r="G1958" s="17" t="n">
        <v>297349</v>
      </c>
      <c r="H1958" s="18" t="n">
        <f aca="false">G1958*$B$1/1000000</f>
        <v>0.655542331984476</v>
      </c>
    </row>
    <row r="1959" customFormat="false" ht="15" hidden="false" customHeight="false" outlineLevel="0" collapsed="false">
      <c r="A1959" s="4" t="s">
        <v>207</v>
      </c>
      <c r="B1959" s="4" t="s">
        <v>208</v>
      </c>
      <c r="C1959" s="4" t="s">
        <v>128</v>
      </c>
      <c r="D1959" s="16" t="n">
        <v>45139</v>
      </c>
      <c r="E1959" s="4" t="n">
        <v>2023</v>
      </c>
      <c r="F1959" s="4" t="n">
        <v>8</v>
      </c>
      <c r="G1959" s="17" t="n">
        <v>605576</v>
      </c>
      <c r="H1959" s="18" t="n">
        <f aca="false">G1959*$B$1/1000000</f>
        <v>1.33506654884944</v>
      </c>
    </row>
    <row r="1960" customFormat="false" ht="15" hidden="false" customHeight="false" outlineLevel="0" collapsed="false">
      <c r="A1960" s="4" t="s">
        <v>207</v>
      </c>
      <c r="B1960" s="4" t="s">
        <v>208</v>
      </c>
      <c r="C1960" s="4" t="s">
        <v>128</v>
      </c>
      <c r="D1960" s="16" t="n">
        <v>45170</v>
      </c>
      <c r="E1960" s="4" t="n">
        <v>2023</v>
      </c>
      <c r="F1960" s="4" t="n">
        <v>9</v>
      </c>
      <c r="G1960" s="17" t="n">
        <v>2554535</v>
      </c>
      <c r="H1960" s="18" t="n">
        <f aca="false">G1960*$B$1/1000000</f>
        <v>5.63178564930759</v>
      </c>
    </row>
    <row r="1961" customFormat="false" ht="15" hidden="false" customHeight="false" outlineLevel="0" collapsed="false">
      <c r="A1961" s="4" t="s">
        <v>207</v>
      </c>
      <c r="B1961" s="4" t="s">
        <v>208</v>
      </c>
      <c r="C1961" s="4" t="s">
        <v>128</v>
      </c>
      <c r="D1961" s="16" t="n">
        <v>45200</v>
      </c>
      <c r="E1961" s="4" t="n">
        <v>2023</v>
      </c>
      <c r="F1961" s="4" t="n">
        <v>10</v>
      </c>
      <c r="G1961" s="17" t="n">
        <v>934119</v>
      </c>
      <c r="H1961" s="18" t="n">
        <f aca="false">G1961*$B$1/1000000</f>
        <v>2.0593798788999</v>
      </c>
    </row>
    <row r="1962" customFormat="false" ht="15" hidden="false" customHeight="false" outlineLevel="0" collapsed="false">
      <c r="A1962" s="4" t="s">
        <v>207</v>
      </c>
      <c r="B1962" s="4" t="s">
        <v>208</v>
      </c>
      <c r="C1962" s="4" t="s">
        <v>128</v>
      </c>
      <c r="D1962" s="16" t="n">
        <v>45261</v>
      </c>
      <c r="E1962" s="4" t="n">
        <v>2023</v>
      </c>
      <c r="F1962" s="4" t="n">
        <v>12</v>
      </c>
      <c r="G1962" s="17" t="n">
        <v>1609255</v>
      </c>
      <c r="H1962" s="18" t="n">
        <f aca="false">G1962*$B$1/1000000</f>
        <v>3.54779997732522</v>
      </c>
    </row>
    <row r="1963" customFormat="false" ht="15" hidden="false" customHeight="false" outlineLevel="0" collapsed="false">
      <c r="A1963" s="4" t="s">
        <v>207</v>
      </c>
      <c r="B1963" s="4" t="s">
        <v>208</v>
      </c>
      <c r="C1963" s="4" t="s">
        <v>128</v>
      </c>
      <c r="D1963" s="16" t="n">
        <v>45292</v>
      </c>
      <c r="E1963" s="4" t="n">
        <v>2024</v>
      </c>
      <c r="F1963" s="4" t="n">
        <v>1</v>
      </c>
      <c r="G1963" s="17" t="n">
        <v>4378309</v>
      </c>
      <c r="H1963" s="18" t="n">
        <f aca="false">G1963*$B$1/1000000</f>
        <v>9.65251906684945</v>
      </c>
    </row>
    <row r="1964" customFormat="false" ht="15" hidden="false" customHeight="false" outlineLevel="0" collapsed="false">
      <c r="A1964" s="4" t="s">
        <v>207</v>
      </c>
      <c r="B1964" s="4" t="s">
        <v>208</v>
      </c>
      <c r="C1964" s="4" t="s">
        <v>128</v>
      </c>
      <c r="D1964" s="16" t="n">
        <v>45352</v>
      </c>
      <c r="E1964" s="4" t="n">
        <v>2024</v>
      </c>
      <c r="F1964" s="4" t="n">
        <v>3</v>
      </c>
      <c r="G1964" s="17" t="n">
        <v>4311151</v>
      </c>
      <c r="H1964" s="18" t="n">
        <f aca="false">G1964*$B$1/1000000</f>
        <v>9.50446102081125</v>
      </c>
    </row>
    <row r="1965" customFormat="false" ht="15" hidden="false" customHeight="false" outlineLevel="0" collapsed="false">
      <c r="A1965" s="4" t="s">
        <v>207</v>
      </c>
      <c r="B1965" s="4" t="s">
        <v>208</v>
      </c>
      <c r="C1965" s="4" t="s">
        <v>128</v>
      </c>
      <c r="D1965" s="16" t="n">
        <v>45383</v>
      </c>
      <c r="E1965" s="4" t="n">
        <v>2024</v>
      </c>
      <c r="F1965" s="4" t="n">
        <v>4</v>
      </c>
      <c r="G1965" s="17" t="n">
        <v>3216560</v>
      </c>
      <c r="H1965" s="18" t="n">
        <f aca="false">G1965*$B$1/1000000</f>
        <v>7.09130094053784</v>
      </c>
    </row>
    <row r="1966" customFormat="false" ht="15" hidden="false" customHeight="false" outlineLevel="0" collapsed="false">
      <c r="A1966" s="4" t="s">
        <v>207</v>
      </c>
      <c r="B1966" s="4" t="s">
        <v>208</v>
      </c>
      <c r="C1966" s="4" t="s">
        <v>128</v>
      </c>
      <c r="D1966" s="16" t="n">
        <v>45474</v>
      </c>
      <c r="E1966" s="4" t="n">
        <v>2024</v>
      </c>
      <c r="F1966" s="4" t="n">
        <v>7</v>
      </c>
      <c r="G1966" s="17" t="n">
        <v>4042682</v>
      </c>
      <c r="H1966" s="18" t="n">
        <f aca="false">G1966*$B$1/1000000</f>
        <v>8.9125881901458</v>
      </c>
    </row>
    <row r="1967" customFormat="false" ht="15" hidden="false" customHeight="false" outlineLevel="0" collapsed="false">
      <c r="A1967" s="4" t="s">
        <v>207</v>
      </c>
      <c r="B1967" s="4" t="s">
        <v>208</v>
      </c>
      <c r="C1967" s="4" t="s">
        <v>128</v>
      </c>
      <c r="D1967" s="16" t="n">
        <v>45505</v>
      </c>
      <c r="E1967" s="4" t="n">
        <v>2024</v>
      </c>
      <c r="F1967" s="4" t="n">
        <v>8</v>
      </c>
      <c r="G1967" s="17" t="n">
        <v>3129237</v>
      </c>
      <c r="H1967" s="18" t="n">
        <f aca="false">G1967*$B$1/1000000</f>
        <v>6.89878667933003</v>
      </c>
    </row>
    <row r="1968" customFormat="false" ht="15" hidden="false" customHeight="false" outlineLevel="0" collapsed="false">
      <c r="A1968" s="4" t="s">
        <v>207</v>
      </c>
      <c r="B1968" s="4" t="s">
        <v>208</v>
      </c>
      <c r="C1968" s="4" t="s">
        <v>128</v>
      </c>
      <c r="D1968" s="16" t="n">
        <v>45536</v>
      </c>
      <c r="E1968" s="4" t="n">
        <v>2024</v>
      </c>
      <c r="F1968" s="4" t="n">
        <v>9</v>
      </c>
      <c r="G1968" s="17" t="n">
        <v>2718391</v>
      </c>
      <c r="H1968" s="18" t="n">
        <f aca="false">G1968*$B$1/1000000</f>
        <v>5.99302629363344</v>
      </c>
    </row>
    <row r="1969" customFormat="false" ht="15" hidden="false" customHeight="false" outlineLevel="0" collapsed="false">
      <c r="A1969" s="4" t="s">
        <v>207</v>
      </c>
      <c r="B1969" s="4" t="s">
        <v>208</v>
      </c>
      <c r="C1969" s="4" t="s">
        <v>128</v>
      </c>
      <c r="D1969" s="16" t="n">
        <v>45566</v>
      </c>
      <c r="E1969" s="4" t="n">
        <v>2024</v>
      </c>
      <c r="F1969" s="4" t="n">
        <v>10</v>
      </c>
      <c r="G1969" s="17" t="n">
        <v>2692171</v>
      </c>
      <c r="H1969" s="18" t="n">
        <f aca="false">G1969*$B$1/1000000</f>
        <v>5.93522108848854</v>
      </c>
    </row>
    <row r="1970" customFormat="false" ht="15" hidden="false" customHeight="false" outlineLevel="0" collapsed="false">
      <c r="A1970" s="4" t="s">
        <v>207</v>
      </c>
      <c r="B1970" s="4" t="s">
        <v>208</v>
      </c>
      <c r="C1970" s="4" t="s">
        <v>128</v>
      </c>
      <c r="D1970" s="16" t="n">
        <v>45627</v>
      </c>
      <c r="E1970" s="4" t="n">
        <v>2024</v>
      </c>
      <c r="F1970" s="4" t="n">
        <v>12</v>
      </c>
      <c r="G1970" s="17" t="n">
        <v>3046726</v>
      </c>
      <c r="H1970" s="18" t="n">
        <f aca="false">G1970*$B$1/1000000</f>
        <v>6.71688106217856</v>
      </c>
    </row>
    <row r="1971" customFormat="false" ht="15" hidden="false" customHeight="false" outlineLevel="0" collapsed="false">
      <c r="A1971" s="4" t="s">
        <v>207</v>
      </c>
      <c r="B1971" s="4" t="s">
        <v>208</v>
      </c>
      <c r="C1971" s="4" t="s">
        <v>128</v>
      </c>
      <c r="D1971" s="16" t="n">
        <v>45689</v>
      </c>
      <c r="E1971" s="4" t="n">
        <v>2025</v>
      </c>
      <c r="F1971" s="4" t="n">
        <v>2</v>
      </c>
      <c r="G1971" s="17" t="n">
        <v>2081854</v>
      </c>
      <c r="H1971" s="18" t="n">
        <f aca="false">G1971*$B$1/1000000</f>
        <v>4.58970242378891</v>
      </c>
    </row>
    <row r="1972" customFormat="false" ht="15" hidden="false" customHeight="false" outlineLevel="0" collapsed="false">
      <c r="A1972" s="4" t="s">
        <v>207</v>
      </c>
      <c r="B1972" s="4" t="s">
        <v>208</v>
      </c>
      <c r="C1972" s="4" t="s">
        <v>128</v>
      </c>
      <c r="D1972" s="16" t="n">
        <v>45778</v>
      </c>
      <c r="E1972" s="4" t="n">
        <v>2025</v>
      </c>
      <c r="F1972" s="4" t="n">
        <v>5</v>
      </c>
      <c r="G1972" s="17" t="n">
        <v>4180387</v>
      </c>
      <c r="H1972" s="18" t="n">
        <f aca="false">G1972*$B$1/1000000</f>
        <v>9.21617574828766</v>
      </c>
    </row>
    <row r="1973" customFormat="false" ht="15" hidden="false" customHeight="false" outlineLevel="0" collapsed="false">
      <c r="A1973" s="4" t="s">
        <v>207</v>
      </c>
      <c r="B1973" s="4" t="s">
        <v>208</v>
      </c>
      <c r="C1973" s="4" t="s">
        <v>128</v>
      </c>
      <c r="D1973" s="16" t="n">
        <v>45809</v>
      </c>
      <c r="E1973" s="4" t="n">
        <v>2025</v>
      </c>
      <c r="F1973" s="4" t="n">
        <v>6</v>
      </c>
      <c r="G1973" s="17" t="n">
        <v>4596772</v>
      </c>
      <c r="H1973" s="18" t="n">
        <f aca="false">G1973*$B$1/1000000</f>
        <v>10.1341475386867</v>
      </c>
    </row>
    <row r="1974" customFormat="false" ht="15" hidden="false" customHeight="false" outlineLevel="0" collapsed="false">
      <c r="A1974" s="4" t="s">
        <v>207</v>
      </c>
      <c r="B1974" s="4" t="s">
        <v>208</v>
      </c>
      <c r="C1974" s="4" t="s">
        <v>128</v>
      </c>
      <c r="D1974" s="16" t="n">
        <v>45839</v>
      </c>
      <c r="E1974" s="4" t="n">
        <v>2025</v>
      </c>
      <c r="F1974" s="4" t="n">
        <v>7</v>
      </c>
      <c r="G1974" s="17" t="n">
        <v>4703109</v>
      </c>
      <c r="H1974" s="18" t="n">
        <f aca="false">G1974*$B$1/1000000</f>
        <v>10.3685804944263</v>
      </c>
    </row>
    <row r="1975" customFormat="false" ht="15" hidden="false" customHeight="false" outlineLevel="0" collapsed="false">
      <c r="A1975" s="4" t="s">
        <v>207</v>
      </c>
      <c r="B1975" s="4" t="s">
        <v>208</v>
      </c>
      <c r="C1975" s="4" t="s">
        <v>128</v>
      </c>
      <c r="D1975" s="16" t="n">
        <v>45870</v>
      </c>
      <c r="E1975" s="4" t="n">
        <v>2025</v>
      </c>
      <c r="F1975" s="4" t="n">
        <v>8</v>
      </c>
      <c r="G1975" s="17" t="n">
        <v>5363140</v>
      </c>
      <c r="H1975" s="18" t="n">
        <f aca="false">G1975*$B$1/1000000</f>
        <v>11.8236997681486</v>
      </c>
    </row>
    <row r="1976" customFormat="false" ht="15" hidden="false" customHeight="false" outlineLevel="0" collapsed="false">
      <c r="A1976" s="4" t="s">
        <v>207</v>
      </c>
      <c r="B1976" s="4" t="s">
        <v>208</v>
      </c>
      <c r="C1976" s="4" t="s">
        <v>128</v>
      </c>
      <c r="D1976" s="16" t="n">
        <v>45901</v>
      </c>
      <c r="E1976" s="4" t="n">
        <v>2025</v>
      </c>
      <c r="F1976" s="4" t="n">
        <v>9</v>
      </c>
      <c r="G1976" s="17" t="n">
        <v>5121051</v>
      </c>
      <c r="H1976" s="18" t="n">
        <f aca="false">G1976*$B$1/1000000</f>
        <v>11.2899848822476</v>
      </c>
    </row>
    <row r="1977" customFormat="false" ht="15" hidden="false" customHeight="false" outlineLevel="0" collapsed="false">
      <c r="A1977" s="4" t="s">
        <v>207</v>
      </c>
      <c r="B1977" s="4" t="s">
        <v>208</v>
      </c>
      <c r="C1977" s="4" t="s">
        <v>128</v>
      </c>
      <c r="D1977" s="16" t="n">
        <v>45962</v>
      </c>
      <c r="E1977" s="4" t="n">
        <v>2025</v>
      </c>
      <c r="F1977" s="4" t="n">
        <v>11</v>
      </c>
      <c r="G1977" s="17" t="n">
        <v>3027250</v>
      </c>
      <c r="H1977" s="18" t="n">
        <f aca="false">G1977*$B$1/1000000</f>
        <v>6.67394383199541</v>
      </c>
    </row>
    <row r="1978" customFormat="false" ht="15" hidden="false" customHeight="false" outlineLevel="0" collapsed="false">
      <c r="A1978" s="4" t="s">
        <v>207</v>
      </c>
      <c r="B1978" s="4" t="s">
        <v>208</v>
      </c>
      <c r="C1978" s="4" t="s">
        <v>128</v>
      </c>
      <c r="D1978" s="16" t="n">
        <v>46174</v>
      </c>
      <c r="E1978" s="4" t="n">
        <v>2026</v>
      </c>
      <c r="F1978" s="4" t="n">
        <v>6</v>
      </c>
      <c r="G1978" s="17" t="n">
        <v>2789216</v>
      </c>
      <c r="H1978" s="18" t="n">
        <f aca="false">G1978*$B$1/1000000</f>
        <v>6.14916869082597</v>
      </c>
    </row>
    <row r="1979" customFormat="false" ht="15" hidden="false" customHeight="false" outlineLevel="0" collapsed="false">
      <c r="A1979" s="4" t="s">
        <v>207</v>
      </c>
      <c r="B1979" s="4" t="s">
        <v>208</v>
      </c>
      <c r="C1979" s="4" t="s">
        <v>128</v>
      </c>
      <c r="D1979" s="16" t="n">
        <v>46235</v>
      </c>
      <c r="E1979" s="4" t="n">
        <v>2026</v>
      </c>
      <c r="F1979" s="4" t="n">
        <v>8</v>
      </c>
      <c r="G1979" s="17" t="n">
        <v>12295654</v>
      </c>
      <c r="H1979" s="18" t="n">
        <f aca="false">G1979*$B$1/1000000</f>
        <v>27.1072769588404</v>
      </c>
    </row>
    <row r="1980" customFormat="false" ht="15" hidden="false" customHeight="false" outlineLevel="0" collapsed="false">
      <c r="A1980" s="4" t="s">
        <v>207</v>
      </c>
      <c r="B1980" s="4" t="s">
        <v>208</v>
      </c>
      <c r="C1980" s="4" t="s">
        <v>77</v>
      </c>
      <c r="D1980" s="16" t="n">
        <v>43831</v>
      </c>
      <c r="E1980" s="4" t="n">
        <v>2020</v>
      </c>
      <c r="F1980" s="4" t="n">
        <v>1</v>
      </c>
      <c r="G1980" s="17" t="n">
        <v>504</v>
      </c>
      <c r="H1980" s="18" t="n">
        <f aca="false">G1980*$B$1/1000000</f>
        <v>0.0011111298014124</v>
      </c>
    </row>
    <row r="1981" customFormat="false" ht="15" hidden="false" customHeight="false" outlineLevel="0" collapsed="false">
      <c r="A1981" s="4" t="s">
        <v>207</v>
      </c>
      <c r="B1981" s="4" t="s">
        <v>208</v>
      </c>
      <c r="C1981" s="4" t="s">
        <v>77</v>
      </c>
      <c r="D1981" s="16" t="n">
        <v>44317</v>
      </c>
      <c r="E1981" s="4" t="n">
        <v>2021</v>
      </c>
      <c r="F1981" s="4" t="n">
        <v>5</v>
      </c>
      <c r="G1981" s="17" t="n">
        <v>2295</v>
      </c>
      <c r="H1981" s="18" t="n">
        <f aca="false">G1981*$B$1/1000000</f>
        <v>0.00505960891714575</v>
      </c>
    </row>
    <row r="1982" customFormat="false" ht="15" hidden="false" customHeight="false" outlineLevel="0" collapsed="false">
      <c r="A1982" s="4" t="s">
        <v>207</v>
      </c>
      <c r="B1982" s="4" t="s">
        <v>208</v>
      </c>
      <c r="C1982" s="4" t="s">
        <v>77</v>
      </c>
      <c r="D1982" s="16" t="n">
        <v>44470</v>
      </c>
      <c r="E1982" s="4" t="n">
        <v>2021</v>
      </c>
      <c r="F1982" s="4" t="n">
        <v>10</v>
      </c>
      <c r="G1982" s="17" t="n">
        <v>2000</v>
      </c>
      <c r="H1982" s="18" t="n">
        <f aca="false">G1982*$B$1/1000000</f>
        <v>0.0044092452437</v>
      </c>
    </row>
    <row r="1983" customFormat="false" ht="15" hidden="false" customHeight="false" outlineLevel="0" collapsed="false">
      <c r="A1983" s="4" t="s">
        <v>207</v>
      </c>
      <c r="B1983" s="4" t="s">
        <v>208</v>
      </c>
      <c r="C1983" s="4" t="s">
        <v>77</v>
      </c>
      <c r="D1983" s="16" t="n">
        <v>44562</v>
      </c>
      <c r="E1983" s="4" t="n">
        <v>2022</v>
      </c>
      <c r="F1983" s="4" t="n">
        <v>1</v>
      </c>
      <c r="G1983" s="17" t="n">
        <v>1000</v>
      </c>
      <c r="H1983" s="18" t="n">
        <f aca="false">G1983*$B$1/1000000</f>
        <v>0.00220462262185</v>
      </c>
    </row>
    <row r="1984" customFormat="false" ht="15" hidden="false" customHeight="false" outlineLevel="0" collapsed="false">
      <c r="A1984" s="4" t="s">
        <v>207</v>
      </c>
      <c r="B1984" s="4" t="s">
        <v>208</v>
      </c>
      <c r="C1984" s="4" t="s">
        <v>77</v>
      </c>
      <c r="D1984" s="16" t="n">
        <v>44835</v>
      </c>
      <c r="E1984" s="4" t="n">
        <v>2022</v>
      </c>
      <c r="F1984" s="4" t="n">
        <v>10</v>
      </c>
      <c r="G1984" s="17" t="n">
        <v>2000</v>
      </c>
      <c r="H1984" s="18" t="n">
        <f aca="false">G1984*$B$1/1000000</f>
        <v>0.0044092452437</v>
      </c>
    </row>
    <row r="1985" customFormat="false" ht="15" hidden="false" customHeight="false" outlineLevel="0" collapsed="false">
      <c r="A1985" s="4" t="s">
        <v>207</v>
      </c>
      <c r="B1985" s="4" t="s">
        <v>208</v>
      </c>
      <c r="C1985" s="4" t="s">
        <v>77</v>
      </c>
      <c r="D1985" s="16" t="n">
        <v>45323</v>
      </c>
      <c r="E1985" s="4" t="n">
        <v>2024</v>
      </c>
      <c r="F1985" s="4" t="n">
        <v>2</v>
      </c>
      <c r="G1985" s="17" t="n">
        <v>1400</v>
      </c>
      <c r="H1985" s="18" t="n">
        <f aca="false">G1985*$B$1/1000000</f>
        <v>0.00308647167059</v>
      </c>
    </row>
    <row r="1986" customFormat="false" ht="15" hidden="false" customHeight="false" outlineLevel="0" collapsed="false">
      <c r="A1986" s="4" t="s">
        <v>207</v>
      </c>
      <c r="B1986" s="4" t="s">
        <v>208</v>
      </c>
      <c r="C1986" s="4" t="s">
        <v>77</v>
      </c>
      <c r="D1986" s="16" t="n">
        <v>45444</v>
      </c>
      <c r="E1986" s="4" t="n">
        <v>2024</v>
      </c>
      <c r="F1986" s="4" t="n">
        <v>6</v>
      </c>
      <c r="G1986" s="17" t="n">
        <v>1625</v>
      </c>
      <c r="H1986" s="18" t="n">
        <f aca="false">G1986*$B$1/1000000</f>
        <v>0.00358251176050625</v>
      </c>
    </row>
    <row r="1987" customFormat="false" ht="15" hidden="false" customHeight="false" outlineLevel="0" collapsed="false">
      <c r="A1987" s="4" t="s">
        <v>207</v>
      </c>
      <c r="B1987" s="4" t="s">
        <v>208</v>
      </c>
      <c r="C1987" s="4" t="s">
        <v>77</v>
      </c>
      <c r="D1987" s="16" t="n">
        <v>45505</v>
      </c>
      <c r="E1987" s="4" t="n">
        <v>2024</v>
      </c>
      <c r="F1987" s="4" t="n">
        <v>8</v>
      </c>
      <c r="G1987" s="17" t="n">
        <v>4500</v>
      </c>
      <c r="H1987" s="18" t="n">
        <f aca="false">G1987*$B$1/1000000</f>
        <v>0.009920801798325</v>
      </c>
    </row>
    <row r="1988" customFormat="false" ht="15" hidden="false" customHeight="false" outlineLevel="0" collapsed="false">
      <c r="A1988" s="4" t="s">
        <v>207</v>
      </c>
      <c r="B1988" s="4" t="s">
        <v>208</v>
      </c>
      <c r="C1988" s="4" t="s">
        <v>77</v>
      </c>
      <c r="D1988" s="16" t="n">
        <v>45536</v>
      </c>
      <c r="E1988" s="4" t="n">
        <v>2024</v>
      </c>
      <c r="F1988" s="4" t="n">
        <v>9</v>
      </c>
      <c r="G1988" s="17" t="n">
        <v>4050</v>
      </c>
      <c r="H1988" s="18" t="n">
        <f aca="false">G1988*$B$1/1000000</f>
        <v>0.0089287216184925</v>
      </c>
    </row>
    <row r="1989" customFormat="false" ht="15" hidden="false" customHeight="false" outlineLevel="0" collapsed="false">
      <c r="A1989" s="4" t="s">
        <v>207</v>
      </c>
      <c r="B1989" s="4" t="s">
        <v>208</v>
      </c>
      <c r="C1989" s="4" t="s">
        <v>160</v>
      </c>
      <c r="D1989" s="16" t="n">
        <v>45474</v>
      </c>
      <c r="E1989" s="4" t="n">
        <v>2024</v>
      </c>
      <c r="F1989" s="4" t="n">
        <v>7</v>
      </c>
      <c r="G1989" s="17" t="n">
        <v>72990</v>
      </c>
      <c r="H1989" s="18" t="n">
        <f aca="false">G1989*$B$1/1000000</f>
        <v>0.160915405168832</v>
      </c>
    </row>
    <row r="1990" customFormat="false" ht="15" hidden="false" customHeight="false" outlineLevel="0" collapsed="false">
      <c r="A1990" s="4" t="s">
        <v>207</v>
      </c>
      <c r="B1990" s="4" t="s">
        <v>208</v>
      </c>
      <c r="C1990" s="4" t="s">
        <v>160</v>
      </c>
      <c r="D1990" s="16" t="n">
        <v>45505</v>
      </c>
      <c r="E1990" s="4" t="n">
        <v>2024</v>
      </c>
      <c r="F1990" s="4" t="n">
        <v>8</v>
      </c>
      <c r="G1990" s="17" t="n">
        <v>73647</v>
      </c>
      <c r="H1990" s="18" t="n">
        <f aca="false">G1990*$B$1/1000000</f>
        <v>0.162363842231387</v>
      </c>
    </row>
    <row r="1991" customFormat="false" ht="15" hidden="false" customHeight="false" outlineLevel="0" collapsed="false">
      <c r="A1991" s="4" t="s">
        <v>207</v>
      </c>
      <c r="B1991" s="4" t="s">
        <v>208</v>
      </c>
      <c r="C1991" s="4" t="s">
        <v>160</v>
      </c>
      <c r="D1991" s="16" t="n">
        <v>45536</v>
      </c>
      <c r="E1991" s="4" t="n">
        <v>2024</v>
      </c>
      <c r="F1991" s="4" t="n">
        <v>9</v>
      </c>
      <c r="G1991" s="17" t="n">
        <v>128416</v>
      </c>
      <c r="H1991" s="18" t="n">
        <f aca="false">G1991*$B$1/1000000</f>
        <v>0.28310881860749</v>
      </c>
    </row>
    <row r="1992" customFormat="false" ht="15" hidden="false" customHeight="false" outlineLevel="0" collapsed="false">
      <c r="A1992" s="4" t="s">
        <v>207</v>
      </c>
      <c r="B1992" s="4" t="s">
        <v>208</v>
      </c>
      <c r="C1992" s="4" t="s">
        <v>160</v>
      </c>
      <c r="D1992" s="16" t="n">
        <v>45566</v>
      </c>
      <c r="E1992" s="4" t="n">
        <v>2024</v>
      </c>
      <c r="F1992" s="4" t="n">
        <v>10</v>
      </c>
      <c r="G1992" s="17" t="n">
        <v>46140</v>
      </c>
      <c r="H1992" s="18" t="n">
        <f aca="false">G1992*$B$1/1000000</f>
        <v>0.101721287772159</v>
      </c>
    </row>
    <row r="1993" customFormat="false" ht="15" hidden="false" customHeight="false" outlineLevel="0" collapsed="false">
      <c r="A1993" s="4" t="s">
        <v>207</v>
      </c>
      <c r="B1993" s="4" t="s">
        <v>208</v>
      </c>
      <c r="C1993" s="4" t="s">
        <v>160</v>
      </c>
      <c r="D1993" s="16" t="n">
        <v>45627</v>
      </c>
      <c r="E1993" s="4" t="n">
        <v>2024</v>
      </c>
      <c r="F1993" s="4" t="n">
        <v>12</v>
      </c>
      <c r="G1993" s="17" t="n">
        <v>101685</v>
      </c>
      <c r="H1993" s="18" t="n">
        <f aca="false">G1993*$B$1/1000000</f>
        <v>0.224177051302817</v>
      </c>
    </row>
    <row r="1994" customFormat="false" ht="15" hidden="false" customHeight="false" outlineLevel="0" collapsed="false">
      <c r="A1994" s="4" t="s">
        <v>207</v>
      </c>
      <c r="B1994" s="4" t="s">
        <v>208</v>
      </c>
      <c r="C1994" s="4" t="s">
        <v>160</v>
      </c>
      <c r="D1994" s="16" t="n">
        <v>46235</v>
      </c>
      <c r="E1994" s="4" t="n">
        <v>2026</v>
      </c>
      <c r="F1994" s="4" t="n">
        <v>8</v>
      </c>
      <c r="G1994" s="17" t="n">
        <v>74142</v>
      </c>
      <c r="H1994" s="18" t="n">
        <f aca="false">G1994*$B$1/1000000</f>
        <v>0.163455130429203</v>
      </c>
    </row>
    <row r="1995" customFormat="false" ht="15" hidden="false" customHeight="false" outlineLevel="0" collapsed="false">
      <c r="A1995" s="4" t="s">
        <v>207</v>
      </c>
      <c r="B1995" s="4" t="s">
        <v>208</v>
      </c>
      <c r="C1995" s="4" t="s">
        <v>158</v>
      </c>
      <c r="D1995" s="16" t="n">
        <v>45292</v>
      </c>
      <c r="E1995" s="4" t="n">
        <v>2024</v>
      </c>
      <c r="F1995" s="4" t="n">
        <v>1</v>
      </c>
      <c r="G1995" s="17" t="n">
        <v>49284</v>
      </c>
      <c r="H1995" s="18" t="n">
        <f aca="false">G1995*$B$1/1000000</f>
        <v>0.108652621295255</v>
      </c>
    </row>
    <row r="1996" customFormat="false" ht="15" hidden="false" customHeight="false" outlineLevel="0" collapsed="false">
      <c r="A1996" s="4" t="s">
        <v>207</v>
      </c>
      <c r="B1996" s="4" t="s">
        <v>208</v>
      </c>
      <c r="C1996" s="4" t="s">
        <v>158</v>
      </c>
      <c r="D1996" s="16" t="n">
        <v>45352</v>
      </c>
      <c r="E1996" s="4" t="n">
        <v>2024</v>
      </c>
      <c r="F1996" s="4" t="n">
        <v>3</v>
      </c>
      <c r="G1996" s="17" t="n">
        <v>69074</v>
      </c>
      <c r="H1996" s="18" t="n">
        <f aca="false">G1996*$B$1/1000000</f>
        <v>0.152282102981667</v>
      </c>
    </row>
    <row r="1997" customFormat="false" ht="15" hidden="false" customHeight="false" outlineLevel="0" collapsed="false">
      <c r="A1997" s="4" t="s">
        <v>207</v>
      </c>
      <c r="B1997" s="4" t="s">
        <v>208</v>
      </c>
      <c r="C1997" s="4" t="s">
        <v>158</v>
      </c>
      <c r="D1997" s="16" t="n">
        <v>45383</v>
      </c>
      <c r="E1997" s="4" t="n">
        <v>2024</v>
      </c>
      <c r="F1997" s="4" t="n">
        <v>4</v>
      </c>
      <c r="G1997" s="17" t="n">
        <v>98331</v>
      </c>
      <c r="H1997" s="18" t="n">
        <f aca="false">G1997*$B$1/1000000</f>
        <v>0.216782747029132</v>
      </c>
    </row>
    <row r="1998" customFormat="false" ht="15" hidden="false" customHeight="false" outlineLevel="0" collapsed="false">
      <c r="A1998" s="4" t="s">
        <v>207</v>
      </c>
      <c r="B1998" s="4" t="s">
        <v>208</v>
      </c>
      <c r="C1998" s="4" t="s">
        <v>158</v>
      </c>
      <c r="D1998" s="16" t="n">
        <v>45474</v>
      </c>
      <c r="E1998" s="4" t="n">
        <v>2024</v>
      </c>
      <c r="F1998" s="4" t="n">
        <v>7</v>
      </c>
      <c r="G1998" s="17" t="n">
        <v>213720</v>
      </c>
      <c r="H1998" s="18" t="n">
        <f aca="false">G1998*$B$1/1000000</f>
        <v>0.471171946741782</v>
      </c>
    </row>
    <row r="1999" customFormat="false" ht="15" hidden="false" customHeight="false" outlineLevel="0" collapsed="false">
      <c r="A1999" s="4" t="s">
        <v>207</v>
      </c>
      <c r="B1999" s="4" t="s">
        <v>208</v>
      </c>
      <c r="C1999" s="4" t="s">
        <v>158</v>
      </c>
      <c r="D1999" s="16" t="n">
        <v>45505</v>
      </c>
      <c r="E1999" s="4" t="n">
        <v>2024</v>
      </c>
      <c r="F1999" s="4" t="n">
        <v>8</v>
      </c>
      <c r="G1999" s="17" t="n">
        <v>118747</v>
      </c>
      <c r="H1999" s="18" t="n">
        <f aca="false">G1999*$B$1/1000000</f>
        <v>0.261792322476822</v>
      </c>
    </row>
    <row r="2000" customFormat="false" ht="15" hidden="false" customHeight="false" outlineLevel="0" collapsed="false">
      <c r="A2000" s="4" t="s">
        <v>207</v>
      </c>
      <c r="B2000" s="4" t="s">
        <v>208</v>
      </c>
      <c r="C2000" s="4" t="s">
        <v>158</v>
      </c>
      <c r="D2000" s="16" t="n">
        <v>45536</v>
      </c>
      <c r="E2000" s="4" t="n">
        <v>2024</v>
      </c>
      <c r="F2000" s="4" t="n">
        <v>9</v>
      </c>
      <c r="G2000" s="17" t="n">
        <v>22630</v>
      </c>
      <c r="H2000" s="18" t="n">
        <f aca="false">G2000*$B$1/1000000</f>
        <v>0.0498906099324655</v>
      </c>
    </row>
    <row r="2001" customFormat="false" ht="15" hidden="false" customHeight="false" outlineLevel="0" collapsed="false">
      <c r="A2001" s="4" t="s">
        <v>207</v>
      </c>
      <c r="B2001" s="4" t="s">
        <v>208</v>
      </c>
      <c r="C2001" s="4" t="s">
        <v>158</v>
      </c>
      <c r="D2001" s="16" t="n">
        <v>45566</v>
      </c>
      <c r="E2001" s="4" t="n">
        <v>2024</v>
      </c>
      <c r="F2001" s="4" t="n">
        <v>10</v>
      </c>
      <c r="G2001" s="17" t="n">
        <v>67760</v>
      </c>
      <c r="H2001" s="18" t="n">
        <f aca="false">G2001*$B$1/1000000</f>
        <v>0.149385228856556</v>
      </c>
    </row>
    <row r="2002" customFormat="false" ht="15" hidden="false" customHeight="false" outlineLevel="0" collapsed="false">
      <c r="A2002" s="4" t="s">
        <v>207</v>
      </c>
      <c r="B2002" s="4" t="s">
        <v>208</v>
      </c>
      <c r="C2002" s="4" t="s">
        <v>158</v>
      </c>
      <c r="D2002" s="16" t="n">
        <v>45627</v>
      </c>
      <c r="E2002" s="4" t="n">
        <v>2024</v>
      </c>
      <c r="F2002" s="4" t="n">
        <v>12</v>
      </c>
      <c r="G2002" s="17" t="n">
        <v>119178</v>
      </c>
      <c r="H2002" s="18" t="n">
        <f aca="false">G2002*$B$1/1000000</f>
        <v>0.262742514826839</v>
      </c>
    </row>
    <row r="2003" customFormat="false" ht="15" hidden="false" customHeight="false" outlineLevel="0" collapsed="false">
      <c r="A2003" s="4" t="s">
        <v>207</v>
      </c>
      <c r="B2003" s="4" t="s">
        <v>208</v>
      </c>
      <c r="C2003" s="4" t="s">
        <v>158</v>
      </c>
      <c r="D2003" s="16" t="n">
        <v>45778</v>
      </c>
      <c r="E2003" s="4" t="n">
        <v>2025</v>
      </c>
      <c r="F2003" s="4" t="n">
        <v>5</v>
      </c>
      <c r="G2003" s="17" t="n">
        <v>55020</v>
      </c>
      <c r="H2003" s="18" t="n">
        <f aca="false">G2003*$B$1/1000000</f>
        <v>0.121298336654187</v>
      </c>
    </row>
    <row r="2004" customFormat="false" ht="15" hidden="false" customHeight="false" outlineLevel="0" collapsed="false">
      <c r="A2004" s="4" t="s">
        <v>207</v>
      </c>
      <c r="B2004" s="4" t="s">
        <v>208</v>
      </c>
      <c r="C2004" s="4" t="s">
        <v>158</v>
      </c>
      <c r="D2004" s="16" t="n">
        <v>45870</v>
      </c>
      <c r="E2004" s="4" t="n">
        <v>2025</v>
      </c>
      <c r="F2004" s="4" t="n">
        <v>8</v>
      </c>
      <c r="G2004" s="17" t="n">
        <v>211907</v>
      </c>
      <c r="H2004" s="18" t="n">
        <f aca="false">G2004*$B$1/1000000</f>
        <v>0.467174965928368</v>
      </c>
    </row>
    <row r="2005" customFormat="false" ht="15" hidden="false" customHeight="false" outlineLevel="0" collapsed="false">
      <c r="A2005" s="4" t="s">
        <v>207</v>
      </c>
      <c r="B2005" s="4" t="s">
        <v>208</v>
      </c>
      <c r="C2005" s="4" t="s">
        <v>158</v>
      </c>
      <c r="D2005" s="16" t="n">
        <v>45901</v>
      </c>
      <c r="E2005" s="4" t="n">
        <v>2025</v>
      </c>
      <c r="F2005" s="4" t="n">
        <v>9</v>
      </c>
      <c r="G2005" s="17" t="n">
        <v>239440</v>
      </c>
      <c r="H2005" s="18" t="n">
        <f aca="false">G2005*$B$1/1000000</f>
        <v>0.527874840575764</v>
      </c>
    </row>
    <row r="2006" customFormat="false" ht="15" hidden="false" customHeight="false" outlineLevel="0" collapsed="false">
      <c r="A2006" s="4" t="s">
        <v>207</v>
      </c>
      <c r="B2006" s="4" t="s">
        <v>208</v>
      </c>
      <c r="C2006" s="4" t="s">
        <v>158</v>
      </c>
      <c r="D2006" s="16" t="n">
        <v>45962</v>
      </c>
      <c r="E2006" s="4" t="n">
        <v>2025</v>
      </c>
      <c r="F2006" s="4" t="n">
        <v>11</v>
      </c>
      <c r="G2006" s="17" t="n">
        <v>140000</v>
      </c>
      <c r="H2006" s="18" t="n">
        <f aca="false">G2006*$B$1/1000000</f>
        <v>0.308647167059</v>
      </c>
    </row>
    <row r="2007" customFormat="false" ht="15" hidden="false" customHeight="false" outlineLevel="0" collapsed="false">
      <c r="A2007" s="4" t="s">
        <v>207</v>
      </c>
      <c r="B2007" s="4" t="s">
        <v>208</v>
      </c>
      <c r="C2007" s="4" t="s">
        <v>158</v>
      </c>
      <c r="D2007" s="16" t="n">
        <v>46174</v>
      </c>
      <c r="E2007" s="4" t="n">
        <v>2026</v>
      </c>
      <c r="F2007" s="4" t="n">
        <v>6</v>
      </c>
      <c r="G2007" s="17" t="n">
        <v>46780</v>
      </c>
      <c r="H2007" s="18" t="n">
        <f aca="false">G2007*$B$1/1000000</f>
        <v>0.103132246250143</v>
      </c>
    </row>
    <row r="2008" customFormat="false" ht="15" hidden="false" customHeight="false" outlineLevel="0" collapsed="false">
      <c r="A2008" s="4" t="s">
        <v>207</v>
      </c>
      <c r="B2008" s="4" t="s">
        <v>208</v>
      </c>
      <c r="C2008" s="4" t="s">
        <v>111</v>
      </c>
      <c r="D2008" s="16" t="n">
        <v>44774</v>
      </c>
      <c r="E2008" s="4" t="n">
        <v>2022</v>
      </c>
      <c r="F2008" s="4" t="n">
        <v>8</v>
      </c>
      <c r="G2008" s="17" t="n">
        <v>138705</v>
      </c>
      <c r="H2008" s="18" t="n">
        <f aca="false">G2008*$B$1/1000000</f>
        <v>0.305792180763704</v>
      </c>
    </row>
    <row r="2009" customFormat="false" ht="15" hidden="false" customHeight="false" outlineLevel="0" collapsed="false">
      <c r="A2009" s="4" t="s">
        <v>207</v>
      </c>
      <c r="B2009" s="4" t="s">
        <v>208</v>
      </c>
      <c r="C2009" s="4" t="s">
        <v>142</v>
      </c>
      <c r="D2009" s="16" t="n">
        <v>45078</v>
      </c>
      <c r="E2009" s="4" t="n">
        <v>2023</v>
      </c>
      <c r="F2009" s="4" t="n">
        <v>6</v>
      </c>
      <c r="G2009" s="17" t="n">
        <v>78</v>
      </c>
      <c r="H2009" s="18" t="n">
        <f aca="false">G2009*$B$1/1000000</f>
        <v>0.0001719605645043</v>
      </c>
    </row>
    <row r="2010" customFormat="false" ht="15" hidden="false" customHeight="false" outlineLevel="0" collapsed="false">
      <c r="A2010" s="4" t="s">
        <v>207</v>
      </c>
      <c r="B2010" s="4" t="s">
        <v>208</v>
      </c>
      <c r="C2010" s="4" t="s">
        <v>142</v>
      </c>
      <c r="D2010" s="16" t="n">
        <v>45352</v>
      </c>
      <c r="E2010" s="4" t="n">
        <v>2024</v>
      </c>
      <c r="F2010" s="4" t="n">
        <v>3</v>
      </c>
      <c r="G2010" s="17" t="n">
        <v>145669</v>
      </c>
      <c r="H2010" s="18" t="n">
        <f aca="false">G2010*$B$1/1000000</f>
        <v>0.321145172702268</v>
      </c>
    </row>
    <row r="2011" customFormat="false" ht="15" hidden="false" customHeight="false" outlineLevel="0" collapsed="false">
      <c r="A2011" s="4" t="s">
        <v>207</v>
      </c>
      <c r="B2011" s="4" t="s">
        <v>208</v>
      </c>
      <c r="C2011" s="4" t="s">
        <v>142</v>
      </c>
      <c r="D2011" s="16" t="n">
        <v>45383</v>
      </c>
      <c r="E2011" s="4" t="n">
        <v>2024</v>
      </c>
      <c r="F2011" s="4" t="n">
        <v>4</v>
      </c>
      <c r="G2011" s="17" t="n">
        <v>735794</v>
      </c>
      <c r="H2011" s="18" t="n">
        <f aca="false">G2011*$B$1/1000000</f>
        <v>1.6221480974215</v>
      </c>
    </row>
    <row r="2012" customFormat="false" ht="15" hidden="false" customHeight="false" outlineLevel="0" collapsed="false">
      <c r="A2012" s="4" t="s">
        <v>207</v>
      </c>
      <c r="B2012" s="4" t="s">
        <v>208</v>
      </c>
      <c r="C2012" s="4" t="s">
        <v>142</v>
      </c>
      <c r="D2012" s="16" t="n">
        <v>45474</v>
      </c>
      <c r="E2012" s="4" t="n">
        <v>2024</v>
      </c>
      <c r="F2012" s="4" t="n">
        <v>7</v>
      </c>
      <c r="G2012" s="17" t="n">
        <v>790444</v>
      </c>
      <c r="H2012" s="18" t="n">
        <f aca="false">G2012*$B$1/1000000</f>
        <v>1.7426307237056</v>
      </c>
    </row>
    <row r="2013" customFormat="false" ht="15" hidden="false" customHeight="false" outlineLevel="0" collapsed="false">
      <c r="A2013" s="4" t="s">
        <v>207</v>
      </c>
      <c r="B2013" s="4" t="s">
        <v>208</v>
      </c>
      <c r="C2013" s="4" t="s">
        <v>142</v>
      </c>
      <c r="D2013" s="16" t="n">
        <v>45505</v>
      </c>
      <c r="E2013" s="4" t="n">
        <v>2024</v>
      </c>
      <c r="F2013" s="4" t="n">
        <v>8</v>
      </c>
      <c r="G2013" s="17" t="n">
        <v>247682</v>
      </c>
      <c r="H2013" s="18" t="n">
        <f aca="false">G2013*$B$1/1000000</f>
        <v>0.546045340225052</v>
      </c>
    </row>
    <row r="2014" customFormat="false" ht="15" hidden="false" customHeight="false" outlineLevel="0" collapsed="false">
      <c r="A2014" s="4" t="s">
        <v>207</v>
      </c>
      <c r="B2014" s="4" t="s">
        <v>208</v>
      </c>
      <c r="C2014" s="4" t="s">
        <v>142</v>
      </c>
      <c r="D2014" s="16" t="n">
        <v>45536</v>
      </c>
      <c r="E2014" s="4" t="n">
        <v>2024</v>
      </c>
      <c r="F2014" s="4" t="n">
        <v>9</v>
      </c>
      <c r="G2014" s="17" t="n">
        <v>122116</v>
      </c>
      <c r="H2014" s="18" t="n">
        <f aca="false">G2014*$B$1/1000000</f>
        <v>0.269219696089835</v>
      </c>
    </row>
    <row r="2015" customFormat="false" ht="15" hidden="false" customHeight="false" outlineLevel="0" collapsed="false">
      <c r="A2015" s="4" t="s">
        <v>207</v>
      </c>
      <c r="B2015" s="4" t="s">
        <v>208</v>
      </c>
      <c r="C2015" s="4" t="s">
        <v>142</v>
      </c>
      <c r="D2015" s="16" t="n">
        <v>45566</v>
      </c>
      <c r="E2015" s="4" t="n">
        <v>2024</v>
      </c>
      <c r="F2015" s="4" t="n">
        <v>10</v>
      </c>
      <c r="G2015" s="17" t="n">
        <v>342700</v>
      </c>
      <c r="H2015" s="18" t="n">
        <f aca="false">G2015*$B$1/1000000</f>
        <v>0.755524172507995</v>
      </c>
    </row>
    <row r="2016" customFormat="false" ht="15" hidden="false" customHeight="false" outlineLevel="0" collapsed="false">
      <c r="A2016" s="4" t="s">
        <v>207</v>
      </c>
      <c r="B2016" s="4" t="s">
        <v>208</v>
      </c>
      <c r="C2016" s="4" t="s">
        <v>142</v>
      </c>
      <c r="D2016" s="16" t="n">
        <v>45627</v>
      </c>
      <c r="E2016" s="4" t="n">
        <v>2024</v>
      </c>
      <c r="F2016" s="4" t="n">
        <v>12</v>
      </c>
      <c r="G2016" s="17" t="n">
        <v>148956</v>
      </c>
      <c r="H2016" s="18" t="n">
        <f aca="false">G2016*$B$1/1000000</f>
        <v>0.328391767260289</v>
      </c>
    </row>
    <row r="2017" customFormat="false" ht="15" hidden="false" customHeight="false" outlineLevel="0" collapsed="false">
      <c r="A2017" s="4" t="s">
        <v>207</v>
      </c>
      <c r="B2017" s="4" t="s">
        <v>208</v>
      </c>
      <c r="C2017" s="4" t="s">
        <v>142</v>
      </c>
      <c r="D2017" s="16" t="n">
        <v>45809</v>
      </c>
      <c r="E2017" s="4" t="n">
        <v>2025</v>
      </c>
      <c r="F2017" s="4" t="n">
        <v>6</v>
      </c>
      <c r="G2017" s="17" t="n">
        <v>272160</v>
      </c>
      <c r="H2017" s="18" t="n">
        <f aca="false">G2017*$B$1/1000000</f>
        <v>0.600010092762696</v>
      </c>
    </row>
    <row r="2018" customFormat="false" ht="15" hidden="false" customHeight="false" outlineLevel="0" collapsed="false">
      <c r="A2018" s="4" t="s">
        <v>207</v>
      </c>
      <c r="B2018" s="4" t="s">
        <v>208</v>
      </c>
      <c r="C2018" s="4" t="s">
        <v>142</v>
      </c>
      <c r="D2018" s="16" t="n">
        <v>45839</v>
      </c>
      <c r="E2018" s="4" t="n">
        <v>2025</v>
      </c>
      <c r="F2018" s="4" t="n">
        <v>7</v>
      </c>
      <c r="G2018" s="17" t="n">
        <v>96860</v>
      </c>
      <c r="H2018" s="18" t="n">
        <f aca="false">G2018*$B$1/1000000</f>
        <v>0.213539747152391</v>
      </c>
    </row>
    <row r="2019" customFormat="false" ht="15" hidden="false" customHeight="false" outlineLevel="0" collapsed="false">
      <c r="A2019" s="4" t="s">
        <v>207</v>
      </c>
      <c r="B2019" s="4" t="s">
        <v>208</v>
      </c>
      <c r="C2019" s="4" t="s">
        <v>138</v>
      </c>
      <c r="D2019" s="16" t="n">
        <v>45261</v>
      </c>
      <c r="E2019" s="4" t="n">
        <v>2023</v>
      </c>
      <c r="F2019" s="4" t="n">
        <v>12</v>
      </c>
      <c r="G2019" s="17" t="n">
        <v>74315</v>
      </c>
      <c r="H2019" s="18" t="n">
        <f aca="false">G2019*$B$1/1000000</f>
        <v>0.163836530142783</v>
      </c>
    </row>
    <row r="2020" customFormat="false" ht="15" hidden="false" customHeight="false" outlineLevel="0" collapsed="false">
      <c r="A2020" s="4" t="s">
        <v>207</v>
      </c>
      <c r="B2020" s="4" t="s">
        <v>208</v>
      </c>
      <c r="C2020" s="4" t="s">
        <v>138</v>
      </c>
      <c r="D2020" s="16" t="n">
        <v>45292</v>
      </c>
      <c r="E2020" s="4" t="n">
        <v>2024</v>
      </c>
      <c r="F2020" s="4" t="n">
        <v>1</v>
      </c>
      <c r="G2020" s="17" t="n">
        <v>74626</v>
      </c>
      <c r="H2020" s="18" t="n">
        <f aca="false">G2020*$B$1/1000000</f>
        <v>0.164522167778178</v>
      </c>
    </row>
    <row r="2021" customFormat="false" ht="15" hidden="false" customHeight="false" outlineLevel="0" collapsed="false">
      <c r="A2021" s="4" t="s">
        <v>207</v>
      </c>
      <c r="B2021" s="4" t="s">
        <v>208</v>
      </c>
      <c r="C2021" s="4" t="s">
        <v>138</v>
      </c>
      <c r="D2021" s="16" t="n">
        <v>45474</v>
      </c>
      <c r="E2021" s="4" t="n">
        <v>2024</v>
      </c>
      <c r="F2021" s="4" t="n">
        <v>7</v>
      </c>
      <c r="G2021" s="17" t="n">
        <v>75718</v>
      </c>
      <c r="H2021" s="18" t="n">
        <f aca="false">G2021*$B$1/1000000</f>
        <v>0.166929615681238</v>
      </c>
    </row>
    <row r="2022" customFormat="false" ht="15" hidden="false" customHeight="false" outlineLevel="0" collapsed="false">
      <c r="A2022" s="4" t="s">
        <v>207</v>
      </c>
      <c r="B2022" s="4" t="s">
        <v>208</v>
      </c>
      <c r="C2022" s="4" t="s">
        <v>138</v>
      </c>
      <c r="D2022" s="16" t="n">
        <v>45505</v>
      </c>
      <c r="E2022" s="4" t="n">
        <v>2024</v>
      </c>
      <c r="F2022" s="4" t="n">
        <v>8</v>
      </c>
      <c r="G2022" s="17" t="n">
        <v>25069</v>
      </c>
      <c r="H2022" s="18" t="n">
        <f aca="false">G2022*$B$1/1000000</f>
        <v>0.0552676845071577</v>
      </c>
    </row>
    <row r="2023" customFormat="false" ht="15" hidden="false" customHeight="false" outlineLevel="0" collapsed="false">
      <c r="A2023" s="4" t="s">
        <v>207</v>
      </c>
      <c r="B2023" s="4" t="s">
        <v>208</v>
      </c>
      <c r="C2023" s="4" t="s">
        <v>138</v>
      </c>
      <c r="D2023" s="16" t="n">
        <v>45536</v>
      </c>
      <c r="E2023" s="4" t="n">
        <v>2024</v>
      </c>
      <c r="F2023" s="4" t="n">
        <v>9</v>
      </c>
      <c r="G2023" s="17" t="n">
        <v>23967</v>
      </c>
      <c r="H2023" s="18" t="n">
        <f aca="false">G2023*$B$1/1000000</f>
        <v>0.052838190377879</v>
      </c>
    </row>
    <row r="2024" customFormat="false" ht="15" hidden="false" customHeight="false" outlineLevel="0" collapsed="false">
      <c r="A2024" s="4" t="s">
        <v>207</v>
      </c>
      <c r="B2024" s="4" t="s">
        <v>208</v>
      </c>
      <c r="C2024" s="4" t="s">
        <v>138</v>
      </c>
      <c r="D2024" s="16" t="n">
        <v>45627</v>
      </c>
      <c r="E2024" s="4" t="n">
        <v>2024</v>
      </c>
      <c r="F2024" s="4" t="n">
        <v>12</v>
      </c>
      <c r="G2024" s="17" t="n">
        <v>24943</v>
      </c>
      <c r="H2024" s="18" t="n">
        <f aca="false">G2024*$B$1/1000000</f>
        <v>0.0549899020568046</v>
      </c>
    </row>
    <row r="2025" customFormat="false" ht="15" hidden="false" customHeight="false" outlineLevel="0" collapsed="false">
      <c r="A2025" s="4" t="s">
        <v>207</v>
      </c>
      <c r="B2025" s="4" t="s">
        <v>208</v>
      </c>
      <c r="C2025" s="4" t="s">
        <v>138</v>
      </c>
      <c r="D2025" s="16" t="n">
        <v>45870</v>
      </c>
      <c r="E2025" s="4" t="n">
        <v>2025</v>
      </c>
      <c r="F2025" s="4" t="n">
        <v>8</v>
      </c>
      <c r="G2025" s="17" t="n">
        <v>72398</v>
      </c>
      <c r="H2025" s="18" t="n">
        <f aca="false">G2025*$B$1/1000000</f>
        <v>0.159610268576696</v>
      </c>
    </row>
    <row r="2026" customFormat="false" ht="15" hidden="false" customHeight="false" outlineLevel="0" collapsed="false">
      <c r="A2026" s="4" t="s">
        <v>207</v>
      </c>
      <c r="B2026" s="4" t="s">
        <v>208</v>
      </c>
      <c r="C2026" s="4" t="s">
        <v>155</v>
      </c>
      <c r="D2026" s="16" t="n">
        <v>45323</v>
      </c>
      <c r="E2026" s="4" t="n">
        <v>2024</v>
      </c>
      <c r="F2026" s="4" t="n">
        <v>2</v>
      </c>
      <c r="G2026" s="17" t="n">
        <v>2979211</v>
      </c>
      <c r="H2026" s="18" t="n">
        <f aca="false">G2026*$B$1/1000000</f>
        <v>6.56803596586436</v>
      </c>
    </row>
    <row r="2027" customFormat="false" ht="15" hidden="false" customHeight="false" outlineLevel="0" collapsed="false">
      <c r="A2027" s="4" t="s">
        <v>207</v>
      </c>
      <c r="B2027" s="4" t="s">
        <v>208</v>
      </c>
      <c r="C2027" s="4" t="s">
        <v>155</v>
      </c>
      <c r="D2027" s="16" t="n">
        <v>45413</v>
      </c>
      <c r="E2027" s="4" t="n">
        <v>2024</v>
      </c>
      <c r="F2027" s="4" t="n">
        <v>5</v>
      </c>
      <c r="G2027" s="17" t="n">
        <v>2481786</v>
      </c>
      <c r="H2027" s="18" t="n">
        <f aca="false">G2027*$B$1/1000000</f>
        <v>5.47140155819063</v>
      </c>
    </row>
    <row r="2028" customFormat="false" ht="15" hidden="false" customHeight="false" outlineLevel="0" collapsed="false">
      <c r="A2028" s="4" t="s">
        <v>207</v>
      </c>
      <c r="B2028" s="4" t="s">
        <v>208</v>
      </c>
      <c r="C2028" s="4" t="s">
        <v>155</v>
      </c>
      <c r="D2028" s="16" t="n">
        <v>45505</v>
      </c>
      <c r="E2028" s="4" t="n">
        <v>2024</v>
      </c>
      <c r="F2028" s="4" t="n">
        <v>8</v>
      </c>
      <c r="G2028" s="17" t="n">
        <v>2401689</v>
      </c>
      <c r="H2028" s="18" t="n">
        <f aca="false">G2028*$B$1/1000000</f>
        <v>5.2948179000483</v>
      </c>
    </row>
    <row r="2029" customFormat="false" ht="15" hidden="false" customHeight="false" outlineLevel="0" collapsed="false">
      <c r="A2029" s="4" t="s">
        <v>207</v>
      </c>
      <c r="B2029" s="4" t="s">
        <v>208</v>
      </c>
      <c r="C2029" s="4" t="s">
        <v>155</v>
      </c>
      <c r="D2029" s="16" t="n">
        <v>45627</v>
      </c>
      <c r="E2029" s="4" t="n">
        <v>2024</v>
      </c>
      <c r="F2029" s="4" t="n">
        <v>12</v>
      </c>
      <c r="G2029" s="17" t="n">
        <v>2994101</v>
      </c>
      <c r="H2029" s="18" t="n">
        <f aca="false">G2029*$B$1/1000000</f>
        <v>6.60086279670371</v>
      </c>
    </row>
    <row r="2030" customFormat="false" ht="15" hidden="false" customHeight="false" outlineLevel="0" collapsed="false">
      <c r="A2030" s="4" t="s">
        <v>207</v>
      </c>
      <c r="B2030" s="4" t="s">
        <v>208</v>
      </c>
      <c r="C2030" s="4" t="s">
        <v>69</v>
      </c>
      <c r="D2030" s="16" t="n">
        <v>43891</v>
      </c>
      <c r="E2030" s="4" t="n">
        <v>2020</v>
      </c>
      <c r="F2030" s="4" t="n">
        <v>3</v>
      </c>
      <c r="G2030" s="17" t="n">
        <v>675</v>
      </c>
      <c r="H2030" s="18" t="n">
        <f aca="false">G2030*$B$1/1000000</f>
        <v>0.00148812026974875</v>
      </c>
    </row>
    <row r="2031" customFormat="false" ht="15" hidden="false" customHeight="false" outlineLevel="0" collapsed="false">
      <c r="A2031" s="4" t="s">
        <v>207</v>
      </c>
      <c r="B2031" s="4" t="s">
        <v>208</v>
      </c>
      <c r="C2031" s="4" t="s">
        <v>69</v>
      </c>
      <c r="D2031" s="16" t="n">
        <v>43922</v>
      </c>
      <c r="E2031" s="4" t="n">
        <v>2020</v>
      </c>
      <c r="F2031" s="4" t="n">
        <v>4</v>
      </c>
      <c r="G2031" s="17" t="n">
        <v>4075</v>
      </c>
      <c r="H2031" s="18" t="n">
        <f aca="false">G2031*$B$1/1000000</f>
        <v>0.00898383718403875</v>
      </c>
    </row>
    <row r="2032" customFormat="false" ht="15" hidden="false" customHeight="false" outlineLevel="0" collapsed="false">
      <c r="A2032" s="4" t="s">
        <v>207</v>
      </c>
      <c r="B2032" s="4" t="s">
        <v>208</v>
      </c>
      <c r="C2032" s="4" t="s">
        <v>69</v>
      </c>
      <c r="D2032" s="16" t="n">
        <v>43952</v>
      </c>
      <c r="E2032" s="4" t="n">
        <v>2020</v>
      </c>
      <c r="F2032" s="4" t="n">
        <v>5</v>
      </c>
      <c r="G2032" s="17" t="n">
        <v>2201</v>
      </c>
      <c r="H2032" s="18" t="n">
        <f aca="false">G2032*$B$1/1000000</f>
        <v>0.00485237439069185</v>
      </c>
    </row>
    <row r="2033" customFormat="false" ht="15" hidden="false" customHeight="false" outlineLevel="0" collapsed="false">
      <c r="A2033" s="4" t="s">
        <v>207</v>
      </c>
      <c r="B2033" s="4" t="s">
        <v>208</v>
      </c>
      <c r="C2033" s="4" t="s">
        <v>69</v>
      </c>
      <c r="D2033" s="16" t="n">
        <v>43983</v>
      </c>
      <c r="E2033" s="4" t="n">
        <v>2020</v>
      </c>
      <c r="F2033" s="4" t="n">
        <v>6</v>
      </c>
      <c r="G2033" s="17" t="n">
        <v>1140</v>
      </c>
      <c r="H2033" s="18" t="n">
        <f aca="false">G2033*$B$1/1000000</f>
        <v>0.002513269788909</v>
      </c>
    </row>
    <row r="2034" customFormat="false" ht="15" hidden="false" customHeight="false" outlineLevel="0" collapsed="false">
      <c r="A2034" s="4" t="s">
        <v>207</v>
      </c>
      <c r="B2034" s="4" t="s">
        <v>208</v>
      </c>
      <c r="C2034" s="4" t="s">
        <v>69</v>
      </c>
      <c r="D2034" s="16" t="n">
        <v>44013</v>
      </c>
      <c r="E2034" s="4" t="n">
        <v>2020</v>
      </c>
      <c r="F2034" s="4" t="n">
        <v>7</v>
      </c>
      <c r="G2034" s="17" t="n">
        <v>300</v>
      </c>
      <c r="H2034" s="18" t="n">
        <f aca="false">G2034*$B$1/1000000</f>
        <v>0.000661386786555</v>
      </c>
    </row>
    <row r="2035" customFormat="false" ht="15" hidden="false" customHeight="false" outlineLevel="0" collapsed="false">
      <c r="A2035" s="4" t="s">
        <v>207</v>
      </c>
      <c r="B2035" s="4" t="s">
        <v>208</v>
      </c>
      <c r="C2035" s="4" t="s">
        <v>69</v>
      </c>
      <c r="D2035" s="16" t="n">
        <v>44044</v>
      </c>
      <c r="E2035" s="4" t="n">
        <v>2020</v>
      </c>
      <c r="F2035" s="4" t="n">
        <v>8</v>
      </c>
      <c r="G2035" s="17" t="n">
        <v>1000</v>
      </c>
      <c r="H2035" s="18" t="n">
        <f aca="false">G2035*$B$1/1000000</f>
        <v>0.00220462262185</v>
      </c>
    </row>
    <row r="2036" customFormat="false" ht="15" hidden="false" customHeight="false" outlineLevel="0" collapsed="false">
      <c r="A2036" s="4" t="s">
        <v>207</v>
      </c>
      <c r="B2036" s="4" t="s">
        <v>208</v>
      </c>
      <c r="C2036" s="4" t="s">
        <v>69</v>
      </c>
      <c r="D2036" s="16" t="n">
        <v>44136</v>
      </c>
      <c r="E2036" s="4" t="n">
        <v>2020</v>
      </c>
      <c r="F2036" s="4" t="n">
        <v>11</v>
      </c>
      <c r="G2036" s="17" t="n">
        <v>2000</v>
      </c>
      <c r="H2036" s="18" t="n">
        <f aca="false">G2036*$B$1/1000000</f>
        <v>0.0044092452437</v>
      </c>
    </row>
    <row r="2037" customFormat="false" ht="15" hidden="false" customHeight="false" outlineLevel="0" collapsed="false">
      <c r="A2037" s="4" t="s">
        <v>207</v>
      </c>
      <c r="B2037" s="4" t="s">
        <v>208</v>
      </c>
      <c r="C2037" s="4" t="s">
        <v>69</v>
      </c>
      <c r="D2037" s="16" t="n">
        <v>44166</v>
      </c>
      <c r="E2037" s="4" t="n">
        <v>2020</v>
      </c>
      <c r="F2037" s="4" t="n">
        <v>12</v>
      </c>
      <c r="G2037" s="17" t="n">
        <v>1400</v>
      </c>
      <c r="H2037" s="18" t="n">
        <f aca="false">G2037*$B$1/1000000</f>
        <v>0.00308647167059</v>
      </c>
    </row>
    <row r="2038" customFormat="false" ht="15" hidden="false" customHeight="false" outlineLevel="0" collapsed="false">
      <c r="A2038" s="4" t="s">
        <v>207</v>
      </c>
      <c r="B2038" s="4" t="s">
        <v>208</v>
      </c>
      <c r="C2038" s="4" t="s">
        <v>69</v>
      </c>
      <c r="D2038" s="16" t="n">
        <v>44197</v>
      </c>
      <c r="E2038" s="4" t="n">
        <v>2021</v>
      </c>
      <c r="F2038" s="4" t="n">
        <v>1</v>
      </c>
      <c r="G2038" s="17" t="n">
        <v>3950</v>
      </c>
      <c r="H2038" s="18" t="n">
        <f aca="false">G2038*$B$1/1000000</f>
        <v>0.0087082593563075</v>
      </c>
    </row>
    <row r="2039" customFormat="false" ht="15" hidden="false" customHeight="false" outlineLevel="0" collapsed="false">
      <c r="A2039" s="4" t="s">
        <v>207</v>
      </c>
      <c r="B2039" s="4" t="s">
        <v>208</v>
      </c>
      <c r="C2039" s="4" t="s">
        <v>69</v>
      </c>
      <c r="D2039" s="16" t="n">
        <v>44228</v>
      </c>
      <c r="E2039" s="4" t="n">
        <v>2021</v>
      </c>
      <c r="F2039" s="4" t="n">
        <v>2</v>
      </c>
      <c r="G2039" s="17" t="n">
        <v>2675</v>
      </c>
      <c r="H2039" s="18" t="n">
        <f aca="false">G2039*$B$1/1000000</f>
        <v>0.00589736551344875</v>
      </c>
    </row>
    <row r="2040" customFormat="false" ht="15" hidden="false" customHeight="false" outlineLevel="0" collapsed="false">
      <c r="A2040" s="4" t="s">
        <v>207</v>
      </c>
      <c r="B2040" s="4" t="s">
        <v>208</v>
      </c>
      <c r="C2040" s="4" t="s">
        <v>69</v>
      </c>
      <c r="D2040" s="16" t="n">
        <v>44256</v>
      </c>
      <c r="E2040" s="4" t="n">
        <v>2021</v>
      </c>
      <c r="F2040" s="4" t="n">
        <v>3</v>
      </c>
      <c r="G2040" s="17" t="n">
        <v>2800</v>
      </c>
      <c r="H2040" s="18" t="n">
        <f aca="false">G2040*$B$1/1000000</f>
        <v>0.00617294334118</v>
      </c>
    </row>
    <row r="2041" customFormat="false" ht="15" hidden="false" customHeight="false" outlineLevel="0" collapsed="false">
      <c r="A2041" s="4" t="s">
        <v>207</v>
      </c>
      <c r="B2041" s="4" t="s">
        <v>208</v>
      </c>
      <c r="C2041" s="4" t="s">
        <v>69</v>
      </c>
      <c r="D2041" s="16" t="n">
        <v>44287</v>
      </c>
      <c r="E2041" s="4" t="n">
        <v>2021</v>
      </c>
      <c r="F2041" s="4" t="n">
        <v>4</v>
      </c>
      <c r="G2041" s="17" t="n">
        <v>1650</v>
      </c>
      <c r="H2041" s="18" t="n">
        <f aca="false">G2041*$B$1/1000000</f>
        <v>0.0036376273260525</v>
      </c>
    </row>
    <row r="2042" customFormat="false" ht="15" hidden="false" customHeight="false" outlineLevel="0" collapsed="false">
      <c r="A2042" s="4" t="s">
        <v>207</v>
      </c>
      <c r="B2042" s="4" t="s">
        <v>208</v>
      </c>
      <c r="C2042" s="4" t="s">
        <v>69</v>
      </c>
      <c r="D2042" s="16" t="n">
        <v>44317</v>
      </c>
      <c r="E2042" s="4" t="n">
        <v>2021</v>
      </c>
      <c r="F2042" s="4" t="n">
        <v>5</v>
      </c>
      <c r="G2042" s="17" t="n">
        <v>1200</v>
      </c>
      <c r="H2042" s="18" t="n">
        <f aca="false">G2042*$B$1/1000000</f>
        <v>0.00264554714622</v>
      </c>
    </row>
    <row r="2043" customFormat="false" ht="15" hidden="false" customHeight="false" outlineLevel="0" collapsed="false">
      <c r="A2043" s="4" t="s">
        <v>207</v>
      </c>
      <c r="B2043" s="4" t="s">
        <v>208</v>
      </c>
      <c r="C2043" s="4" t="s">
        <v>69</v>
      </c>
      <c r="D2043" s="16" t="n">
        <v>44348</v>
      </c>
      <c r="E2043" s="4" t="n">
        <v>2021</v>
      </c>
      <c r="F2043" s="4" t="n">
        <v>6</v>
      </c>
      <c r="G2043" s="17" t="n">
        <v>800</v>
      </c>
      <c r="H2043" s="18" t="n">
        <f aca="false">G2043*$B$1/1000000</f>
        <v>0.00176369809748</v>
      </c>
    </row>
    <row r="2044" customFormat="false" ht="15" hidden="false" customHeight="false" outlineLevel="0" collapsed="false">
      <c r="A2044" s="4" t="s">
        <v>207</v>
      </c>
      <c r="B2044" s="4" t="s">
        <v>208</v>
      </c>
      <c r="C2044" s="4" t="s">
        <v>69</v>
      </c>
      <c r="D2044" s="16" t="n">
        <v>44440</v>
      </c>
      <c r="E2044" s="4" t="n">
        <v>2021</v>
      </c>
      <c r="F2044" s="4" t="n">
        <v>9</v>
      </c>
      <c r="G2044" s="17" t="n">
        <v>450</v>
      </c>
      <c r="H2044" s="18" t="n">
        <f aca="false">G2044*$B$1/1000000</f>
        <v>0.0009920801798325</v>
      </c>
    </row>
    <row r="2045" customFormat="false" ht="15" hidden="false" customHeight="false" outlineLevel="0" collapsed="false">
      <c r="A2045" s="4" t="s">
        <v>207</v>
      </c>
      <c r="B2045" s="4" t="s">
        <v>208</v>
      </c>
      <c r="C2045" s="4" t="s">
        <v>69</v>
      </c>
      <c r="D2045" s="16" t="n">
        <v>44531</v>
      </c>
      <c r="E2045" s="4" t="n">
        <v>2021</v>
      </c>
      <c r="F2045" s="4" t="n">
        <v>12</v>
      </c>
      <c r="G2045" s="17" t="n">
        <v>2050</v>
      </c>
      <c r="H2045" s="18" t="n">
        <f aca="false">G2045*$B$1/1000000</f>
        <v>0.0045194763747925</v>
      </c>
    </row>
    <row r="2046" customFormat="false" ht="15" hidden="false" customHeight="false" outlineLevel="0" collapsed="false">
      <c r="A2046" s="4" t="s">
        <v>207</v>
      </c>
      <c r="B2046" s="4" t="s">
        <v>208</v>
      </c>
      <c r="C2046" s="4" t="s">
        <v>69</v>
      </c>
      <c r="D2046" s="16" t="n">
        <v>44682</v>
      </c>
      <c r="E2046" s="4" t="n">
        <v>2022</v>
      </c>
      <c r="F2046" s="4" t="n">
        <v>5</v>
      </c>
      <c r="G2046" s="17" t="n">
        <v>400</v>
      </c>
      <c r="H2046" s="18" t="n">
        <f aca="false">G2046*$B$1/1000000</f>
        <v>0.00088184904874</v>
      </c>
    </row>
    <row r="2047" customFormat="false" ht="15" hidden="false" customHeight="false" outlineLevel="0" collapsed="false">
      <c r="A2047" s="4" t="s">
        <v>207</v>
      </c>
      <c r="B2047" s="4" t="s">
        <v>208</v>
      </c>
      <c r="C2047" s="4" t="s">
        <v>69</v>
      </c>
      <c r="D2047" s="16" t="n">
        <v>44713</v>
      </c>
      <c r="E2047" s="4" t="n">
        <v>2022</v>
      </c>
      <c r="F2047" s="4" t="n">
        <v>6</v>
      </c>
      <c r="G2047" s="17" t="n">
        <v>2600</v>
      </c>
      <c r="H2047" s="18" t="n">
        <f aca="false">G2047*$B$1/1000000</f>
        <v>0.00573201881681</v>
      </c>
    </row>
    <row r="2048" customFormat="false" ht="15" hidden="false" customHeight="false" outlineLevel="0" collapsed="false">
      <c r="A2048" s="4" t="s">
        <v>207</v>
      </c>
      <c r="B2048" s="4" t="s">
        <v>208</v>
      </c>
      <c r="C2048" s="4" t="s">
        <v>69</v>
      </c>
      <c r="D2048" s="16" t="n">
        <v>44774</v>
      </c>
      <c r="E2048" s="4" t="n">
        <v>2022</v>
      </c>
      <c r="F2048" s="4" t="n">
        <v>8</v>
      </c>
      <c r="G2048" s="17" t="n">
        <v>800</v>
      </c>
      <c r="H2048" s="18" t="n">
        <f aca="false">G2048*$B$1/1000000</f>
        <v>0.00176369809748</v>
      </c>
    </row>
    <row r="2049" customFormat="false" ht="15" hidden="false" customHeight="false" outlineLevel="0" collapsed="false">
      <c r="A2049" s="4" t="s">
        <v>207</v>
      </c>
      <c r="B2049" s="4" t="s">
        <v>208</v>
      </c>
      <c r="C2049" s="4" t="s">
        <v>69</v>
      </c>
      <c r="D2049" s="16" t="n">
        <v>44866</v>
      </c>
      <c r="E2049" s="4" t="n">
        <v>2022</v>
      </c>
      <c r="F2049" s="4" t="n">
        <v>11</v>
      </c>
      <c r="G2049" s="17" t="n">
        <v>1214</v>
      </c>
      <c r="H2049" s="18" t="n">
        <f aca="false">G2049*$B$1/1000000</f>
        <v>0.0026764118629259</v>
      </c>
    </row>
    <row r="2050" customFormat="false" ht="15" hidden="false" customHeight="false" outlineLevel="0" collapsed="false">
      <c r="A2050" s="4" t="s">
        <v>207</v>
      </c>
      <c r="B2050" s="4" t="s">
        <v>208</v>
      </c>
      <c r="C2050" s="4" t="s">
        <v>69</v>
      </c>
      <c r="D2050" s="16" t="n">
        <v>44896</v>
      </c>
      <c r="E2050" s="4" t="n">
        <v>2022</v>
      </c>
      <c r="F2050" s="4" t="n">
        <v>12</v>
      </c>
      <c r="G2050" s="17" t="n">
        <v>400</v>
      </c>
      <c r="H2050" s="18" t="n">
        <f aca="false">G2050*$B$1/1000000</f>
        <v>0.00088184904874</v>
      </c>
    </row>
    <row r="2051" customFormat="false" ht="15" hidden="false" customHeight="false" outlineLevel="0" collapsed="false">
      <c r="A2051" s="4" t="s">
        <v>207</v>
      </c>
      <c r="B2051" s="4" t="s">
        <v>208</v>
      </c>
      <c r="C2051" s="4" t="s">
        <v>69</v>
      </c>
      <c r="D2051" s="16" t="n">
        <v>45078</v>
      </c>
      <c r="E2051" s="4" t="n">
        <v>2023</v>
      </c>
      <c r="F2051" s="4" t="n">
        <v>6</v>
      </c>
      <c r="G2051" s="17" t="n">
        <v>550</v>
      </c>
      <c r="H2051" s="18" t="n">
        <f aca="false">G2051*$B$1/1000000</f>
        <v>0.0012125424420175</v>
      </c>
    </row>
    <row r="2052" customFormat="false" ht="15" hidden="false" customHeight="false" outlineLevel="0" collapsed="false">
      <c r="A2052" s="4" t="s">
        <v>207</v>
      </c>
      <c r="B2052" s="4" t="s">
        <v>208</v>
      </c>
      <c r="C2052" s="4" t="s">
        <v>69</v>
      </c>
      <c r="D2052" s="16" t="n">
        <v>45108</v>
      </c>
      <c r="E2052" s="4" t="n">
        <v>2023</v>
      </c>
      <c r="F2052" s="4" t="n">
        <v>7</v>
      </c>
      <c r="G2052" s="17" t="n">
        <v>400</v>
      </c>
      <c r="H2052" s="18" t="n">
        <f aca="false">G2052*$B$1/1000000</f>
        <v>0.00088184904874</v>
      </c>
    </row>
    <row r="2053" customFormat="false" ht="15" hidden="false" customHeight="false" outlineLevel="0" collapsed="false">
      <c r="A2053" s="4" t="s">
        <v>207</v>
      </c>
      <c r="B2053" s="4" t="s">
        <v>208</v>
      </c>
      <c r="C2053" s="4" t="s">
        <v>69</v>
      </c>
      <c r="D2053" s="16" t="n">
        <v>45139</v>
      </c>
      <c r="E2053" s="4" t="n">
        <v>2023</v>
      </c>
      <c r="F2053" s="4" t="n">
        <v>8</v>
      </c>
      <c r="G2053" s="17" t="n">
        <v>627</v>
      </c>
      <c r="H2053" s="18" t="n">
        <f aca="false">G2053*$B$1/1000000</f>
        <v>0.00138229838389995</v>
      </c>
    </row>
    <row r="2054" customFormat="false" ht="15" hidden="false" customHeight="false" outlineLevel="0" collapsed="false">
      <c r="A2054" s="4" t="s">
        <v>207</v>
      </c>
      <c r="B2054" s="4" t="s">
        <v>208</v>
      </c>
      <c r="C2054" s="4" t="s">
        <v>69</v>
      </c>
      <c r="D2054" s="16" t="n">
        <v>45200</v>
      </c>
      <c r="E2054" s="4" t="n">
        <v>2023</v>
      </c>
      <c r="F2054" s="4" t="n">
        <v>10</v>
      </c>
      <c r="G2054" s="17" t="n">
        <v>600</v>
      </c>
      <c r="H2054" s="18" t="n">
        <f aca="false">G2054*$B$1/1000000</f>
        <v>0.00132277357311</v>
      </c>
    </row>
    <row r="2055" customFormat="false" ht="15" hidden="false" customHeight="false" outlineLevel="0" collapsed="false">
      <c r="A2055" s="4" t="s">
        <v>207</v>
      </c>
      <c r="B2055" s="4" t="s">
        <v>208</v>
      </c>
      <c r="C2055" s="4" t="s">
        <v>69</v>
      </c>
      <c r="D2055" s="16" t="n">
        <v>45261</v>
      </c>
      <c r="E2055" s="4" t="n">
        <v>2023</v>
      </c>
      <c r="F2055" s="4" t="n">
        <v>12</v>
      </c>
      <c r="G2055" s="17" t="n">
        <v>286</v>
      </c>
      <c r="H2055" s="18" t="n">
        <f aca="false">G2055*$B$1/1000000</f>
        <v>0.0006305220698491</v>
      </c>
    </row>
    <row r="2056" customFormat="false" ht="15" hidden="false" customHeight="false" outlineLevel="0" collapsed="false">
      <c r="A2056" s="4" t="s">
        <v>207</v>
      </c>
      <c r="B2056" s="4" t="s">
        <v>208</v>
      </c>
      <c r="C2056" s="4" t="s">
        <v>69</v>
      </c>
      <c r="D2056" s="16" t="n">
        <v>45292</v>
      </c>
      <c r="E2056" s="4" t="n">
        <v>2024</v>
      </c>
      <c r="F2056" s="4" t="n">
        <v>1</v>
      </c>
      <c r="G2056" s="17" t="n">
        <v>1800</v>
      </c>
      <c r="H2056" s="18" t="n">
        <f aca="false">G2056*$B$1/1000000</f>
        <v>0.00396832071933</v>
      </c>
    </row>
    <row r="2057" customFormat="false" ht="15" hidden="false" customHeight="false" outlineLevel="0" collapsed="false">
      <c r="A2057" s="4" t="s">
        <v>207</v>
      </c>
      <c r="B2057" s="4" t="s">
        <v>208</v>
      </c>
      <c r="C2057" s="4" t="s">
        <v>69</v>
      </c>
      <c r="D2057" s="16" t="n">
        <v>45323</v>
      </c>
      <c r="E2057" s="4" t="n">
        <v>2024</v>
      </c>
      <c r="F2057" s="4" t="n">
        <v>2</v>
      </c>
      <c r="G2057" s="17" t="n">
        <v>161</v>
      </c>
      <c r="H2057" s="18" t="n">
        <f aca="false">G2057*$B$1/1000000</f>
        <v>0.00035494424211785</v>
      </c>
    </row>
    <row r="2058" customFormat="false" ht="15" hidden="false" customHeight="false" outlineLevel="0" collapsed="false">
      <c r="A2058" s="4" t="s">
        <v>207</v>
      </c>
      <c r="B2058" s="4" t="s">
        <v>208</v>
      </c>
      <c r="C2058" s="4" t="s">
        <v>69</v>
      </c>
      <c r="D2058" s="16" t="n">
        <v>45352</v>
      </c>
      <c r="E2058" s="4" t="n">
        <v>2024</v>
      </c>
      <c r="F2058" s="4" t="n">
        <v>3</v>
      </c>
      <c r="G2058" s="17" t="n">
        <v>314081</v>
      </c>
      <c r="H2058" s="18" t="n">
        <f aca="false">G2058*$B$1/1000000</f>
        <v>0.69243007769327</v>
      </c>
    </row>
    <row r="2059" customFormat="false" ht="15" hidden="false" customHeight="false" outlineLevel="0" collapsed="false">
      <c r="A2059" s="4" t="s">
        <v>207</v>
      </c>
      <c r="B2059" s="4" t="s">
        <v>208</v>
      </c>
      <c r="C2059" s="4" t="s">
        <v>69</v>
      </c>
      <c r="D2059" s="16" t="n">
        <v>45383</v>
      </c>
      <c r="E2059" s="4" t="n">
        <v>2024</v>
      </c>
      <c r="F2059" s="4" t="n">
        <v>4</v>
      </c>
      <c r="G2059" s="17" t="n">
        <v>229456</v>
      </c>
      <c r="H2059" s="18" t="n">
        <f aca="false">G2059*$B$1/1000000</f>
        <v>0.505863888319214</v>
      </c>
    </row>
    <row r="2060" customFormat="false" ht="15" hidden="false" customHeight="false" outlineLevel="0" collapsed="false">
      <c r="A2060" s="4" t="s">
        <v>207</v>
      </c>
      <c r="B2060" s="4" t="s">
        <v>208</v>
      </c>
      <c r="C2060" s="4" t="s">
        <v>69</v>
      </c>
      <c r="D2060" s="16" t="n">
        <v>45444</v>
      </c>
      <c r="E2060" s="4" t="n">
        <v>2024</v>
      </c>
      <c r="F2060" s="4" t="n">
        <v>6</v>
      </c>
      <c r="G2060" s="17" t="n">
        <v>750</v>
      </c>
      <c r="H2060" s="18" t="n">
        <f aca="false">G2060*$B$1/1000000</f>
        <v>0.0016534669663875</v>
      </c>
    </row>
    <row r="2061" customFormat="false" ht="15" hidden="false" customHeight="false" outlineLevel="0" collapsed="false">
      <c r="A2061" s="4" t="s">
        <v>207</v>
      </c>
      <c r="B2061" s="4" t="s">
        <v>208</v>
      </c>
      <c r="C2061" s="4" t="s">
        <v>69</v>
      </c>
      <c r="D2061" s="16" t="n">
        <v>45474</v>
      </c>
      <c r="E2061" s="4" t="n">
        <v>2024</v>
      </c>
      <c r="F2061" s="4" t="n">
        <v>7</v>
      </c>
      <c r="G2061" s="17" t="n">
        <v>129610</v>
      </c>
      <c r="H2061" s="18" t="n">
        <f aca="false">G2061*$B$1/1000000</f>
        <v>0.285741138017979</v>
      </c>
    </row>
    <row r="2062" customFormat="false" ht="15" hidden="false" customHeight="false" outlineLevel="0" collapsed="false">
      <c r="A2062" s="4" t="s">
        <v>207</v>
      </c>
      <c r="B2062" s="4" t="s">
        <v>208</v>
      </c>
      <c r="C2062" s="4" t="s">
        <v>69</v>
      </c>
      <c r="D2062" s="16" t="n">
        <v>45505</v>
      </c>
      <c r="E2062" s="4" t="n">
        <v>2024</v>
      </c>
      <c r="F2062" s="4" t="n">
        <v>8</v>
      </c>
      <c r="G2062" s="17" t="n">
        <v>3224</v>
      </c>
      <c r="H2062" s="18" t="n">
        <f aca="false">G2062*$B$1/1000000</f>
        <v>0.0071077033328444</v>
      </c>
    </row>
    <row r="2063" customFormat="false" ht="15" hidden="false" customHeight="false" outlineLevel="0" collapsed="false">
      <c r="A2063" s="4" t="s">
        <v>207</v>
      </c>
      <c r="B2063" s="4" t="s">
        <v>208</v>
      </c>
      <c r="C2063" s="4" t="s">
        <v>69</v>
      </c>
      <c r="D2063" s="16" t="n">
        <v>45536</v>
      </c>
      <c r="E2063" s="4" t="n">
        <v>2024</v>
      </c>
      <c r="F2063" s="4" t="n">
        <v>9</v>
      </c>
      <c r="G2063" s="17" t="n">
        <v>99001</v>
      </c>
      <c r="H2063" s="18" t="n">
        <f aca="false">G2063*$B$1/1000000</f>
        <v>0.218259844185772</v>
      </c>
    </row>
    <row r="2064" customFormat="false" ht="15" hidden="false" customHeight="false" outlineLevel="0" collapsed="false">
      <c r="A2064" s="4" t="s">
        <v>207</v>
      </c>
      <c r="B2064" s="4" t="s">
        <v>208</v>
      </c>
      <c r="C2064" s="4" t="s">
        <v>69</v>
      </c>
      <c r="D2064" s="16" t="n">
        <v>45566</v>
      </c>
      <c r="E2064" s="4" t="n">
        <v>2024</v>
      </c>
      <c r="F2064" s="4" t="n">
        <v>10</v>
      </c>
      <c r="G2064" s="17" t="n">
        <v>649948</v>
      </c>
      <c r="H2064" s="18" t="n">
        <f aca="false">G2064*$B$1/1000000</f>
        <v>1.43289006382616</v>
      </c>
    </row>
    <row r="2065" customFormat="false" ht="15" hidden="false" customHeight="false" outlineLevel="0" collapsed="false">
      <c r="A2065" s="4" t="s">
        <v>207</v>
      </c>
      <c r="B2065" s="4" t="s">
        <v>208</v>
      </c>
      <c r="C2065" s="4" t="s">
        <v>69</v>
      </c>
      <c r="D2065" s="16" t="n">
        <v>45627</v>
      </c>
      <c r="E2065" s="4" t="n">
        <v>2024</v>
      </c>
      <c r="F2065" s="4" t="n">
        <v>12</v>
      </c>
      <c r="G2065" s="17" t="n">
        <v>178783</v>
      </c>
      <c r="H2065" s="18" t="n">
        <f aca="false">G2065*$B$1/1000000</f>
        <v>0.394149046202209</v>
      </c>
    </row>
    <row r="2066" customFormat="false" ht="15" hidden="false" customHeight="false" outlineLevel="0" collapsed="false">
      <c r="A2066" s="4" t="s">
        <v>207</v>
      </c>
      <c r="B2066" s="4" t="s">
        <v>208</v>
      </c>
      <c r="C2066" s="4" t="s">
        <v>69</v>
      </c>
      <c r="D2066" s="16" t="n">
        <v>45658</v>
      </c>
      <c r="E2066" s="4" t="n">
        <v>2025</v>
      </c>
      <c r="F2066" s="4" t="n">
        <v>1</v>
      </c>
      <c r="G2066" s="17" t="n">
        <v>5174</v>
      </c>
      <c r="H2066" s="18" t="n">
        <f aca="false">G2066*$B$1/1000000</f>
        <v>0.0114067174454519</v>
      </c>
    </row>
    <row r="2067" customFormat="false" ht="15" hidden="false" customHeight="false" outlineLevel="0" collapsed="false">
      <c r="A2067" s="4" t="s">
        <v>207</v>
      </c>
      <c r="B2067" s="4" t="s">
        <v>208</v>
      </c>
      <c r="C2067" s="4" t="s">
        <v>69</v>
      </c>
      <c r="D2067" s="16" t="n">
        <v>45717</v>
      </c>
      <c r="E2067" s="4" t="n">
        <v>2025</v>
      </c>
      <c r="F2067" s="4" t="n">
        <v>3</v>
      </c>
      <c r="G2067" s="17" t="n">
        <v>158</v>
      </c>
      <c r="H2067" s="18" t="n">
        <f aca="false">G2067*$B$1/1000000</f>
        <v>0.0003483303742523</v>
      </c>
    </row>
    <row r="2068" customFormat="false" ht="15" hidden="false" customHeight="false" outlineLevel="0" collapsed="false">
      <c r="A2068" s="4" t="s">
        <v>207</v>
      </c>
      <c r="B2068" s="4" t="s">
        <v>208</v>
      </c>
      <c r="C2068" s="4" t="s">
        <v>69</v>
      </c>
      <c r="D2068" s="16" t="n">
        <v>45748</v>
      </c>
      <c r="E2068" s="4" t="n">
        <v>2025</v>
      </c>
      <c r="F2068" s="4" t="n">
        <v>4</v>
      </c>
      <c r="G2068" s="17" t="n">
        <v>2325</v>
      </c>
      <c r="H2068" s="18" t="n">
        <f aca="false">G2068*$B$1/1000000</f>
        <v>0.00512574759580125</v>
      </c>
    </row>
    <row r="2069" customFormat="false" ht="15" hidden="false" customHeight="false" outlineLevel="0" collapsed="false">
      <c r="A2069" s="4" t="s">
        <v>207</v>
      </c>
      <c r="B2069" s="4" t="s">
        <v>208</v>
      </c>
      <c r="C2069" s="4" t="s">
        <v>69</v>
      </c>
      <c r="D2069" s="16" t="n">
        <v>45778</v>
      </c>
      <c r="E2069" s="4" t="n">
        <v>2025</v>
      </c>
      <c r="F2069" s="4" t="n">
        <v>5</v>
      </c>
      <c r="G2069" s="17" t="n">
        <v>2700</v>
      </c>
      <c r="H2069" s="18" t="n">
        <f aca="false">G2069*$B$1/1000000</f>
        <v>0.005952481078995</v>
      </c>
    </row>
    <row r="2070" customFormat="false" ht="15" hidden="false" customHeight="false" outlineLevel="0" collapsed="false">
      <c r="A2070" s="4" t="s">
        <v>207</v>
      </c>
      <c r="B2070" s="4" t="s">
        <v>208</v>
      </c>
      <c r="C2070" s="4" t="s">
        <v>69</v>
      </c>
      <c r="D2070" s="16" t="n">
        <v>45809</v>
      </c>
      <c r="E2070" s="4" t="n">
        <v>2025</v>
      </c>
      <c r="F2070" s="4" t="n">
        <v>6</v>
      </c>
      <c r="G2070" s="17" t="n">
        <v>13106</v>
      </c>
      <c r="H2070" s="18" t="n">
        <f aca="false">G2070*$B$1/1000000</f>
        <v>0.0288937840819661</v>
      </c>
    </row>
    <row r="2071" customFormat="false" ht="15" hidden="false" customHeight="false" outlineLevel="0" collapsed="false">
      <c r="A2071" s="4" t="s">
        <v>207</v>
      </c>
      <c r="B2071" s="4" t="s">
        <v>208</v>
      </c>
      <c r="C2071" s="4" t="s">
        <v>69</v>
      </c>
      <c r="D2071" s="16" t="n">
        <v>45839</v>
      </c>
      <c r="E2071" s="4" t="n">
        <v>2025</v>
      </c>
      <c r="F2071" s="4" t="n">
        <v>7</v>
      </c>
      <c r="G2071" s="17" t="n">
        <v>3443</v>
      </c>
      <c r="H2071" s="18" t="n">
        <f aca="false">G2071*$B$1/1000000</f>
        <v>0.00759051568702955</v>
      </c>
    </row>
    <row r="2072" customFormat="false" ht="15" hidden="false" customHeight="false" outlineLevel="0" collapsed="false">
      <c r="A2072" s="4" t="s">
        <v>207</v>
      </c>
      <c r="B2072" s="4" t="s">
        <v>208</v>
      </c>
      <c r="C2072" s="4" t="s">
        <v>69</v>
      </c>
      <c r="D2072" s="16" t="n">
        <v>45870</v>
      </c>
      <c r="E2072" s="4" t="n">
        <v>2025</v>
      </c>
      <c r="F2072" s="4" t="n">
        <v>8</v>
      </c>
      <c r="G2072" s="17" t="n">
        <v>175</v>
      </c>
      <c r="H2072" s="18" t="n">
        <f aca="false">G2072*$B$1/1000000</f>
        <v>0.00038580895882375</v>
      </c>
    </row>
    <row r="2073" customFormat="false" ht="15" hidden="false" customHeight="false" outlineLevel="0" collapsed="false">
      <c r="A2073" s="4" t="s">
        <v>207</v>
      </c>
      <c r="B2073" s="4" t="s">
        <v>208</v>
      </c>
      <c r="C2073" s="4" t="s">
        <v>69</v>
      </c>
      <c r="D2073" s="16" t="n">
        <v>45901</v>
      </c>
      <c r="E2073" s="4" t="n">
        <v>2025</v>
      </c>
      <c r="F2073" s="4" t="n">
        <v>9</v>
      </c>
      <c r="G2073" s="17" t="n">
        <v>125</v>
      </c>
      <c r="H2073" s="18" t="n">
        <f aca="false">G2073*$B$1/1000000</f>
        <v>0.00027557782773125</v>
      </c>
    </row>
    <row r="2074" customFormat="false" ht="15" hidden="false" customHeight="false" outlineLevel="0" collapsed="false">
      <c r="A2074" s="4" t="s">
        <v>207</v>
      </c>
      <c r="B2074" s="4" t="s">
        <v>208</v>
      </c>
      <c r="C2074" s="4" t="s">
        <v>69</v>
      </c>
      <c r="D2074" s="16" t="n">
        <v>45992</v>
      </c>
      <c r="E2074" s="4" t="n">
        <v>2025</v>
      </c>
      <c r="F2074" s="4" t="n">
        <v>12</v>
      </c>
      <c r="G2074" s="17" t="n">
        <v>196</v>
      </c>
      <c r="H2074" s="18" t="n">
        <f aca="false">G2074*$B$1/1000000</f>
        <v>0.0004321060338826</v>
      </c>
    </row>
    <row r="2075" customFormat="false" ht="15" hidden="false" customHeight="false" outlineLevel="0" collapsed="false">
      <c r="A2075" s="4" t="s">
        <v>207</v>
      </c>
      <c r="B2075" s="4" t="s">
        <v>208</v>
      </c>
      <c r="C2075" s="4" t="s">
        <v>69</v>
      </c>
      <c r="D2075" s="16" t="n">
        <v>46023</v>
      </c>
      <c r="E2075" s="4" t="n">
        <v>2026</v>
      </c>
      <c r="F2075" s="4" t="n">
        <v>1</v>
      </c>
      <c r="G2075" s="17" t="n">
        <v>4016154</v>
      </c>
      <c r="H2075" s="18" t="n">
        <f aca="false">G2075*$B$1/1000000</f>
        <v>8.85410396123337</v>
      </c>
    </row>
    <row r="2076" customFormat="false" ht="15" hidden="false" customHeight="false" outlineLevel="0" collapsed="false">
      <c r="A2076" s="4" t="s">
        <v>207</v>
      </c>
      <c r="B2076" s="4" t="s">
        <v>208</v>
      </c>
      <c r="C2076" s="4" t="s">
        <v>69</v>
      </c>
      <c r="D2076" s="16" t="n">
        <v>46113</v>
      </c>
      <c r="E2076" s="4" t="n">
        <v>2026</v>
      </c>
      <c r="F2076" s="4" t="n">
        <v>4</v>
      </c>
      <c r="G2076" s="17" t="n">
        <v>1226</v>
      </c>
      <c r="H2076" s="18" t="n">
        <f aca="false">G2076*$B$1/1000000</f>
        <v>0.0027028673343881</v>
      </c>
    </row>
    <row r="2077" customFormat="false" ht="15" hidden="false" customHeight="false" outlineLevel="0" collapsed="false">
      <c r="A2077" s="4" t="s">
        <v>207</v>
      </c>
      <c r="B2077" s="4" t="s">
        <v>208</v>
      </c>
      <c r="C2077" s="4" t="s">
        <v>69</v>
      </c>
      <c r="D2077" s="16" t="n">
        <v>46174</v>
      </c>
      <c r="E2077" s="4" t="n">
        <v>2026</v>
      </c>
      <c r="F2077" s="4" t="n">
        <v>6</v>
      </c>
      <c r="G2077" s="17" t="n">
        <v>3062099</v>
      </c>
      <c r="H2077" s="18" t="n">
        <f aca="false">G2077*$B$1/1000000</f>
        <v>6.75077272574426</v>
      </c>
    </row>
    <row r="2078" customFormat="false" ht="15" hidden="false" customHeight="false" outlineLevel="0" collapsed="false">
      <c r="A2078" s="4" t="s">
        <v>207</v>
      </c>
      <c r="B2078" s="4" t="s">
        <v>208</v>
      </c>
      <c r="C2078" s="4" t="s">
        <v>69</v>
      </c>
      <c r="D2078" s="16" t="n">
        <v>46204</v>
      </c>
      <c r="E2078" s="4" t="n">
        <v>2026</v>
      </c>
      <c r="F2078" s="4" t="n">
        <v>7</v>
      </c>
      <c r="G2078" s="17" t="n">
        <v>2327328</v>
      </c>
      <c r="H2078" s="18" t="n">
        <f aca="false">G2078*$B$1/1000000</f>
        <v>5.13087995726492</v>
      </c>
    </row>
    <row r="2079" customFormat="false" ht="15" hidden="false" customHeight="false" outlineLevel="0" collapsed="false">
      <c r="A2079" s="4" t="s">
        <v>207</v>
      </c>
      <c r="B2079" s="4" t="s">
        <v>208</v>
      </c>
      <c r="C2079" s="4" t="s">
        <v>69</v>
      </c>
      <c r="D2079" s="16" t="n">
        <v>46235</v>
      </c>
      <c r="E2079" s="4" t="n">
        <v>2026</v>
      </c>
      <c r="F2079" s="4" t="n">
        <v>8</v>
      </c>
      <c r="G2079" s="17" t="n">
        <v>550</v>
      </c>
      <c r="H2079" s="18" t="n">
        <f aca="false">G2079*$B$1/1000000</f>
        <v>0.0012125424420175</v>
      </c>
    </row>
    <row r="2080" customFormat="false" ht="15" hidden="false" customHeight="false" outlineLevel="0" collapsed="false">
      <c r="A2080" s="4" t="s">
        <v>207</v>
      </c>
      <c r="B2080" s="4" t="s">
        <v>208</v>
      </c>
      <c r="C2080" s="4" t="s">
        <v>113</v>
      </c>
      <c r="D2080" s="16" t="n">
        <v>44835</v>
      </c>
      <c r="E2080" s="4" t="n">
        <v>2022</v>
      </c>
      <c r="F2080" s="4" t="n">
        <v>10</v>
      </c>
      <c r="G2080" s="17" t="n">
        <v>13428</v>
      </c>
      <c r="H2080" s="18" t="n">
        <f aca="false">G2080*$B$1/1000000</f>
        <v>0.0296036725662018</v>
      </c>
    </row>
    <row r="2081" customFormat="false" ht="15" hidden="false" customHeight="false" outlineLevel="0" collapsed="false">
      <c r="A2081" s="4" t="s">
        <v>207</v>
      </c>
      <c r="B2081" s="4" t="s">
        <v>208</v>
      </c>
      <c r="C2081" s="4" t="s">
        <v>113</v>
      </c>
      <c r="D2081" s="16" t="n">
        <v>44958</v>
      </c>
      <c r="E2081" s="4" t="n">
        <v>2023</v>
      </c>
      <c r="F2081" s="4" t="n">
        <v>2</v>
      </c>
      <c r="G2081" s="17" t="n">
        <v>14402</v>
      </c>
      <c r="H2081" s="18" t="n">
        <f aca="false">G2081*$B$1/1000000</f>
        <v>0.0317509749998837</v>
      </c>
    </row>
    <row r="2082" customFormat="false" ht="15" hidden="false" customHeight="false" outlineLevel="0" collapsed="false">
      <c r="A2082" s="4" t="s">
        <v>207</v>
      </c>
      <c r="B2082" s="4" t="s">
        <v>208</v>
      </c>
      <c r="C2082" s="4" t="s">
        <v>113</v>
      </c>
      <c r="D2082" s="16" t="n">
        <v>45047</v>
      </c>
      <c r="E2082" s="4" t="n">
        <v>2023</v>
      </c>
      <c r="F2082" s="4" t="n">
        <v>5</v>
      </c>
      <c r="G2082" s="17" t="n">
        <v>29196</v>
      </c>
      <c r="H2082" s="18" t="n">
        <f aca="false">G2082*$B$1/1000000</f>
        <v>0.0643661620675326</v>
      </c>
    </row>
    <row r="2083" customFormat="false" ht="15" hidden="false" customHeight="false" outlineLevel="0" collapsed="false">
      <c r="A2083" s="4" t="s">
        <v>207</v>
      </c>
      <c r="B2083" s="4" t="s">
        <v>208</v>
      </c>
      <c r="C2083" s="4" t="s">
        <v>113</v>
      </c>
      <c r="D2083" s="16" t="n">
        <v>45108</v>
      </c>
      <c r="E2083" s="4" t="n">
        <v>2023</v>
      </c>
      <c r="F2083" s="4" t="n">
        <v>7</v>
      </c>
      <c r="G2083" s="17" t="n">
        <v>2098</v>
      </c>
      <c r="H2083" s="18" t="n">
        <f aca="false">G2083*$B$1/1000000</f>
        <v>0.0046252982606413</v>
      </c>
    </row>
    <row r="2084" customFormat="false" ht="15" hidden="false" customHeight="false" outlineLevel="0" collapsed="false">
      <c r="A2084" s="4" t="s">
        <v>207</v>
      </c>
      <c r="B2084" s="4" t="s">
        <v>208</v>
      </c>
      <c r="C2084" s="4" t="s">
        <v>113</v>
      </c>
      <c r="D2084" s="16" t="n">
        <v>45170</v>
      </c>
      <c r="E2084" s="4" t="n">
        <v>2023</v>
      </c>
      <c r="F2084" s="4" t="n">
        <v>9</v>
      </c>
      <c r="G2084" s="17" t="n">
        <v>13400</v>
      </c>
      <c r="H2084" s="18" t="n">
        <f aca="false">G2084*$B$1/1000000</f>
        <v>0.02954194313279</v>
      </c>
    </row>
    <row r="2085" customFormat="false" ht="15" hidden="false" customHeight="false" outlineLevel="0" collapsed="false">
      <c r="A2085" s="4" t="s">
        <v>207</v>
      </c>
      <c r="B2085" s="4" t="s">
        <v>208</v>
      </c>
      <c r="C2085" s="4" t="s">
        <v>113</v>
      </c>
      <c r="D2085" s="16" t="n">
        <v>45200</v>
      </c>
      <c r="E2085" s="4" t="n">
        <v>2023</v>
      </c>
      <c r="F2085" s="4" t="n">
        <v>10</v>
      </c>
      <c r="G2085" s="17" t="n">
        <v>13388</v>
      </c>
      <c r="H2085" s="18" t="n">
        <f aca="false">G2085*$B$1/1000000</f>
        <v>0.0295154876613278</v>
      </c>
    </row>
    <row r="2086" customFormat="false" ht="15" hidden="false" customHeight="false" outlineLevel="0" collapsed="false">
      <c r="A2086" s="4" t="s">
        <v>207</v>
      </c>
      <c r="B2086" s="4" t="s">
        <v>208</v>
      </c>
      <c r="C2086" s="4" t="s">
        <v>113</v>
      </c>
      <c r="D2086" s="16" t="n">
        <v>45261</v>
      </c>
      <c r="E2086" s="4" t="n">
        <v>2023</v>
      </c>
      <c r="F2086" s="4" t="n">
        <v>12</v>
      </c>
      <c r="G2086" s="17" t="n">
        <v>14372</v>
      </c>
      <c r="H2086" s="18" t="n">
        <f aca="false">G2086*$B$1/1000000</f>
        <v>0.0316848363212282</v>
      </c>
    </row>
    <row r="2087" customFormat="false" ht="15" hidden="false" customHeight="false" outlineLevel="0" collapsed="false">
      <c r="A2087" s="4" t="s">
        <v>207</v>
      </c>
      <c r="B2087" s="4" t="s">
        <v>208</v>
      </c>
      <c r="C2087" s="4" t="s">
        <v>113</v>
      </c>
      <c r="D2087" s="16" t="n">
        <v>45292</v>
      </c>
      <c r="E2087" s="4" t="n">
        <v>2024</v>
      </c>
      <c r="F2087" s="4" t="n">
        <v>1</v>
      </c>
      <c r="G2087" s="17" t="n">
        <v>15317</v>
      </c>
      <c r="H2087" s="18" t="n">
        <f aca="false">G2087*$B$1/1000000</f>
        <v>0.0337682046988764</v>
      </c>
    </row>
    <row r="2088" customFormat="false" ht="15" hidden="false" customHeight="false" outlineLevel="0" collapsed="false">
      <c r="A2088" s="4" t="s">
        <v>207</v>
      </c>
      <c r="B2088" s="4" t="s">
        <v>208</v>
      </c>
      <c r="C2088" s="4" t="s">
        <v>113</v>
      </c>
      <c r="D2088" s="16" t="n">
        <v>45323</v>
      </c>
      <c r="E2088" s="4" t="n">
        <v>2024</v>
      </c>
      <c r="F2088" s="4" t="n">
        <v>2</v>
      </c>
      <c r="G2088" s="17" t="n">
        <v>13427</v>
      </c>
      <c r="H2088" s="18" t="n">
        <f aca="false">G2088*$B$1/1000000</f>
        <v>0.02960146794358</v>
      </c>
    </row>
    <row r="2089" customFormat="false" ht="15" hidden="false" customHeight="false" outlineLevel="0" collapsed="false">
      <c r="A2089" s="4" t="s">
        <v>207</v>
      </c>
      <c r="B2089" s="4" t="s">
        <v>208</v>
      </c>
      <c r="C2089" s="4" t="s">
        <v>70</v>
      </c>
      <c r="D2089" s="16" t="n">
        <v>43862</v>
      </c>
      <c r="E2089" s="4" t="n">
        <v>2020</v>
      </c>
      <c r="F2089" s="4" t="n">
        <v>2</v>
      </c>
      <c r="G2089" s="17" t="n">
        <v>2376</v>
      </c>
      <c r="H2089" s="18" t="n">
        <f aca="false">G2089*$B$1/1000000</f>
        <v>0.0052381833495156</v>
      </c>
    </row>
    <row r="2090" customFormat="false" ht="15" hidden="false" customHeight="false" outlineLevel="0" collapsed="false">
      <c r="A2090" s="4" t="s">
        <v>207</v>
      </c>
      <c r="B2090" s="4" t="s">
        <v>208</v>
      </c>
      <c r="C2090" s="4" t="s">
        <v>70</v>
      </c>
      <c r="D2090" s="16" t="n">
        <v>44013</v>
      </c>
      <c r="E2090" s="4" t="n">
        <v>2020</v>
      </c>
      <c r="F2090" s="4" t="n">
        <v>7</v>
      </c>
      <c r="G2090" s="17" t="n">
        <v>864</v>
      </c>
      <c r="H2090" s="18" t="n">
        <f aca="false">G2090*$B$1/1000000</f>
        <v>0.0019047939452784</v>
      </c>
    </row>
    <row r="2091" customFormat="false" ht="15" hidden="false" customHeight="false" outlineLevel="0" collapsed="false">
      <c r="A2091" s="4" t="s">
        <v>207</v>
      </c>
      <c r="B2091" s="4" t="s">
        <v>208</v>
      </c>
      <c r="C2091" s="4" t="s">
        <v>70</v>
      </c>
      <c r="D2091" s="16" t="n">
        <v>44044</v>
      </c>
      <c r="E2091" s="4" t="n">
        <v>2020</v>
      </c>
      <c r="F2091" s="4" t="n">
        <v>8</v>
      </c>
      <c r="G2091" s="17" t="n">
        <v>5616</v>
      </c>
      <c r="H2091" s="18" t="n">
        <f aca="false">G2091*$B$1/1000000</f>
        <v>0.0123811606443096</v>
      </c>
    </row>
    <row r="2092" customFormat="false" ht="15" hidden="false" customHeight="false" outlineLevel="0" collapsed="false">
      <c r="A2092" s="4" t="s">
        <v>207</v>
      </c>
      <c r="B2092" s="4" t="s">
        <v>208</v>
      </c>
      <c r="C2092" s="4" t="s">
        <v>70</v>
      </c>
      <c r="D2092" s="16" t="n">
        <v>44228</v>
      </c>
      <c r="E2092" s="4" t="n">
        <v>2021</v>
      </c>
      <c r="F2092" s="4" t="n">
        <v>2</v>
      </c>
      <c r="G2092" s="17" t="n">
        <v>1538</v>
      </c>
      <c r="H2092" s="18" t="n">
        <f aca="false">G2092*$B$1/1000000</f>
        <v>0.0033907095924053</v>
      </c>
    </row>
    <row r="2093" customFormat="false" ht="15" hidden="false" customHeight="false" outlineLevel="0" collapsed="false">
      <c r="A2093" s="4" t="s">
        <v>207</v>
      </c>
      <c r="B2093" s="4" t="s">
        <v>208</v>
      </c>
      <c r="C2093" s="4" t="s">
        <v>70</v>
      </c>
      <c r="D2093" s="16" t="n">
        <v>44287</v>
      </c>
      <c r="E2093" s="4" t="n">
        <v>2021</v>
      </c>
      <c r="F2093" s="4" t="n">
        <v>4</v>
      </c>
      <c r="G2093" s="17" t="n">
        <v>7344</v>
      </c>
      <c r="H2093" s="18" t="n">
        <f aca="false">G2093*$B$1/1000000</f>
        <v>0.0161907485348664</v>
      </c>
    </row>
    <row r="2094" customFormat="false" ht="15" hidden="false" customHeight="false" outlineLevel="0" collapsed="false">
      <c r="A2094" s="4" t="s">
        <v>207</v>
      </c>
      <c r="B2094" s="4" t="s">
        <v>208</v>
      </c>
      <c r="C2094" s="4" t="s">
        <v>70</v>
      </c>
      <c r="D2094" s="16" t="n">
        <v>44713</v>
      </c>
      <c r="E2094" s="4" t="n">
        <v>2022</v>
      </c>
      <c r="F2094" s="4" t="n">
        <v>6</v>
      </c>
      <c r="G2094" s="17" t="n">
        <v>2592</v>
      </c>
      <c r="H2094" s="18" t="n">
        <f aca="false">G2094*$B$1/1000000</f>
        <v>0.0057143818358352</v>
      </c>
    </row>
    <row r="2095" customFormat="false" ht="15" hidden="false" customHeight="false" outlineLevel="0" collapsed="false">
      <c r="A2095" s="4" t="s">
        <v>207</v>
      </c>
      <c r="B2095" s="4" t="s">
        <v>208</v>
      </c>
      <c r="C2095" s="4" t="s">
        <v>70</v>
      </c>
      <c r="D2095" s="16" t="n">
        <v>44743</v>
      </c>
      <c r="E2095" s="4" t="n">
        <v>2022</v>
      </c>
      <c r="F2095" s="4" t="n">
        <v>7</v>
      </c>
      <c r="G2095" s="17" t="n">
        <v>6480</v>
      </c>
      <c r="H2095" s="18" t="n">
        <f aca="false">G2095*$B$1/1000000</f>
        <v>0.014285954589588</v>
      </c>
    </row>
    <row r="2096" customFormat="false" ht="15" hidden="false" customHeight="false" outlineLevel="0" collapsed="false">
      <c r="A2096" s="4" t="s">
        <v>207</v>
      </c>
      <c r="B2096" s="4" t="s">
        <v>208</v>
      </c>
      <c r="C2096" s="4" t="s">
        <v>70</v>
      </c>
      <c r="D2096" s="16" t="n">
        <v>44805</v>
      </c>
      <c r="E2096" s="4" t="n">
        <v>2022</v>
      </c>
      <c r="F2096" s="4" t="n">
        <v>9</v>
      </c>
      <c r="G2096" s="17" t="n">
        <v>2592</v>
      </c>
      <c r="H2096" s="18" t="n">
        <f aca="false">G2096*$B$1/1000000</f>
        <v>0.0057143818358352</v>
      </c>
    </row>
    <row r="2097" customFormat="false" ht="15" hidden="false" customHeight="false" outlineLevel="0" collapsed="false">
      <c r="A2097" s="4" t="s">
        <v>207</v>
      </c>
      <c r="B2097" s="4" t="s">
        <v>208</v>
      </c>
      <c r="C2097" s="4" t="s">
        <v>70</v>
      </c>
      <c r="D2097" s="16" t="n">
        <v>45139</v>
      </c>
      <c r="E2097" s="4" t="n">
        <v>2023</v>
      </c>
      <c r="F2097" s="4" t="n">
        <v>8</v>
      </c>
      <c r="G2097" s="17" t="n">
        <v>2367</v>
      </c>
      <c r="H2097" s="18" t="n">
        <f aca="false">G2097*$B$1/1000000</f>
        <v>0.00521834174591895</v>
      </c>
    </row>
    <row r="2098" customFormat="false" ht="15" hidden="false" customHeight="false" outlineLevel="0" collapsed="false">
      <c r="A2098" s="4" t="s">
        <v>207</v>
      </c>
      <c r="B2098" s="4" t="s">
        <v>208</v>
      </c>
      <c r="C2098" s="4" t="s">
        <v>70</v>
      </c>
      <c r="D2098" s="16" t="n">
        <v>45200</v>
      </c>
      <c r="E2098" s="4" t="n">
        <v>2023</v>
      </c>
      <c r="F2098" s="4" t="n">
        <v>10</v>
      </c>
      <c r="G2098" s="17" t="n">
        <v>432</v>
      </c>
      <c r="H2098" s="18" t="n">
        <f aca="false">G2098*$B$1/1000000</f>
        <v>0.0009523969726392</v>
      </c>
    </row>
    <row r="2099" customFormat="false" ht="15" hidden="false" customHeight="false" outlineLevel="0" collapsed="false">
      <c r="A2099" s="4" t="s">
        <v>207</v>
      </c>
      <c r="B2099" s="4" t="s">
        <v>208</v>
      </c>
      <c r="C2099" s="4" t="s">
        <v>70</v>
      </c>
      <c r="D2099" s="16" t="n">
        <v>45323</v>
      </c>
      <c r="E2099" s="4" t="n">
        <v>2024</v>
      </c>
      <c r="F2099" s="4" t="n">
        <v>2</v>
      </c>
      <c r="G2099" s="17" t="n">
        <v>1296</v>
      </c>
      <c r="H2099" s="18" t="n">
        <f aca="false">G2099*$B$1/1000000</f>
        <v>0.0028571909179176</v>
      </c>
    </row>
    <row r="2100" customFormat="false" ht="15" hidden="false" customHeight="false" outlineLevel="0" collapsed="false">
      <c r="A2100" s="4" t="s">
        <v>207</v>
      </c>
      <c r="B2100" s="4" t="s">
        <v>208</v>
      </c>
      <c r="C2100" s="4" t="s">
        <v>70</v>
      </c>
      <c r="D2100" s="16" t="n">
        <v>45352</v>
      </c>
      <c r="E2100" s="4" t="n">
        <v>2024</v>
      </c>
      <c r="F2100" s="4" t="n">
        <v>3</v>
      </c>
      <c r="G2100" s="17" t="n">
        <v>864</v>
      </c>
      <c r="H2100" s="18" t="n">
        <f aca="false">G2100*$B$1/1000000</f>
        <v>0.0019047939452784</v>
      </c>
    </row>
    <row r="2101" customFormat="false" ht="15" hidden="false" customHeight="false" outlineLevel="0" collapsed="false">
      <c r="A2101" s="4" t="s">
        <v>207</v>
      </c>
      <c r="B2101" s="4" t="s">
        <v>208</v>
      </c>
      <c r="C2101" s="4" t="s">
        <v>70</v>
      </c>
      <c r="D2101" s="16" t="n">
        <v>45383</v>
      </c>
      <c r="E2101" s="4" t="n">
        <v>2024</v>
      </c>
      <c r="F2101" s="4" t="n">
        <v>4</v>
      </c>
      <c r="G2101" s="17" t="n">
        <v>864</v>
      </c>
      <c r="H2101" s="18" t="n">
        <f aca="false">G2101*$B$1/1000000</f>
        <v>0.0019047939452784</v>
      </c>
    </row>
    <row r="2102" customFormat="false" ht="15" hidden="false" customHeight="false" outlineLevel="0" collapsed="false">
      <c r="A2102" s="4" t="s">
        <v>207</v>
      </c>
      <c r="B2102" s="4" t="s">
        <v>208</v>
      </c>
      <c r="C2102" s="4" t="s">
        <v>70</v>
      </c>
      <c r="D2102" s="16" t="n">
        <v>45413</v>
      </c>
      <c r="E2102" s="4" t="n">
        <v>2024</v>
      </c>
      <c r="F2102" s="4" t="n">
        <v>5</v>
      </c>
      <c r="G2102" s="17" t="n">
        <v>1728</v>
      </c>
      <c r="H2102" s="18" t="n">
        <f aca="false">G2102*$B$1/1000000</f>
        <v>0.0038095878905568</v>
      </c>
    </row>
    <row r="2103" customFormat="false" ht="15" hidden="false" customHeight="false" outlineLevel="0" collapsed="false">
      <c r="A2103" s="4" t="s">
        <v>207</v>
      </c>
      <c r="B2103" s="4" t="s">
        <v>208</v>
      </c>
      <c r="C2103" s="4" t="s">
        <v>70</v>
      </c>
      <c r="D2103" s="16" t="n">
        <v>45474</v>
      </c>
      <c r="E2103" s="4" t="n">
        <v>2024</v>
      </c>
      <c r="F2103" s="4" t="n">
        <v>7</v>
      </c>
      <c r="G2103" s="17" t="n">
        <v>1650</v>
      </c>
      <c r="H2103" s="18" t="n">
        <f aca="false">G2103*$B$1/1000000</f>
        <v>0.0036376273260525</v>
      </c>
    </row>
    <row r="2104" customFormat="false" ht="15" hidden="false" customHeight="false" outlineLevel="0" collapsed="false">
      <c r="A2104" s="4" t="s">
        <v>207</v>
      </c>
      <c r="B2104" s="4" t="s">
        <v>208</v>
      </c>
      <c r="C2104" s="4" t="s">
        <v>70</v>
      </c>
      <c r="D2104" s="16" t="n">
        <v>45505</v>
      </c>
      <c r="E2104" s="4" t="n">
        <v>2024</v>
      </c>
      <c r="F2104" s="4" t="n">
        <v>8</v>
      </c>
      <c r="G2104" s="17" t="n">
        <v>25485</v>
      </c>
      <c r="H2104" s="18" t="n">
        <f aca="false">G2104*$B$1/1000000</f>
        <v>0.0561848075178473</v>
      </c>
    </row>
    <row r="2105" customFormat="false" ht="15" hidden="false" customHeight="false" outlineLevel="0" collapsed="false">
      <c r="A2105" s="4" t="s">
        <v>207</v>
      </c>
      <c r="B2105" s="4" t="s">
        <v>208</v>
      </c>
      <c r="C2105" s="4" t="s">
        <v>70</v>
      </c>
      <c r="D2105" s="16" t="n">
        <v>45566</v>
      </c>
      <c r="E2105" s="4" t="n">
        <v>2024</v>
      </c>
      <c r="F2105" s="4" t="n">
        <v>10</v>
      </c>
      <c r="G2105" s="17" t="n">
        <v>864</v>
      </c>
      <c r="H2105" s="18" t="n">
        <f aca="false">G2105*$B$1/1000000</f>
        <v>0.0019047939452784</v>
      </c>
    </row>
    <row r="2106" customFormat="false" ht="15" hidden="false" customHeight="false" outlineLevel="0" collapsed="false">
      <c r="A2106" s="4" t="s">
        <v>207</v>
      </c>
      <c r="B2106" s="4" t="s">
        <v>208</v>
      </c>
      <c r="C2106" s="4" t="s">
        <v>70</v>
      </c>
      <c r="D2106" s="16" t="n">
        <v>45627</v>
      </c>
      <c r="E2106" s="4" t="n">
        <v>2024</v>
      </c>
      <c r="F2106" s="4" t="n">
        <v>12</v>
      </c>
      <c r="G2106" s="17" t="n">
        <v>432</v>
      </c>
      <c r="H2106" s="18" t="n">
        <f aca="false">G2106*$B$1/1000000</f>
        <v>0.0009523969726392</v>
      </c>
    </row>
    <row r="2107" customFormat="false" ht="15" hidden="false" customHeight="false" outlineLevel="0" collapsed="false">
      <c r="A2107" s="4" t="s">
        <v>207</v>
      </c>
      <c r="B2107" s="4" t="s">
        <v>208</v>
      </c>
      <c r="C2107" s="4" t="s">
        <v>70</v>
      </c>
      <c r="D2107" s="16" t="n">
        <v>45658</v>
      </c>
      <c r="E2107" s="4" t="n">
        <v>2025</v>
      </c>
      <c r="F2107" s="4" t="n">
        <v>1</v>
      </c>
      <c r="G2107" s="17" t="n">
        <v>1728</v>
      </c>
      <c r="H2107" s="18" t="n">
        <f aca="false">G2107*$B$1/1000000</f>
        <v>0.0038095878905568</v>
      </c>
    </row>
    <row r="2108" customFormat="false" ht="15" hidden="false" customHeight="false" outlineLevel="0" collapsed="false">
      <c r="A2108" s="4" t="s">
        <v>207</v>
      </c>
      <c r="B2108" s="4" t="s">
        <v>208</v>
      </c>
      <c r="C2108" s="4" t="s">
        <v>70</v>
      </c>
      <c r="D2108" s="16" t="n">
        <v>45689</v>
      </c>
      <c r="E2108" s="4" t="n">
        <v>2025</v>
      </c>
      <c r="F2108" s="4" t="n">
        <v>2</v>
      </c>
      <c r="G2108" s="17" t="n">
        <v>1296</v>
      </c>
      <c r="H2108" s="18" t="n">
        <f aca="false">G2108*$B$1/1000000</f>
        <v>0.0028571909179176</v>
      </c>
    </row>
    <row r="2109" customFormat="false" ht="15" hidden="false" customHeight="false" outlineLevel="0" collapsed="false">
      <c r="A2109" s="4" t="s">
        <v>207</v>
      </c>
      <c r="B2109" s="4" t="s">
        <v>208</v>
      </c>
      <c r="C2109" s="4" t="s">
        <v>70</v>
      </c>
      <c r="D2109" s="16" t="n">
        <v>45717</v>
      </c>
      <c r="E2109" s="4" t="n">
        <v>2025</v>
      </c>
      <c r="F2109" s="4" t="n">
        <v>3</v>
      </c>
      <c r="G2109" s="17" t="n">
        <v>2160</v>
      </c>
      <c r="H2109" s="18" t="n">
        <f aca="false">G2109*$B$1/1000000</f>
        <v>0.004761984863196</v>
      </c>
    </row>
    <row r="2110" customFormat="false" ht="15" hidden="false" customHeight="false" outlineLevel="0" collapsed="false">
      <c r="A2110" s="4" t="s">
        <v>207</v>
      </c>
      <c r="B2110" s="4" t="s">
        <v>208</v>
      </c>
      <c r="C2110" s="4" t="s">
        <v>70</v>
      </c>
      <c r="D2110" s="16" t="n">
        <v>45748</v>
      </c>
      <c r="E2110" s="4" t="n">
        <v>2025</v>
      </c>
      <c r="F2110" s="4" t="n">
        <v>4</v>
      </c>
      <c r="G2110" s="17" t="n">
        <v>864</v>
      </c>
      <c r="H2110" s="18" t="n">
        <f aca="false">G2110*$B$1/1000000</f>
        <v>0.0019047939452784</v>
      </c>
    </row>
    <row r="2111" customFormat="false" ht="15" hidden="false" customHeight="false" outlineLevel="0" collapsed="false">
      <c r="A2111" s="4" t="s">
        <v>207</v>
      </c>
      <c r="B2111" s="4" t="s">
        <v>208</v>
      </c>
      <c r="C2111" s="4" t="s">
        <v>70</v>
      </c>
      <c r="D2111" s="16" t="n">
        <v>45809</v>
      </c>
      <c r="E2111" s="4" t="n">
        <v>2025</v>
      </c>
      <c r="F2111" s="4" t="n">
        <v>6</v>
      </c>
      <c r="G2111" s="17" t="n">
        <v>2327</v>
      </c>
      <c r="H2111" s="18" t="n">
        <f aca="false">G2111*$B$1/1000000</f>
        <v>0.00513015684104495</v>
      </c>
    </row>
    <row r="2112" customFormat="false" ht="15" hidden="false" customHeight="false" outlineLevel="0" collapsed="false">
      <c r="A2112" s="4" t="s">
        <v>207</v>
      </c>
      <c r="B2112" s="4" t="s">
        <v>208</v>
      </c>
      <c r="C2112" s="4" t="s">
        <v>70</v>
      </c>
      <c r="D2112" s="16" t="n">
        <v>46023</v>
      </c>
      <c r="E2112" s="4" t="n">
        <v>2026</v>
      </c>
      <c r="F2112" s="4" t="n">
        <v>1</v>
      </c>
      <c r="G2112" s="17" t="n">
        <v>768</v>
      </c>
      <c r="H2112" s="18" t="n">
        <f aca="false">G2112*$B$1/1000000</f>
        <v>0.0016931501735808</v>
      </c>
    </row>
    <row r="2113" customFormat="false" ht="15" hidden="false" customHeight="false" outlineLevel="0" collapsed="false">
      <c r="A2113" s="4" t="s">
        <v>207</v>
      </c>
      <c r="B2113" s="4" t="s">
        <v>208</v>
      </c>
      <c r="C2113" s="4" t="s">
        <v>70</v>
      </c>
      <c r="D2113" s="16" t="n">
        <v>46054</v>
      </c>
      <c r="E2113" s="4" t="n">
        <v>2026</v>
      </c>
      <c r="F2113" s="4" t="n">
        <v>2</v>
      </c>
      <c r="G2113" s="17" t="n">
        <v>768</v>
      </c>
      <c r="H2113" s="18" t="n">
        <f aca="false">G2113*$B$1/1000000</f>
        <v>0.0016931501735808</v>
      </c>
    </row>
    <row r="2114" customFormat="false" ht="15" hidden="false" customHeight="false" outlineLevel="0" collapsed="false">
      <c r="A2114" s="4" t="s">
        <v>207</v>
      </c>
      <c r="B2114" s="4" t="s">
        <v>208</v>
      </c>
      <c r="C2114" s="4" t="s">
        <v>70</v>
      </c>
      <c r="D2114" s="16" t="n">
        <v>46143</v>
      </c>
      <c r="E2114" s="4" t="n">
        <v>2026</v>
      </c>
      <c r="F2114" s="4" t="n">
        <v>5</v>
      </c>
      <c r="G2114" s="17" t="n">
        <v>2160</v>
      </c>
      <c r="H2114" s="18" t="n">
        <f aca="false">G2114*$B$1/1000000</f>
        <v>0.004761984863196</v>
      </c>
    </row>
    <row r="2115" customFormat="false" ht="15" hidden="false" customHeight="false" outlineLevel="0" collapsed="false">
      <c r="A2115" s="4" t="s">
        <v>207</v>
      </c>
      <c r="B2115" s="4" t="s">
        <v>208</v>
      </c>
      <c r="C2115" s="4" t="s">
        <v>70</v>
      </c>
      <c r="D2115" s="16" t="n">
        <v>46174</v>
      </c>
      <c r="E2115" s="4" t="n">
        <v>2026</v>
      </c>
      <c r="F2115" s="4" t="n">
        <v>6</v>
      </c>
      <c r="G2115" s="17" t="n">
        <v>432</v>
      </c>
      <c r="H2115" s="18" t="n">
        <f aca="false">G2115*$B$1/1000000</f>
        <v>0.0009523969726392</v>
      </c>
    </row>
    <row r="2116" customFormat="false" ht="15" hidden="false" customHeight="false" outlineLevel="0" collapsed="false">
      <c r="A2116" s="4" t="s">
        <v>207</v>
      </c>
      <c r="B2116" s="4" t="s">
        <v>208</v>
      </c>
      <c r="C2116" s="4" t="s">
        <v>70</v>
      </c>
      <c r="D2116" s="16" t="n">
        <v>46204</v>
      </c>
      <c r="E2116" s="4" t="n">
        <v>2026</v>
      </c>
      <c r="F2116" s="4" t="n">
        <v>7</v>
      </c>
      <c r="G2116" s="17" t="n">
        <v>1432</v>
      </c>
      <c r="H2116" s="18" t="n">
        <f aca="false">G2116*$B$1/1000000</f>
        <v>0.0031570195944892</v>
      </c>
    </row>
    <row r="2117" customFormat="false" ht="15" hidden="false" customHeight="false" outlineLevel="0" collapsed="false">
      <c r="A2117" s="4" t="s">
        <v>207</v>
      </c>
      <c r="B2117" s="4" t="s">
        <v>208</v>
      </c>
      <c r="C2117" s="4" t="s">
        <v>70</v>
      </c>
      <c r="D2117" s="16" t="n">
        <v>46235</v>
      </c>
      <c r="E2117" s="4" t="n">
        <v>2026</v>
      </c>
      <c r="F2117" s="4" t="n">
        <v>8</v>
      </c>
      <c r="G2117" s="17" t="n">
        <v>98760</v>
      </c>
      <c r="H2117" s="18" t="n">
        <f aca="false">G2117*$B$1/1000000</f>
        <v>0.217728530133906</v>
      </c>
    </row>
    <row r="2118" customFormat="false" ht="15" hidden="false" customHeight="false" outlineLevel="0" collapsed="false">
      <c r="A2118" s="4" t="s">
        <v>207</v>
      </c>
      <c r="B2118" s="4" t="s">
        <v>208</v>
      </c>
      <c r="C2118" s="4" t="s">
        <v>76</v>
      </c>
      <c r="D2118" s="16" t="n">
        <v>43831</v>
      </c>
      <c r="E2118" s="4" t="n">
        <v>2020</v>
      </c>
      <c r="F2118" s="4" t="n">
        <v>1</v>
      </c>
      <c r="G2118" s="17" t="n">
        <v>190</v>
      </c>
      <c r="H2118" s="18" t="n">
        <f aca="false">G2118*$B$1/1000000</f>
        <v>0.0004188782981515</v>
      </c>
    </row>
    <row r="2119" customFormat="false" ht="15" hidden="false" customHeight="false" outlineLevel="0" collapsed="false">
      <c r="A2119" s="4" t="s">
        <v>207</v>
      </c>
      <c r="B2119" s="4" t="s">
        <v>208</v>
      </c>
      <c r="C2119" s="4" t="s">
        <v>76</v>
      </c>
      <c r="D2119" s="16" t="n">
        <v>43862</v>
      </c>
      <c r="E2119" s="4" t="n">
        <v>2020</v>
      </c>
      <c r="F2119" s="4" t="n">
        <v>2</v>
      </c>
      <c r="G2119" s="17" t="n">
        <v>75</v>
      </c>
      <c r="H2119" s="18" t="n">
        <f aca="false">G2119*$B$1/1000000</f>
        <v>0.00016534669663875</v>
      </c>
    </row>
    <row r="2120" customFormat="false" ht="15" hidden="false" customHeight="false" outlineLevel="0" collapsed="false">
      <c r="A2120" s="4" t="s">
        <v>207</v>
      </c>
      <c r="B2120" s="4" t="s">
        <v>208</v>
      </c>
      <c r="C2120" s="4" t="s">
        <v>76</v>
      </c>
      <c r="D2120" s="16" t="n">
        <v>43891</v>
      </c>
      <c r="E2120" s="4" t="n">
        <v>2020</v>
      </c>
      <c r="F2120" s="4" t="n">
        <v>3</v>
      </c>
      <c r="G2120" s="17" t="n">
        <v>380</v>
      </c>
      <c r="H2120" s="18" t="n">
        <f aca="false">G2120*$B$1/1000000</f>
        <v>0.000837756596303</v>
      </c>
    </row>
    <row r="2121" customFormat="false" ht="15" hidden="false" customHeight="false" outlineLevel="0" collapsed="false">
      <c r="A2121" s="4" t="s">
        <v>207</v>
      </c>
      <c r="B2121" s="4" t="s">
        <v>208</v>
      </c>
      <c r="C2121" s="4" t="s">
        <v>76</v>
      </c>
      <c r="D2121" s="16" t="n">
        <v>44256</v>
      </c>
      <c r="E2121" s="4" t="n">
        <v>2021</v>
      </c>
      <c r="F2121" s="4" t="n">
        <v>3</v>
      </c>
      <c r="G2121" s="17" t="n">
        <v>4</v>
      </c>
      <c r="H2121" s="18" t="n">
        <f aca="false">G2121*$B$1/1000000</f>
        <v>8.8184904874E-006</v>
      </c>
    </row>
    <row r="2122" customFormat="false" ht="15" hidden="false" customHeight="false" outlineLevel="0" collapsed="false">
      <c r="A2122" s="4" t="s">
        <v>207</v>
      </c>
      <c r="B2122" s="4" t="s">
        <v>208</v>
      </c>
      <c r="C2122" s="4" t="s">
        <v>76</v>
      </c>
      <c r="D2122" s="16" t="n">
        <v>44470</v>
      </c>
      <c r="E2122" s="4" t="n">
        <v>2021</v>
      </c>
      <c r="F2122" s="4" t="n">
        <v>10</v>
      </c>
      <c r="G2122" s="17" t="n">
        <v>56</v>
      </c>
      <c r="H2122" s="18" t="n">
        <f aca="false">G2122*$B$1/1000000</f>
        <v>0.0001234588668236</v>
      </c>
    </row>
    <row r="2123" customFormat="false" ht="15" hidden="false" customHeight="false" outlineLevel="0" collapsed="false">
      <c r="A2123" s="4" t="s">
        <v>207</v>
      </c>
      <c r="B2123" s="4" t="s">
        <v>208</v>
      </c>
      <c r="C2123" s="4" t="s">
        <v>76</v>
      </c>
      <c r="D2123" s="16" t="n">
        <v>45047</v>
      </c>
      <c r="E2123" s="4" t="n">
        <v>2023</v>
      </c>
      <c r="F2123" s="4" t="n">
        <v>5</v>
      </c>
      <c r="G2123" s="17" t="n">
        <v>21970</v>
      </c>
      <c r="H2123" s="18" t="n">
        <f aca="false">G2123*$B$1/1000000</f>
        <v>0.0484355590020445</v>
      </c>
    </row>
    <row r="2124" customFormat="false" ht="15" hidden="false" customHeight="false" outlineLevel="0" collapsed="false">
      <c r="A2124" s="4" t="s">
        <v>207</v>
      </c>
      <c r="B2124" s="4" t="s">
        <v>208</v>
      </c>
      <c r="C2124" s="4" t="s">
        <v>76</v>
      </c>
      <c r="D2124" s="16" t="n">
        <v>45689</v>
      </c>
      <c r="E2124" s="4" t="n">
        <v>2025</v>
      </c>
      <c r="F2124" s="4" t="n">
        <v>2</v>
      </c>
      <c r="G2124" s="17" t="n">
        <v>1</v>
      </c>
      <c r="H2124" s="18" t="n">
        <f aca="false">G2124*$B$1/1000000</f>
        <v>2.20462262185E-006</v>
      </c>
    </row>
    <row r="2125" customFormat="false" ht="15" hidden="false" customHeight="false" outlineLevel="0" collapsed="false">
      <c r="A2125" s="4" t="s">
        <v>207</v>
      </c>
      <c r="B2125" s="4" t="s">
        <v>208</v>
      </c>
      <c r="C2125" s="4" t="s">
        <v>76</v>
      </c>
      <c r="D2125" s="16" t="n">
        <v>46082</v>
      </c>
      <c r="E2125" s="4" t="n">
        <v>2026</v>
      </c>
      <c r="F2125" s="4" t="n">
        <v>3</v>
      </c>
      <c r="G2125" s="17" t="n">
        <v>1</v>
      </c>
      <c r="H2125" s="18" t="n">
        <f aca="false">G2125*$B$1/1000000</f>
        <v>2.20462262185E-006</v>
      </c>
    </row>
    <row r="2126" customFormat="false" ht="15" hidden="false" customHeight="false" outlineLevel="0" collapsed="false">
      <c r="A2126" s="4" t="s">
        <v>207</v>
      </c>
      <c r="B2126" s="4" t="s">
        <v>208</v>
      </c>
      <c r="C2126" s="4" t="s">
        <v>76</v>
      </c>
      <c r="D2126" s="16" t="n">
        <v>46235</v>
      </c>
      <c r="E2126" s="4" t="n">
        <v>2026</v>
      </c>
      <c r="F2126" s="4" t="n">
        <v>8</v>
      </c>
      <c r="G2126" s="17" t="n">
        <v>1</v>
      </c>
      <c r="H2126" s="18" t="n">
        <f aca="false">G2126*$B$1/1000000</f>
        <v>2.20462262185E-006</v>
      </c>
    </row>
    <row r="2127" customFormat="false" ht="15" hidden="false" customHeight="false" outlineLevel="0" collapsed="false">
      <c r="A2127" s="4" t="s">
        <v>207</v>
      </c>
      <c r="B2127" s="4" t="s">
        <v>208</v>
      </c>
      <c r="C2127" s="4" t="s">
        <v>141</v>
      </c>
      <c r="D2127" s="16" t="n">
        <v>45017</v>
      </c>
      <c r="E2127" s="4" t="n">
        <v>2023</v>
      </c>
      <c r="F2127" s="4" t="n">
        <v>4</v>
      </c>
      <c r="G2127" s="17" t="n">
        <v>22180</v>
      </c>
      <c r="H2127" s="18" t="n">
        <f aca="false">G2127*$B$1/1000000</f>
        <v>0.048898529752633</v>
      </c>
    </row>
    <row r="2128" customFormat="false" ht="15" hidden="false" customHeight="false" outlineLevel="0" collapsed="false">
      <c r="A2128" s="4" t="s">
        <v>207</v>
      </c>
      <c r="B2128" s="4" t="s">
        <v>208</v>
      </c>
      <c r="C2128" s="4" t="s">
        <v>141</v>
      </c>
      <c r="D2128" s="16" t="n">
        <v>45078</v>
      </c>
      <c r="E2128" s="4" t="n">
        <v>2023</v>
      </c>
      <c r="F2128" s="4" t="n">
        <v>6</v>
      </c>
      <c r="G2128" s="17" t="n">
        <v>18580</v>
      </c>
      <c r="H2128" s="18" t="n">
        <f aca="false">G2128*$B$1/1000000</f>
        <v>0.040961888313973</v>
      </c>
    </row>
    <row r="2129" customFormat="false" ht="15" hidden="false" customHeight="false" outlineLevel="0" collapsed="false">
      <c r="A2129" s="4" t="s">
        <v>207</v>
      </c>
      <c r="B2129" s="4" t="s">
        <v>208</v>
      </c>
      <c r="C2129" s="4" t="s">
        <v>131</v>
      </c>
      <c r="D2129" s="16" t="n">
        <v>44958</v>
      </c>
      <c r="E2129" s="4" t="n">
        <v>2023</v>
      </c>
      <c r="F2129" s="4" t="n">
        <v>2</v>
      </c>
      <c r="G2129" s="17" t="n">
        <v>101749</v>
      </c>
      <c r="H2129" s="18" t="n">
        <f aca="false">G2129*$B$1/1000000</f>
        <v>0.224318147150616</v>
      </c>
    </row>
    <row r="2130" customFormat="false" ht="15" hidden="false" customHeight="false" outlineLevel="0" collapsed="false">
      <c r="A2130" s="4" t="s">
        <v>207</v>
      </c>
      <c r="B2130" s="4" t="s">
        <v>208</v>
      </c>
      <c r="C2130" s="4" t="s">
        <v>131</v>
      </c>
      <c r="D2130" s="16" t="n">
        <v>45047</v>
      </c>
      <c r="E2130" s="4" t="n">
        <v>2023</v>
      </c>
      <c r="F2130" s="4" t="n">
        <v>5</v>
      </c>
      <c r="G2130" s="17" t="n">
        <v>61345</v>
      </c>
      <c r="H2130" s="18" t="n">
        <f aca="false">G2130*$B$1/1000000</f>
        <v>0.135242574737388</v>
      </c>
    </row>
    <row r="2131" customFormat="false" ht="15" hidden="false" customHeight="false" outlineLevel="0" collapsed="false">
      <c r="A2131" s="4" t="s">
        <v>207</v>
      </c>
      <c r="B2131" s="4" t="s">
        <v>208</v>
      </c>
      <c r="C2131" s="4" t="s">
        <v>131</v>
      </c>
      <c r="D2131" s="16" t="n">
        <v>45200</v>
      </c>
      <c r="E2131" s="4" t="n">
        <v>2023</v>
      </c>
      <c r="F2131" s="4" t="n">
        <v>10</v>
      </c>
      <c r="G2131" s="17" t="n">
        <v>159725</v>
      </c>
      <c r="H2131" s="18" t="n">
        <f aca="false">G2131*$B$1/1000000</f>
        <v>0.352133348274991</v>
      </c>
    </row>
    <row r="2132" customFormat="false" ht="15" hidden="false" customHeight="false" outlineLevel="0" collapsed="false">
      <c r="A2132" s="4" t="s">
        <v>207</v>
      </c>
      <c r="B2132" s="4" t="s">
        <v>208</v>
      </c>
      <c r="C2132" s="4" t="s">
        <v>131</v>
      </c>
      <c r="D2132" s="16" t="n">
        <v>45231</v>
      </c>
      <c r="E2132" s="4" t="n">
        <v>2023</v>
      </c>
      <c r="F2132" s="4" t="n">
        <v>11</v>
      </c>
      <c r="G2132" s="17" t="n">
        <v>140840</v>
      </c>
      <c r="H2132" s="18" t="n">
        <f aca="false">G2132*$B$1/1000000</f>
        <v>0.310499050061354</v>
      </c>
    </row>
    <row r="2133" customFormat="false" ht="15" hidden="false" customHeight="false" outlineLevel="0" collapsed="false">
      <c r="A2133" s="4" t="s">
        <v>207</v>
      </c>
      <c r="B2133" s="4" t="s">
        <v>208</v>
      </c>
      <c r="C2133" s="4" t="s">
        <v>161</v>
      </c>
      <c r="D2133" s="16" t="n">
        <v>45292</v>
      </c>
      <c r="E2133" s="4" t="n">
        <v>2024</v>
      </c>
      <c r="F2133" s="4" t="n">
        <v>1</v>
      </c>
      <c r="G2133" s="17" t="n">
        <v>231921</v>
      </c>
      <c r="H2133" s="18" t="n">
        <f aca="false">G2133*$B$1/1000000</f>
        <v>0.511298283082074</v>
      </c>
    </row>
    <row r="2134" customFormat="false" ht="15" hidden="false" customHeight="false" outlineLevel="0" collapsed="false">
      <c r="A2134" s="4" t="s">
        <v>207</v>
      </c>
      <c r="B2134" s="4" t="s">
        <v>208</v>
      </c>
      <c r="C2134" s="4" t="s">
        <v>161</v>
      </c>
      <c r="D2134" s="16" t="n">
        <v>45474</v>
      </c>
      <c r="E2134" s="4" t="n">
        <v>2024</v>
      </c>
      <c r="F2134" s="4" t="n">
        <v>7</v>
      </c>
      <c r="G2134" s="17" t="n">
        <v>35</v>
      </c>
      <c r="H2134" s="18" t="n">
        <f aca="false">G2134*$B$1/1000000</f>
        <v>7.716179176475E-005</v>
      </c>
    </row>
    <row r="2135" customFormat="false" ht="15" hidden="false" customHeight="false" outlineLevel="0" collapsed="false">
      <c r="A2135" s="4" t="s">
        <v>207</v>
      </c>
      <c r="B2135" s="4" t="s">
        <v>208</v>
      </c>
      <c r="C2135" s="4" t="s">
        <v>161</v>
      </c>
      <c r="D2135" s="16" t="n">
        <v>45839</v>
      </c>
      <c r="E2135" s="4" t="n">
        <v>2025</v>
      </c>
      <c r="F2135" s="4" t="n">
        <v>7</v>
      </c>
      <c r="G2135" s="17" t="n">
        <v>2620</v>
      </c>
      <c r="H2135" s="18" t="n">
        <f aca="false">G2135*$B$1/1000000</f>
        <v>0.005776111269247</v>
      </c>
    </row>
    <row r="2136" customFormat="false" ht="15" hidden="false" customHeight="false" outlineLevel="0" collapsed="false">
      <c r="A2136" s="4" t="s">
        <v>207</v>
      </c>
      <c r="B2136" s="4" t="s">
        <v>208</v>
      </c>
      <c r="C2136" s="4" t="s">
        <v>156</v>
      </c>
      <c r="D2136" s="16" t="n">
        <v>45474</v>
      </c>
      <c r="E2136" s="4" t="n">
        <v>2024</v>
      </c>
      <c r="F2136" s="4" t="n">
        <v>7</v>
      </c>
      <c r="G2136" s="17" t="n">
        <v>871660</v>
      </c>
      <c r="H2136" s="18" t="n">
        <f aca="false">G2136*$B$1/1000000</f>
        <v>1.92168135456177</v>
      </c>
    </row>
    <row r="2137" customFormat="false" ht="15" hidden="false" customHeight="false" outlineLevel="0" collapsed="false">
      <c r="A2137" s="4" t="s">
        <v>207</v>
      </c>
      <c r="B2137" s="4" t="s">
        <v>208</v>
      </c>
      <c r="C2137" s="4" t="s">
        <v>156</v>
      </c>
      <c r="D2137" s="16" t="n">
        <v>45505</v>
      </c>
      <c r="E2137" s="4" t="n">
        <v>2024</v>
      </c>
      <c r="F2137" s="4" t="n">
        <v>8</v>
      </c>
      <c r="G2137" s="17" t="n">
        <v>892304</v>
      </c>
      <c r="H2137" s="18" t="n">
        <f aca="false">G2137*$B$1/1000000</f>
        <v>1.96719358396724</v>
      </c>
    </row>
    <row r="2138" customFormat="false" ht="15" hidden="false" customHeight="false" outlineLevel="0" collapsed="false">
      <c r="A2138" s="4" t="s">
        <v>207</v>
      </c>
      <c r="B2138" s="4" t="s">
        <v>208</v>
      </c>
      <c r="C2138" s="4" t="s">
        <v>156</v>
      </c>
      <c r="D2138" s="16" t="n">
        <v>45536</v>
      </c>
      <c r="E2138" s="4" t="n">
        <v>2024</v>
      </c>
      <c r="F2138" s="4" t="n">
        <v>9</v>
      </c>
      <c r="G2138" s="17" t="n">
        <v>974346</v>
      </c>
      <c r="H2138" s="18" t="n">
        <f aca="false">G2138*$B$1/1000000</f>
        <v>2.14806523310906</v>
      </c>
    </row>
    <row r="2139" customFormat="false" ht="15" hidden="false" customHeight="false" outlineLevel="0" collapsed="false">
      <c r="A2139" s="4" t="s">
        <v>207</v>
      </c>
      <c r="B2139" s="4" t="s">
        <v>208</v>
      </c>
      <c r="C2139" s="4" t="s">
        <v>156</v>
      </c>
      <c r="D2139" s="16" t="n">
        <v>45566</v>
      </c>
      <c r="E2139" s="4" t="n">
        <v>2024</v>
      </c>
      <c r="F2139" s="4" t="n">
        <v>10</v>
      </c>
      <c r="G2139" s="17" t="n">
        <v>744160</v>
      </c>
      <c r="H2139" s="18" t="n">
        <f aca="false">G2139*$B$1/1000000</f>
        <v>1.6405919702759</v>
      </c>
    </row>
    <row r="2140" customFormat="false" ht="15" hidden="false" customHeight="false" outlineLevel="0" collapsed="false">
      <c r="A2140" s="4" t="s">
        <v>207</v>
      </c>
      <c r="B2140" s="4" t="s">
        <v>208</v>
      </c>
      <c r="C2140" s="4" t="s">
        <v>156</v>
      </c>
      <c r="D2140" s="16" t="n">
        <v>45901</v>
      </c>
      <c r="E2140" s="4" t="n">
        <v>2025</v>
      </c>
      <c r="F2140" s="4" t="n">
        <v>9</v>
      </c>
      <c r="G2140" s="17" t="n">
        <v>396804</v>
      </c>
      <c r="H2140" s="18" t="n">
        <f aca="false">G2140*$B$1/1000000</f>
        <v>0.874803074840567</v>
      </c>
    </row>
    <row r="2141" customFormat="false" ht="15" hidden="false" customHeight="false" outlineLevel="0" collapsed="false">
      <c r="A2141" s="4" t="s">
        <v>207</v>
      </c>
      <c r="B2141" s="4" t="s">
        <v>208</v>
      </c>
      <c r="C2141" s="4" t="s">
        <v>156</v>
      </c>
      <c r="D2141" s="16" t="n">
        <v>45962</v>
      </c>
      <c r="E2141" s="4" t="n">
        <v>2025</v>
      </c>
      <c r="F2141" s="4" t="n">
        <v>11</v>
      </c>
      <c r="G2141" s="17" t="n">
        <v>610493</v>
      </c>
      <c r="H2141" s="18" t="n">
        <f aca="false">G2141*$B$1/1000000</f>
        <v>1.34590667828107</v>
      </c>
    </row>
    <row r="2142" customFormat="false" ht="15" hidden="false" customHeight="false" outlineLevel="0" collapsed="false">
      <c r="A2142" s="4" t="s">
        <v>207</v>
      </c>
      <c r="B2142" s="4" t="s">
        <v>208</v>
      </c>
      <c r="C2142" s="4" t="s">
        <v>156</v>
      </c>
      <c r="D2142" s="16" t="n">
        <v>46174</v>
      </c>
      <c r="E2142" s="4" t="n">
        <v>2026</v>
      </c>
      <c r="F2142" s="4" t="n">
        <v>6</v>
      </c>
      <c r="G2142" s="17" t="n">
        <v>515311</v>
      </c>
      <c r="H2142" s="18" t="n">
        <f aca="false">G2142*$B$1/1000000</f>
        <v>1.13606628788815</v>
      </c>
    </row>
    <row r="2143" customFormat="false" ht="15" hidden="false" customHeight="false" outlineLevel="0" collapsed="false">
      <c r="A2143" s="4" t="s">
        <v>207</v>
      </c>
      <c r="B2143" s="4" t="s">
        <v>208</v>
      </c>
      <c r="C2143" s="4" t="s">
        <v>156</v>
      </c>
      <c r="D2143" s="16" t="n">
        <v>46235</v>
      </c>
      <c r="E2143" s="4" t="n">
        <v>2026</v>
      </c>
      <c r="F2143" s="4" t="n">
        <v>8</v>
      </c>
      <c r="G2143" s="17" t="n">
        <v>180</v>
      </c>
      <c r="H2143" s="18" t="n">
        <f aca="false">G2143*$B$1/1000000</f>
        <v>0.000396832071933</v>
      </c>
    </row>
    <row r="2144" customFormat="false" ht="15" hidden="false" customHeight="false" outlineLevel="0" collapsed="false">
      <c r="A2144" s="4" t="s">
        <v>207</v>
      </c>
      <c r="B2144" s="4" t="s">
        <v>208</v>
      </c>
      <c r="C2144" s="4" t="s">
        <v>162</v>
      </c>
      <c r="D2144" s="16" t="n">
        <v>45383</v>
      </c>
      <c r="E2144" s="4" t="n">
        <v>2024</v>
      </c>
      <c r="F2144" s="4" t="n">
        <v>4</v>
      </c>
      <c r="G2144" s="17" t="n">
        <v>137738</v>
      </c>
      <c r="H2144" s="18" t="n">
        <f aca="false">G2144*$B$1/1000000</f>
        <v>0.303660310688375</v>
      </c>
    </row>
    <row r="2145" customFormat="false" ht="15" hidden="false" customHeight="false" outlineLevel="0" collapsed="false">
      <c r="A2145" s="4" t="s">
        <v>207</v>
      </c>
      <c r="B2145" s="4" t="s">
        <v>208</v>
      </c>
      <c r="C2145" s="4" t="s">
        <v>74</v>
      </c>
      <c r="D2145" s="16" t="n">
        <v>43891</v>
      </c>
      <c r="E2145" s="4" t="n">
        <v>2020</v>
      </c>
      <c r="F2145" s="4" t="n">
        <v>3</v>
      </c>
      <c r="G2145" s="17" t="n">
        <v>240</v>
      </c>
      <c r="H2145" s="18" t="n">
        <f aca="false">G2145*$B$1/1000000</f>
        <v>0.000529109429244</v>
      </c>
    </row>
    <row r="2146" customFormat="false" ht="15" hidden="false" customHeight="false" outlineLevel="0" collapsed="false">
      <c r="A2146" s="4" t="s">
        <v>207</v>
      </c>
      <c r="B2146" s="4" t="s">
        <v>208</v>
      </c>
      <c r="C2146" s="4" t="s">
        <v>74</v>
      </c>
      <c r="D2146" s="16" t="n">
        <v>43922</v>
      </c>
      <c r="E2146" s="4" t="n">
        <v>2020</v>
      </c>
      <c r="F2146" s="4" t="n">
        <v>4</v>
      </c>
      <c r="G2146" s="17" t="n">
        <v>1179</v>
      </c>
      <c r="H2146" s="18" t="n">
        <f aca="false">G2146*$B$1/1000000</f>
        <v>0.00259925007116115</v>
      </c>
    </row>
    <row r="2147" customFormat="false" ht="15" hidden="false" customHeight="false" outlineLevel="0" collapsed="false">
      <c r="A2147" s="4" t="s">
        <v>207</v>
      </c>
      <c r="B2147" s="4" t="s">
        <v>208</v>
      </c>
      <c r="C2147" s="4" t="s">
        <v>74</v>
      </c>
      <c r="D2147" s="16" t="n">
        <v>44105</v>
      </c>
      <c r="E2147" s="4" t="n">
        <v>2020</v>
      </c>
      <c r="F2147" s="4" t="n">
        <v>10</v>
      </c>
      <c r="G2147" s="17" t="n">
        <v>210</v>
      </c>
      <c r="H2147" s="18" t="n">
        <f aca="false">G2147*$B$1/1000000</f>
        <v>0.0004629707505885</v>
      </c>
    </row>
    <row r="2148" customFormat="false" ht="15" hidden="false" customHeight="false" outlineLevel="0" collapsed="false">
      <c r="A2148" s="4" t="s">
        <v>207</v>
      </c>
      <c r="B2148" s="4" t="s">
        <v>208</v>
      </c>
      <c r="C2148" s="4" t="s">
        <v>74</v>
      </c>
      <c r="D2148" s="16" t="n">
        <v>44228</v>
      </c>
      <c r="E2148" s="4" t="n">
        <v>2021</v>
      </c>
      <c r="F2148" s="4" t="n">
        <v>2</v>
      </c>
      <c r="G2148" s="17" t="n">
        <v>210</v>
      </c>
      <c r="H2148" s="18" t="n">
        <f aca="false">G2148*$B$1/1000000</f>
        <v>0.0004629707505885</v>
      </c>
    </row>
    <row r="2149" customFormat="false" ht="15" hidden="false" customHeight="false" outlineLevel="0" collapsed="false">
      <c r="A2149" s="4" t="s">
        <v>207</v>
      </c>
      <c r="B2149" s="4" t="s">
        <v>208</v>
      </c>
      <c r="C2149" s="4" t="s">
        <v>74</v>
      </c>
      <c r="D2149" s="16" t="n">
        <v>44256</v>
      </c>
      <c r="E2149" s="4" t="n">
        <v>2021</v>
      </c>
      <c r="F2149" s="4" t="n">
        <v>3</v>
      </c>
      <c r="G2149" s="17" t="n">
        <v>241</v>
      </c>
      <c r="H2149" s="18" t="n">
        <f aca="false">G2149*$B$1/1000000</f>
        <v>0.00053131405186585</v>
      </c>
    </row>
    <row r="2150" customFormat="false" ht="15" hidden="false" customHeight="false" outlineLevel="0" collapsed="false">
      <c r="A2150" s="4" t="s">
        <v>207</v>
      </c>
      <c r="B2150" s="4" t="s">
        <v>208</v>
      </c>
      <c r="C2150" s="4" t="s">
        <v>74</v>
      </c>
      <c r="D2150" s="16" t="n">
        <v>44317</v>
      </c>
      <c r="E2150" s="4" t="n">
        <v>2021</v>
      </c>
      <c r="F2150" s="4" t="n">
        <v>5</v>
      </c>
      <c r="G2150" s="17" t="n">
        <v>390</v>
      </c>
      <c r="H2150" s="18" t="n">
        <f aca="false">G2150*$B$1/1000000</f>
        <v>0.0008598028225215</v>
      </c>
    </row>
    <row r="2151" customFormat="false" ht="15" hidden="false" customHeight="false" outlineLevel="0" collapsed="false">
      <c r="A2151" s="4" t="s">
        <v>207</v>
      </c>
      <c r="B2151" s="4" t="s">
        <v>208</v>
      </c>
      <c r="C2151" s="4" t="s">
        <v>74</v>
      </c>
      <c r="D2151" s="16" t="n">
        <v>44348</v>
      </c>
      <c r="E2151" s="4" t="n">
        <v>2021</v>
      </c>
      <c r="F2151" s="4" t="n">
        <v>6</v>
      </c>
      <c r="G2151" s="17" t="n">
        <v>394</v>
      </c>
      <c r="H2151" s="18" t="n">
        <f aca="false">G2151*$B$1/1000000</f>
        <v>0.0008686213130089</v>
      </c>
    </row>
    <row r="2152" customFormat="false" ht="15" hidden="false" customHeight="false" outlineLevel="0" collapsed="false">
      <c r="A2152" s="4" t="s">
        <v>207</v>
      </c>
      <c r="B2152" s="4" t="s">
        <v>208</v>
      </c>
      <c r="C2152" s="4" t="s">
        <v>74</v>
      </c>
      <c r="D2152" s="16" t="n">
        <v>44378</v>
      </c>
      <c r="E2152" s="4" t="n">
        <v>2021</v>
      </c>
      <c r="F2152" s="4" t="n">
        <v>7</v>
      </c>
      <c r="G2152" s="17" t="n">
        <v>60</v>
      </c>
      <c r="H2152" s="18" t="n">
        <f aca="false">G2152*$B$1/1000000</f>
        <v>0.000132277357311</v>
      </c>
    </row>
    <row r="2153" customFormat="false" ht="15" hidden="false" customHeight="false" outlineLevel="0" collapsed="false">
      <c r="A2153" s="4" t="s">
        <v>207</v>
      </c>
      <c r="B2153" s="4" t="s">
        <v>208</v>
      </c>
      <c r="C2153" s="4" t="s">
        <v>74</v>
      </c>
      <c r="D2153" s="16" t="n">
        <v>44409</v>
      </c>
      <c r="E2153" s="4" t="n">
        <v>2021</v>
      </c>
      <c r="F2153" s="4" t="n">
        <v>8</v>
      </c>
      <c r="G2153" s="17" t="n">
        <v>180</v>
      </c>
      <c r="H2153" s="18" t="n">
        <f aca="false">G2153*$B$1/1000000</f>
        <v>0.000396832071933</v>
      </c>
    </row>
    <row r="2154" customFormat="false" ht="15" hidden="false" customHeight="false" outlineLevel="0" collapsed="false">
      <c r="A2154" s="4" t="s">
        <v>207</v>
      </c>
      <c r="B2154" s="4" t="s">
        <v>208</v>
      </c>
      <c r="C2154" s="4" t="s">
        <v>74</v>
      </c>
      <c r="D2154" s="16" t="n">
        <v>44440</v>
      </c>
      <c r="E2154" s="4" t="n">
        <v>2021</v>
      </c>
      <c r="F2154" s="4" t="n">
        <v>9</v>
      </c>
      <c r="G2154" s="17" t="n">
        <v>801</v>
      </c>
      <c r="H2154" s="18" t="n">
        <f aca="false">G2154*$B$1/1000000</f>
        <v>0.00176590272010185</v>
      </c>
    </row>
    <row r="2155" customFormat="false" ht="15" hidden="false" customHeight="false" outlineLevel="0" collapsed="false">
      <c r="A2155" s="4" t="s">
        <v>207</v>
      </c>
      <c r="B2155" s="4" t="s">
        <v>208</v>
      </c>
      <c r="C2155" s="4" t="s">
        <v>74</v>
      </c>
      <c r="D2155" s="16" t="n">
        <v>44470</v>
      </c>
      <c r="E2155" s="4" t="n">
        <v>2021</v>
      </c>
      <c r="F2155" s="4" t="n">
        <v>10</v>
      </c>
      <c r="G2155" s="17" t="n">
        <v>382</v>
      </c>
      <c r="H2155" s="18" t="n">
        <f aca="false">G2155*$B$1/1000000</f>
        <v>0.0008421658415467</v>
      </c>
    </row>
    <row r="2156" customFormat="false" ht="15" hidden="false" customHeight="false" outlineLevel="0" collapsed="false">
      <c r="A2156" s="4" t="s">
        <v>207</v>
      </c>
      <c r="B2156" s="4" t="s">
        <v>208</v>
      </c>
      <c r="C2156" s="4" t="s">
        <v>74</v>
      </c>
      <c r="D2156" s="16" t="n">
        <v>44501</v>
      </c>
      <c r="E2156" s="4" t="n">
        <v>2021</v>
      </c>
      <c r="F2156" s="4" t="n">
        <v>11</v>
      </c>
      <c r="G2156" s="17" t="n">
        <v>6</v>
      </c>
      <c r="H2156" s="18" t="n">
        <f aca="false">G2156*$B$1/1000000</f>
        <v>1.32277357311E-005</v>
      </c>
    </row>
    <row r="2157" customFormat="false" ht="15" hidden="false" customHeight="false" outlineLevel="0" collapsed="false">
      <c r="A2157" s="4" t="s">
        <v>207</v>
      </c>
      <c r="B2157" s="4" t="s">
        <v>208</v>
      </c>
      <c r="C2157" s="4" t="s">
        <v>74</v>
      </c>
      <c r="D2157" s="16" t="n">
        <v>44593</v>
      </c>
      <c r="E2157" s="4" t="n">
        <v>2022</v>
      </c>
      <c r="F2157" s="4" t="n">
        <v>2</v>
      </c>
      <c r="G2157" s="17" t="n">
        <v>78920</v>
      </c>
      <c r="H2157" s="18" t="n">
        <f aca="false">G2157*$B$1/1000000</f>
        <v>0.173988817316402</v>
      </c>
    </row>
    <row r="2158" customFormat="false" ht="15" hidden="false" customHeight="false" outlineLevel="0" collapsed="false">
      <c r="A2158" s="4" t="s">
        <v>207</v>
      </c>
      <c r="B2158" s="4" t="s">
        <v>208</v>
      </c>
      <c r="C2158" s="4" t="s">
        <v>74</v>
      </c>
      <c r="D2158" s="16" t="n">
        <v>44621</v>
      </c>
      <c r="E2158" s="4" t="n">
        <v>2022</v>
      </c>
      <c r="F2158" s="4" t="n">
        <v>3</v>
      </c>
      <c r="G2158" s="17" t="n">
        <v>61</v>
      </c>
      <c r="H2158" s="18" t="n">
        <f aca="false">G2158*$B$1/1000000</f>
        <v>0.00013448197993285</v>
      </c>
    </row>
    <row r="2159" customFormat="false" ht="15" hidden="false" customHeight="false" outlineLevel="0" collapsed="false">
      <c r="A2159" s="4" t="s">
        <v>207</v>
      </c>
      <c r="B2159" s="4" t="s">
        <v>208</v>
      </c>
      <c r="C2159" s="4" t="s">
        <v>74</v>
      </c>
      <c r="D2159" s="16" t="n">
        <v>44682</v>
      </c>
      <c r="E2159" s="4" t="n">
        <v>2022</v>
      </c>
      <c r="F2159" s="4" t="n">
        <v>5</v>
      </c>
      <c r="G2159" s="17" t="n">
        <v>364</v>
      </c>
      <c r="H2159" s="18" t="n">
        <f aca="false">G2159*$B$1/1000000</f>
        <v>0.0008024826343534</v>
      </c>
    </row>
    <row r="2160" customFormat="false" ht="15" hidden="false" customHeight="false" outlineLevel="0" collapsed="false">
      <c r="A2160" s="4" t="s">
        <v>207</v>
      </c>
      <c r="B2160" s="4" t="s">
        <v>208</v>
      </c>
      <c r="C2160" s="4" t="s">
        <v>74</v>
      </c>
      <c r="D2160" s="16" t="n">
        <v>44713</v>
      </c>
      <c r="E2160" s="4" t="n">
        <v>2022</v>
      </c>
      <c r="F2160" s="4" t="n">
        <v>6</v>
      </c>
      <c r="G2160" s="17" t="n">
        <v>330</v>
      </c>
      <c r="H2160" s="18" t="n">
        <f aca="false">G2160*$B$1/1000000</f>
        <v>0.0007275254652105</v>
      </c>
    </row>
    <row r="2161" customFormat="false" ht="15" hidden="false" customHeight="false" outlineLevel="0" collapsed="false">
      <c r="A2161" s="4" t="s">
        <v>207</v>
      </c>
      <c r="B2161" s="4" t="s">
        <v>208</v>
      </c>
      <c r="C2161" s="4" t="s">
        <v>74</v>
      </c>
      <c r="D2161" s="16" t="n">
        <v>44774</v>
      </c>
      <c r="E2161" s="4" t="n">
        <v>2022</v>
      </c>
      <c r="F2161" s="4" t="n">
        <v>8</v>
      </c>
      <c r="G2161" s="17" t="n">
        <v>8</v>
      </c>
      <c r="H2161" s="18" t="n">
        <f aca="false">G2161*$B$1/1000000</f>
        <v>1.76369809748E-005</v>
      </c>
    </row>
    <row r="2162" customFormat="false" ht="15" hidden="false" customHeight="false" outlineLevel="0" collapsed="false">
      <c r="A2162" s="4" t="s">
        <v>207</v>
      </c>
      <c r="B2162" s="4" t="s">
        <v>208</v>
      </c>
      <c r="C2162" s="4" t="s">
        <v>74</v>
      </c>
      <c r="D2162" s="16" t="n">
        <v>44805</v>
      </c>
      <c r="E2162" s="4" t="n">
        <v>2022</v>
      </c>
      <c r="F2162" s="4" t="n">
        <v>9</v>
      </c>
      <c r="G2162" s="17" t="n">
        <v>311</v>
      </c>
      <c r="H2162" s="18" t="n">
        <f aca="false">G2162*$B$1/1000000</f>
        <v>0.00068563763539535</v>
      </c>
    </row>
    <row r="2163" customFormat="false" ht="15" hidden="false" customHeight="false" outlineLevel="0" collapsed="false">
      <c r="A2163" s="4" t="s">
        <v>207</v>
      </c>
      <c r="B2163" s="4" t="s">
        <v>208</v>
      </c>
      <c r="C2163" s="4" t="s">
        <v>74</v>
      </c>
      <c r="D2163" s="16" t="n">
        <v>44835</v>
      </c>
      <c r="E2163" s="4" t="n">
        <v>2022</v>
      </c>
      <c r="F2163" s="4" t="n">
        <v>10</v>
      </c>
      <c r="G2163" s="17" t="n">
        <v>2400</v>
      </c>
      <c r="H2163" s="18" t="n">
        <f aca="false">G2163*$B$1/1000000</f>
        <v>0.00529109429244</v>
      </c>
    </row>
    <row r="2164" customFormat="false" ht="15" hidden="false" customHeight="false" outlineLevel="0" collapsed="false">
      <c r="A2164" s="4" t="s">
        <v>207</v>
      </c>
      <c r="B2164" s="4" t="s">
        <v>208</v>
      </c>
      <c r="C2164" s="4" t="s">
        <v>74</v>
      </c>
      <c r="D2164" s="16" t="n">
        <v>44866</v>
      </c>
      <c r="E2164" s="4" t="n">
        <v>2022</v>
      </c>
      <c r="F2164" s="4" t="n">
        <v>11</v>
      </c>
      <c r="G2164" s="17" t="n">
        <v>3536</v>
      </c>
      <c r="H2164" s="18" t="n">
        <f aca="false">G2164*$B$1/1000000</f>
        <v>0.0077955455908616</v>
      </c>
    </row>
    <row r="2165" customFormat="false" ht="15" hidden="false" customHeight="false" outlineLevel="0" collapsed="false">
      <c r="A2165" s="4" t="s">
        <v>207</v>
      </c>
      <c r="B2165" s="4" t="s">
        <v>208</v>
      </c>
      <c r="C2165" s="4" t="s">
        <v>74</v>
      </c>
      <c r="D2165" s="16" t="n">
        <v>44896</v>
      </c>
      <c r="E2165" s="4" t="n">
        <v>2022</v>
      </c>
      <c r="F2165" s="4" t="n">
        <v>12</v>
      </c>
      <c r="G2165" s="17" t="n">
        <v>400</v>
      </c>
      <c r="H2165" s="18" t="n">
        <f aca="false">G2165*$B$1/1000000</f>
        <v>0.00088184904874</v>
      </c>
    </row>
    <row r="2166" customFormat="false" ht="15" hidden="false" customHeight="false" outlineLevel="0" collapsed="false">
      <c r="A2166" s="4" t="s">
        <v>207</v>
      </c>
      <c r="B2166" s="4" t="s">
        <v>208</v>
      </c>
      <c r="C2166" s="4" t="s">
        <v>74</v>
      </c>
      <c r="D2166" s="16" t="n">
        <v>44958</v>
      </c>
      <c r="E2166" s="4" t="n">
        <v>2023</v>
      </c>
      <c r="F2166" s="4" t="n">
        <v>2</v>
      </c>
      <c r="G2166" s="17" t="n">
        <v>85</v>
      </c>
      <c r="H2166" s="18" t="n">
        <f aca="false">G2166*$B$1/1000000</f>
        <v>0.00018739292285725</v>
      </c>
    </row>
    <row r="2167" customFormat="false" ht="15" hidden="false" customHeight="false" outlineLevel="0" collapsed="false">
      <c r="A2167" s="4" t="s">
        <v>207</v>
      </c>
      <c r="B2167" s="4" t="s">
        <v>208</v>
      </c>
      <c r="C2167" s="4" t="s">
        <v>74</v>
      </c>
      <c r="D2167" s="16" t="n">
        <v>44986</v>
      </c>
      <c r="E2167" s="4" t="n">
        <v>2023</v>
      </c>
      <c r="F2167" s="4" t="n">
        <v>3</v>
      </c>
      <c r="G2167" s="17" t="n">
        <v>220</v>
      </c>
      <c r="H2167" s="18" t="n">
        <f aca="false">G2167*$B$1/1000000</f>
        <v>0.000485016976807</v>
      </c>
    </row>
    <row r="2168" customFormat="false" ht="15" hidden="false" customHeight="false" outlineLevel="0" collapsed="false">
      <c r="A2168" s="4" t="s">
        <v>207</v>
      </c>
      <c r="B2168" s="4" t="s">
        <v>208</v>
      </c>
      <c r="C2168" s="4" t="s">
        <v>74</v>
      </c>
      <c r="D2168" s="16" t="n">
        <v>45017</v>
      </c>
      <c r="E2168" s="4" t="n">
        <v>2023</v>
      </c>
      <c r="F2168" s="4" t="n">
        <v>4</v>
      </c>
      <c r="G2168" s="17" t="n">
        <v>480</v>
      </c>
      <c r="H2168" s="18" t="n">
        <f aca="false">G2168*$B$1/1000000</f>
        <v>0.001058218858488</v>
      </c>
    </row>
    <row r="2169" customFormat="false" ht="15" hidden="false" customHeight="false" outlineLevel="0" collapsed="false">
      <c r="A2169" s="4" t="s">
        <v>207</v>
      </c>
      <c r="B2169" s="4" t="s">
        <v>208</v>
      </c>
      <c r="C2169" s="4" t="s">
        <v>74</v>
      </c>
      <c r="D2169" s="16" t="n">
        <v>45047</v>
      </c>
      <c r="E2169" s="4" t="n">
        <v>2023</v>
      </c>
      <c r="F2169" s="4" t="n">
        <v>5</v>
      </c>
      <c r="G2169" s="17" t="n">
        <v>3200</v>
      </c>
      <c r="H2169" s="18" t="n">
        <f aca="false">G2169*$B$1/1000000</f>
        <v>0.00705479238992</v>
      </c>
    </row>
    <row r="2170" customFormat="false" ht="15" hidden="false" customHeight="false" outlineLevel="0" collapsed="false">
      <c r="A2170" s="4" t="s">
        <v>207</v>
      </c>
      <c r="B2170" s="4" t="s">
        <v>208</v>
      </c>
      <c r="C2170" s="4" t="s">
        <v>74</v>
      </c>
      <c r="D2170" s="16" t="n">
        <v>45078</v>
      </c>
      <c r="E2170" s="4" t="n">
        <v>2023</v>
      </c>
      <c r="F2170" s="4" t="n">
        <v>6</v>
      </c>
      <c r="G2170" s="17" t="n">
        <v>4010461</v>
      </c>
      <c r="H2170" s="18" t="n">
        <f aca="false">G2170*$B$1/1000000</f>
        <v>8.84155304464717</v>
      </c>
    </row>
    <row r="2171" customFormat="false" ht="15" hidden="false" customHeight="false" outlineLevel="0" collapsed="false">
      <c r="A2171" s="4" t="s">
        <v>207</v>
      </c>
      <c r="B2171" s="4" t="s">
        <v>208</v>
      </c>
      <c r="C2171" s="4" t="s">
        <v>74</v>
      </c>
      <c r="D2171" s="16" t="n">
        <v>45139</v>
      </c>
      <c r="E2171" s="4" t="n">
        <v>2023</v>
      </c>
      <c r="F2171" s="4" t="n">
        <v>8</v>
      </c>
      <c r="G2171" s="17" t="n">
        <v>3997784</v>
      </c>
      <c r="H2171" s="18" t="n">
        <f aca="false">G2171*$B$1/1000000</f>
        <v>8.81360504366998</v>
      </c>
    </row>
    <row r="2172" customFormat="false" ht="15" hidden="false" customHeight="false" outlineLevel="0" collapsed="false">
      <c r="A2172" s="4" t="s">
        <v>207</v>
      </c>
      <c r="B2172" s="4" t="s">
        <v>208</v>
      </c>
      <c r="C2172" s="4" t="s">
        <v>74</v>
      </c>
      <c r="D2172" s="16" t="n">
        <v>45170</v>
      </c>
      <c r="E2172" s="4" t="n">
        <v>2023</v>
      </c>
      <c r="F2172" s="4" t="n">
        <v>9</v>
      </c>
      <c r="G2172" s="17" t="n">
        <v>3154047</v>
      </c>
      <c r="H2172" s="18" t="n">
        <f aca="false">G2172*$B$1/1000000</f>
        <v>6.95348336657813</v>
      </c>
    </row>
    <row r="2173" customFormat="false" ht="15" hidden="false" customHeight="false" outlineLevel="0" collapsed="false">
      <c r="A2173" s="4" t="s">
        <v>207</v>
      </c>
      <c r="B2173" s="4" t="s">
        <v>208</v>
      </c>
      <c r="C2173" s="4" t="s">
        <v>74</v>
      </c>
      <c r="D2173" s="16" t="n">
        <v>45200</v>
      </c>
      <c r="E2173" s="4" t="n">
        <v>2023</v>
      </c>
      <c r="F2173" s="4" t="n">
        <v>10</v>
      </c>
      <c r="G2173" s="17" t="n">
        <v>75</v>
      </c>
      <c r="H2173" s="18" t="n">
        <f aca="false">G2173*$B$1/1000000</f>
        <v>0.00016534669663875</v>
      </c>
    </row>
    <row r="2174" customFormat="false" ht="15" hidden="false" customHeight="false" outlineLevel="0" collapsed="false">
      <c r="A2174" s="4" t="s">
        <v>207</v>
      </c>
      <c r="B2174" s="4" t="s">
        <v>208</v>
      </c>
      <c r="C2174" s="4" t="s">
        <v>74</v>
      </c>
      <c r="D2174" s="16" t="n">
        <v>45231</v>
      </c>
      <c r="E2174" s="4" t="n">
        <v>2023</v>
      </c>
      <c r="F2174" s="4" t="n">
        <v>11</v>
      </c>
      <c r="G2174" s="17" t="n">
        <v>500</v>
      </c>
      <c r="H2174" s="18" t="n">
        <f aca="false">G2174*$B$1/1000000</f>
        <v>0.001102311310925</v>
      </c>
    </row>
    <row r="2175" customFormat="false" ht="15" hidden="false" customHeight="false" outlineLevel="0" collapsed="false">
      <c r="A2175" s="4" t="s">
        <v>207</v>
      </c>
      <c r="B2175" s="4" t="s">
        <v>208</v>
      </c>
      <c r="C2175" s="4" t="s">
        <v>74</v>
      </c>
      <c r="D2175" s="16" t="n">
        <v>45261</v>
      </c>
      <c r="E2175" s="4" t="n">
        <v>2023</v>
      </c>
      <c r="F2175" s="4" t="n">
        <v>12</v>
      </c>
      <c r="G2175" s="17" t="n">
        <v>500</v>
      </c>
      <c r="H2175" s="18" t="n">
        <f aca="false">G2175*$B$1/1000000</f>
        <v>0.001102311310925</v>
      </c>
    </row>
    <row r="2176" customFormat="false" ht="15" hidden="false" customHeight="false" outlineLevel="0" collapsed="false">
      <c r="A2176" s="4" t="s">
        <v>207</v>
      </c>
      <c r="B2176" s="4" t="s">
        <v>208</v>
      </c>
      <c r="C2176" s="4" t="s">
        <v>74</v>
      </c>
      <c r="D2176" s="16" t="n">
        <v>45292</v>
      </c>
      <c r="E2176" s="4" t="n">
        <v>2024</v>
      </c>
      <c r="F2176" s="4" t="n">
        <v>1</v>
      </c>
      <c r="G2176" s="17" t="n">
        <v>2458311</v>
      </c>
      <c r="H2176" s="18" t="n">
        <f aca="false">G2176*$B$1/1000000</f>
        <v>5.4196480421427</v>
      </c>
    </row>
    <row r="2177" customFormat="false" ht="15" hidden="false" customHeight="false" outlineLevel="0" collapsed="false">
      <c r="A2177" s="4" t="s">
        <v>207</v>
      </c>
      <c r="B2177" s="4" t="s">
        <v>208</v>
      </c>
      <c r="C2177" s="4" t="s">
        <v>74</v>
      </c>
      <c r="D2177" s="16" t="n">
        <v>45323</v>
      </c>
      <c r="E2177" s="4" t="n">
        <v>2024</v>
      </c>
      <c r="F2177" s="4" t="n">
        <v>2</v>
      </c>
      <c r="G2177" s="17" t="n">
        <v>500</v>
      </c>
      <c r="H2177" s="18" t="n">
        <f aca="false">G2177*$B$1/1000000</f>
        <v>0.001102311310925</v>
      </c>
    </row>
    <row r="2178" customFormat="false" ht="15" hidden="false" customHeight="false" outlineLevel="0" collapsed="false">
      <c r="A2178" s="4" t="s">
        <v>207</v>
      </c>
      <c r="B2178" s="4" t="s">
        <v>208</v>
      </c>
      <c r="C2178" s="4" t="s">
        <v>74</v>
      </c>
      <c r="D2178" s="16" t="n">
        <v>45352</v>
      </c>
      <c r="E2178" s="4" t="n">
        <v>2024</v>
      </c>
      <c r="F2178" s="4" t="n">
        <v>3</v>
      </c>
      <c r="G2178" s="17" t="n">
        <v>19734983</v>
      </c>
      <c r="H2178" s="18" t="n">
        <f aca="false">G2178*$B$1/1000000</f>
        <v>43.5081899636252</v>
      </c>
    </row>
    <row r="2179" customFormat="false" ht="15" hidden="false" customHeight="false" outlineLevel="0" collapsed="false">
      <c r="A2179" s="4" t="s">
        <v>207</v>
      </c>
      <c r="B2179" s="4" t="s">
        <v>208</v>
      </c>
      <c r="C2179" s="4" t="s">
        <v>74</v>
      </c>
      <c r="D2179" s="16" t="n">
        <v>45383</v>
      </c>
      <c r="E2179" s="4" t="n">
        <v>2024</v>
      </c>
      <c r="F2179" s="4" t="n">
        <v>4</v>
      </c>
      <c r="G2179" s="17" t="n">
        <v>2467253</v>
      </c>
      <c r="H2179" s="18" t="n">
        <f aca="false">G2179*$B$1/1000000</f>
        <v>5.43936177762728</v>
      </c>
    </row>
    <row r="2180" customFormat="false" ht="15" hidden="false" customHeight="false" outlineLevel="0" collapsed="false">
      <c r="A2180" s="4" t="s">
        <v>207</v>
      </c>
      <c r="B2180" s="4" t="s">
        <v>208</v>
      </c>
      <c r="C2180" s="4" t="s">
        <v>74</v>
      </c>
      <c r="D2180" s="16" t="n">
        <v>45413</v>
      </c>
      <c r="E2180" s="4" t="n">
        <v>2024</v>
      </c>
      <c r="F2180" s="4" t="n">
        <v>5</v>
      </c>
      <c r="G2180" s="17" t="n">
        <v>14919510</v>
      </c>
      <c r="H2180" s="18" t="n">
        <f aca="false">G2180*$B$1/1000000</f>
        <v>32.8918892529173</v>
      </c>
    </row>
    <row r="2181" customFormat="false" ht="15" hidden="false" customHeight="false" outlineLevel="0" collapsed="false">
      <c r="A2181" s="4" t="s">
        <v>207</v>
      </c>
      <c r="B2181" s="4" t="s">
        <v>208</v>
      </c>
      <c r="C2181" s="4" t="s">
        <v>74</v>
      </c>
      <c r="D2181" s="16" t="n">
        <v>45444</v>
      </c>
      <c r="E2181" s="4" t="n">
        <v>2024</v>
      </c>
      <c r="F2181" s="4" t="n">
        <v>6</v>
      </c>
      <c r="G2181" s="17" t="n">
        <v>3876</v>
      </c>
      <c r="H2181" s="18" t="n">
        <f aca="false">G2181*$B$1/1000000</f>
        <v>0.0085451172822906</v>
      </c>
    </row>
    <row r="2182" customFormat="false" ht="15" hidden="false" customHeight="false" outlineLevel="0" collapsed="false">
      <c r="A2182" s="4" t="s">
        <v>207</v>
      </c>
      <c r="B2182" s="4" t="s">
        <v>208</v>
      </c>
      <c r="C2182" s="4" t="s">
        <v>74</v>
      </c>
      <c r="D2182" s="16" t="n">
        <v>45474</v>
      </c>
      <c r="E2182" s="4" t="n">
        <v>2024</v>
      </c>
      <c r="F2182" s="4" t="n">
        <v>7</v>
      </c>
      <c r="G2182" s="17" t="n">
        <v>13920153</v>
      </c>
      <c r="H2182" s="18" t="n">
        <f aca="false">G2182*$B$1/1000000</f>
        <v>30.6886842034131</v>
      </c>
    </row>
    <row r="2183" customFormat="false" ht="15" hidden="false" customHeight="false" outlineLevel="0" collapsed="false">
      <c r="A2183" s="4" t="s">
        <v>207</v>
      </c>
      <c r="B2183" s="4" t="s">
        <v>208</v>
      </c>
      <c r="C2183" s="4" t="s">
        <v>74</v>
      </c>
      <c r="D2183" s="16" t="n">
        <v>45505</v>
      </c>
      <c r="E2183" s="4" t="n">
        <v>2024</v>
      </c>
      <c r="F2183" s="4" t="n">
        <v>8</v>
      </c>
      <c r="G2183" s="17" t="n">
        <v>213899</v>
      </c>
      <c r="H2183" s="18" t="n">
        <f aca="false">G2183*$B$1/1000000</f>
        <v>0.471566574191093</v>
      </c>
    </row>
    <row r="2184" customFormat="false" ht="15" hidden="false" customHeight="false" outlineLevel="0" collapsed="false">
      <c r="A2184" s="4" t="s">
        <v>207</v>
      </c>
      <c r="B2184" s="4" t="s">
        <v>208</v>
      </c>
      <c r="C2184" s="4" t="s">
        <v>74</v>
      </c>
      <c r="D2184" s="16" t="n">
        <v>45536</v>
      </c>
      <c r="E2184" s="4" t="n">
        <v>2024</v>
      </c>
      <c r="F2184" s="4" t="n">
        <v>9</v>
      </c>
      <c r="G2184" s="17" t="n">
        <v>15159505</v>
      </c>
      <c r="H2184" s="18" t="n">
        <f aca="false">G2184*$B$1/1000000</f>
        <v>33.4209876590482</v>
      </c>
    </row>
    <row r="2185" customFormat="false" ht="15" hidden="false" customHeight="false" outlineLevel="0" collapsed="false">
      <c r="A2185" s="4" t="s">
        <v>207</v>
      </c>
      <c r="B2185" s="4" t="s">
        <v>208</v>
      </c>
      <c r="C2185" s="4" t="s">
        <v>74</v>
      </c>
      <c r="D2185" s="16" t="n">
        <v>45566</v>
      </c>
      <c r="E2185" s="4" t="n">
        <v>2024</v>
      </c>
      <c r="F2185" s="4" t="n">
        <v>10</v>
      </c>
      <c r="G2185" s="17" t="n">
        <v>15</v>
      </c>
      <c r="H2185" s="18" t="n">
        <f aca="false">G2185*$B$1/1000000</f>
        <v>3.306933932775E-005</v>
      </c>
    </row>
    <row r="2186" customFormat="false" ht="15" hidden="false" customHeight="false" outlineLevel="0" collapsed="false">
      <c r="A2186" s="4" t="s">
        <v>207</v>
      </c>
      <c r="B2186" s="4" t="s">
        <v>208</v>
      </c>
      <c r="C2186" s="4" t="s">
        <v>74</v>
      </c>
      <c r="D2186" s="16" t="n">
        <v>45597</v>
      </c>
      <c r="E2186" s="4" t="n">
        <v>2024</v>
      </c>
      <c r="F2186" s="4" t="n">
        <v>11</v>
      </c>
      <c r="G2186" s="17" t="n">
        <v>15981667</v>
      </c>
      <c r="H2186" s="18" t="n">
        <f aca="false">G2186*$B$1/1000000</f>
        <v>35.2335446030736</v>
      </c>
    </row>
    <row r="2187" customFormat="false" ht="15" hidden="false" customHeight="false" outlineLevel="0" collapsed="false">
      <c r="A2187" s="4" t="s">
        <v>207</v>
      </c>
      <c r="B2187" s="4" t="s">
        <v>208</v>
      </c>
      <c r="C2187" s="4" t="s">
        <v>74</v>
      </c>
      <c r="D2187" s="16" t="n">
        <v>45627</v>
      </c>
      <c r="E2187" s="4" t="n">
        <v>2024</v>
      </c>
      <c r="F2187" s="4" t="n">
        <v>12</v>
      </c>
      <c r="G2187" s="17" t="n">
        <v>15240526</v>
      </c>
      <c r="H2187" s="18" t="n">
        <f aca="false">G2187*$B$1/1000000</f>
        <v>33.5996083884931</v>
      </c>
    </row>
    <row r="2188" customFormat="false" ht="15" hidden="false" customHeight="false" outlineLevel="0" collapsed="false">
      <c r="A2188" s="4" t="s">
        <v>207</v>
      </c>
      <c r="B2188" s="4" t="s">
        <v>208</v>
      </c>
      <c r="C2188" s="4" t="s">
        <v>74</v>
      </c>
      <c r="D2188" s="16" t="n">
        <v>45658</v>
      </c>
      <c r="E2188" s="4" t="n">
        <v>2025</v>
      </c>
      <c r="F2188" s="4" t="n">
        <v>1</v>
      </c>
      <c r="G2188" s="17" t="n">
        <v>18406287</v>
      </c>
      <c r="H2188" s="18" t="n">
        <f aca="false">G2188*$B$1/1000000</f>
        <v>40.5789167044636</v>
      </c>
    </row>
    <row r="2189" customFormat="false" ht="15" hidden="false" customHeight="false" outlineLevel="0" collapsed="false">
      <c r="A2189" s="4" t="s">
        <v>207</v>
      </c>
      <c r="B2189" s="4" t="s">
        <v>208</v>
      </c>
      <c r="C2189" s="4" t="s">
        <v>74</v>
      </c>
      <c r="D2189" s="16" t="n">
        <v>45689</v>
      </c>
      <c r="E2189" s="4" t="n">
        <v>2025</v>
      </c>
      <c r="F2189" s="4" t="n">
        <v>2</v>
      </c>
      <c r="G2189" s="17" t="n">
        <v>15174383</v>
      </c>
      <c r="H2189" s="18" t="n">
        <f aca="false">G2189*$B$1/1000000</f>
        <v>33.4537880344161</v>
      </c>
    </row>
    <row r="2190" customFormat="false" ht="15" hidden="false" customHeight="false" outlineLevel="0" collapsed="false">
      <c r="A2190" s="4" t="s">
        <v>207</v>
      </c>
      <c r="B2190" s="4" t="s">
        <v>208</v>
      </c>
      <c r="C2190" s="4" t="s">
        <v>74</v>
      </c>
      <c r="D2190" s="16" t="n">
        <v>45717</v>
      </c>
      <c r="E2190" s="4" t="n">
        <v>2025</v>
      </c>
      <c r="F2190" s="4" t="n">
        <v>3</v>
      </c>
      <c r="G2190" s="17" t="n">
        <v>18479873</v>
      </c>
      <c r="H2190" s="18" t="n">
        <f aca="false">G2190*$B$1/1000000</f>
        <v>40.741146064715</v>
      </c>
    </row>
    <row r="2191" customFormat="false" ht="15" hidden="false" customHeight="false" outlineLevel="0" collapsed="false">
      <c r="A2191" s="4" t="s">
        <v>207</v>
      </c>
      <c r="B2191" s="4" t="s">
        <v>208</v>
      </c>
      <c r="C2191" s="4" t="s">
        <v>74</v>
      </c>
      <c r="D2191" s="16" t="n">
        <v>45778</v>
      </c>
      <c r="E2191" s="4" t="n">
        <v>2025</v>
      </c>
      <c r="F2191" s="4" t="n">
        <v>5</v>
      </c>
      <c r="G2191" s="17" t="n">
        <v>1637117</v>
      </c>
      <c r="H2191" s="18" t="n">
        <f aca="false">G2191*$B$1/1000000</f>
        <v>3.60922517281521</v>
      </c>
    </row>
    <row r="2192" customFormat="false" ht="15" hidden="false" customHeight="false" outlineLevel="0" collapsed="false">
      <c r="A2192" s="4" t="s">
        <v>207</v>
      </c>
      <c r="B2192" s="4" t="s">
        <v>208</v>
      </c>
      <c r="C2192" s="4" t="s">
        <v>74</v>
      </c>
      <c r="D2192" s="16" t="n">
        <v>45809</v>
      </c>
      <c r="E2192" s="4" t="n">
        <v>2025</v>
      </c>
      <c r="F2192" s="4" t="n">
        <v>6</v>
      </c>
      <c r="G2192" s="17" t="n">
        <v>3963</v>
      </c>
      <c r="H2192" s="18" t="n">
        <f aca="false">G2192*$B$1/1000000</f>
        <v>0.00873691945039155</v>
      </c>
    </row>
    <row r="2193" customFormat="false" ht="15" hidden="false" customHeight="false" outlineLevel="0" collapsed="false">
      <c r="A2193" s="4" t="s">
        <v>207</v>
      </c>
      <c r="B2193" s="4" t="s">
        <v>208</v>
      </c>
      <c r="C2193" s="4" t="s">
        <v>74</v>
      </c>
      <c r="D2193" s="16" t="n">
        <v>45870</v>
      </c>
      <c r="E2193" s="4" t="n">
        <v>2025</v>
      </c>
      <c r="F2193" s="4" t="n">
        <v>8</v>
      </c>
      <c r="G2193" s="17" t="n">
        <v>3940</v>
      </c>
      <c r="H2193" s="18" t="n">
        <f aca="false">G2193*$B$1/1000000</f>
        <v>0.008686213130089</v>
      </c>
    </row>
    <row r="2194" customFormat="false" ht="15" hidden="false" customHeight="false" outlineLevel="0" collapsed="false">
      <c r="A2194" s="4" t="s">
        <v>207</v>
      </c>
      <c r="B2194" s="4" t="s">
        <v>208</v>
      </c>
      <c r="C2194" s="4" t="s">
        <v>74</v>
      </c>
      <c r="D2194" s="16" t="n">
        <v>45901</v>
      </c>
      <c r="E2194" s="4" t="n">
        <v>2025</v>
      </c>
      <c r="F2194" s="4" t="n">
        <v>9</v>
      </c>
      <c r="G2194" s="17" t="n">
        <v>565</v>
      </c>
      <c r="H2194" s="18" t="n">
        <f aca="false">G2194*$B$1/1000000</f>
        <v>0.00124561178134525</v>
      </c>
    </row>
    <row r="2195" customFormat="false" ht="15" hidden="false" customHeight="false" outlineLevel="0" collapsed="false">
      <c r="A2195" s="4" t="s">
        <v>207</v>
      </c>
      <c r="B2195" s="4" t="s">
        <v>208</v>
      </c>
      <c r="C2195" s="4" t="s">
        <v>74</v>
      </c>
      <c r="D2195" s="16" t="n">
        <v>46023</v>
      </c>
      <c r="E2195" s="4" t="n">
        <v>2026</v>
      </c>
      <c r="F2195" s="4" t="n">
        <v>1</v>
      </c>
      <c r="G2195" s="17" t="n">
        <v>6975543</v>
      </c>
      <c r="H2195" s="18" t="n">
        <f aca="false">G2195*$B$1/1000000</f>
        <v>15.3784398974874</v>
      </c>
    </row>
    <row r="2196" customFormat="false" ht="15" hidden="false" customHeight="false" outlineLevel="0" collapsed="false">
      <c r="A2196" s="4" t="s">
        <v>207</v>
      </c>
      <c r="B2196" s="4" t="s">
        <v>208</v>
      </c>
      <c r="C2196" s="4" t="s">
        <v>74</v>
      </c>
      <c r="D2196" s="16" t="n">
        <v>46143</v>
      </c>
      <c r="E2196" s="4" t="n">
        <v>2026</v>
      </c>
      <c r="F2196" s="4" t="n">
        <v>5</v>
      </c>
      <c r="G2196" s="17" t="n">
        <v>219</v>
      </c>
      <c r="H2196" s="18" t="n">
        <f aca="false">G2196*$B$1/1000000</f>
        <v>0.00048281235418515</v>
      </c>
    </row>
    <row r="2197" customFormat="false" ht="15" hidden="false" customHeight="false" outlineLevel="0" collapsed="false">
      <c r="A2197" s="4" t="s">
        <v>207</v>
      </c>
      <c r="B2197" s="4" t="s">
        <v>208</v>
      </c>
      <c r="C2197" s="4" t="s">
        <v>74</v>
      </c>
      <c r="D2197" s="16" t="n">
        <v>46174</v>
      </c>
      <c r="E2197" s="4" t="n">
        <v>2026</v>
      </c>
      <c r="F2197" s="4" t="n">
        <v>6</v>
      </c>
      <c r="G2197" s="17" t="n">
        <v>8377628</v>
      </c>
      <c r="H2197" s="18" t="n">
        <f aca="false">G2197*$B$1/1000000</f>
        <v>18.469508206244</v>
      </c>
    </row>
    <row r="2198" customFormat="false" ht="15" hidden="false" customHeight="false" outlineLevel="0" collapsed="false">
      <c r="A2198" s="4" t="s">
        <v>207</v>
      </c>
      <c r="B2198" s="4" t="s">
        <v>208</v>
      </c>
      <c r="C2198" s="4" t="s">
        <v>74</v>
      </c>
      <c r="D2198" s="16" t="n">
        <v>46235</v>
      </c>
      <c r="E2198" s="4" t="n">
        <v>2026</v>
      </c>
      <c r="F2198" s="4" t="n">
        <v>8</v>
      </c>
      <c r="G2198" s="17" t="n">
        <v>8848958</v>
      </c>
      <c r="H2198" s="18" t="n">
        <f aca="false">G2198*$B$1/1000000</f>
        <v>19.5086129866005</v>
      </c>
    </row>
    <row r="2199" customFormat="false" ht="15" hidden="false" customHeight="false" outlineLevel="0" collapsed="false">
      <c r="A2199" s="4" t="s">
        <v>207</v>
      </c>
      <c r="B2199" s="4" t="s">
        <v>208</v>
      </c>
      <c r="C2199" s="4" t="s">
        <v>190</v>
      </c>
      <c r="D2199" s="16" t="n">
        <v>46204</v>
      </c>
      <c r="E2199" s="4" t="n">
        <v>2026</v>
      </c>
      <c r="F2199" s="4" t="n">
        <v>7</v>
      </c>
      <c r="G2199" s="17" t="n">
        <v>41960</v>
      </c>
      <c r="H2199" s="18" t="n">
        <f aca="false">G2199*$B$1/1000000</f>
        <v>0.092505965212826</v>
      </c>
    </row>
    <row r="2200" customFormat="false" ht="15" hidden="false" customHeight="false" outlineLevel="0" collapsed="false">
      <c r="A2200" s="4" t="s">
        <v>207</v>
      </c>
      <c r="B2200" s="4" t="s">
        <v>208</v>
      </c>
      <c r="C2200" s="4" t="s">
        <v>75</v>
      </c>
      <c r="D2200" s="16" t="n">
        <v>44166</v>
      </c>
      <c r="E2200" s="4" t="n">
        <v>2020</v>
      </c>
      <c r="F2200" s="4" t="n">
        <v>12</v>
      </c>
      <c r="G2200" s="17" t="n">
        <v>1274</v>
      </c>
      <c r="H2200" s="18" t="n">
        <f aca="false">G2200*$B$1/1000000</f>
        <v>0.0028086892202369</v>
      </c>
    </row>
    <row r="2201" customFormat="false" ht="15" hidden="false" customHeight="false" outlineLevel="0" collapsed="false">
      <c r="A2201" s="4" t="s">
        <v>207</v>
      </c>
      <c r="B2201" s="4" t="s">
        <v>208</v>
      </c>
      <c r="C2201" s="4" t="s">
        <v>75</v>
      </c>
      <c r="D2201" s="16" t="n">
        <v>44197</v>
      </c>
      <c r="E2201" s="4" t="n">
        <v>2021</v>
      </c>
      <c r="F2201" s="4" t="n">
        <v>1</v>
      </c>
      <c r="G2201" s="17" t="n">
        <v>1940</v>
      </c>
      <c r="H2201" s="18" t="n">
        <f aca="false">G2201*$B$1/1000000</f>
        <v>0.004276967886389</v>
      </c>
    </row>
    <row r="2202" customFormat="false" ht="15" hidden="false" customHeight="false" outlineLevel="0" collapsed="false">
      <c r="A2202" s="4" t="s">
        <v>207</v>
      </c>
      <c r="B2202" s="4" t="s">
        <v>208</v>
      </c>
      <c r="C2202" s="4" t="s">
        <v>75</v>
      </c>
      <c r="D2202" s="16" t="n">
        <v>44228</v>
      </c>
      <c r="E2202" s="4" t="n">
        <v>2021</v>
      </c>
      <c r="F2202" s="4" t="n">
        <v>2</v>
      </c>
      <c r="G2202" s="17" t="n">
        <v>3621</v>
      </c>
      <c r="H2202" s="18" t="n">
        <f aca="false">G2202*$B$1/1000000</f>
        <v>0.00798293851371885</v>
      </c>
    </row>
    <row r="2203" customFormat="false" ht="15" hidden="false" customHeight="false" outlineLevel="0" collapsed="false">
      <c r="A2203" s="4" t="s">
        <v>207</v>
      </c>
      <c r="B2203" s="4" t="s">
        <v>208</v>
      </c>
      <c r="C2203" s="4" t="s">
        <v>75</v>
      </c>
      <c r="D2203" s="16" t="n">
        <v>44256</v>
      </c>
      <c r="E2203" s="4" t="n">
        <v>2021</v>
      </c>
      <c r="F2203" s="4" t="n">
        <v>3</v>
      </c>
      <c r="G2203" s="17" t="n">
        <v>17081</v>
      </c>
      <c r="H2203" s="18" t="n">
        <f aca="false">G2203*$B$1/1000000</f>
        <v>0.0376571590038199</v>
      </c>
    </row>
    <row r="2204" customFormat="false" ht="15" hidden="false" customHeight="false" outlineLevel="0" collapsed="false">
      <c r="A2204" s="4" t="s">
        <v>207</v>
      </c>
      <c r="B2204" s="4" t="s">
        <v>208</v>
      </c>
      <c r="C2204" s="4" t="s">
        <v>75</v>
      </c>
      <c r="D2204" s="16" t="n">
        <v>44287</v>
      </c>
      <c r="E2204" s="4" t="n">
        <v>2021</v>
      </c>
      <c r="F2204" s="4" t="n">
        <v>4</v>
      </c>
      <c r="G2204" s="17" t="n">
        <v>3910</v>
      </c>
      <c r="H2204" s="18" t="n">
        <f aca="false">G2204*$B$1/1000000</f>
        <v>0.0086200744514335</v>
      </c>
    </row>
    <row r="2205" customFormat="false" ht="15" hidden="false" customHeight="false" outlineLevel="0" collapsed="false">
      <c r="A2205" s="4" t="s">
        <v>207</v>
      </c>
      <c r="B2205" s="4" t="s">
        <v>208</v>
      </c>
      <c r="C2205" s="4" t="s">
        <v>75</v>
      </c>
      <c r="D2205" s="16" t="n">
        <v>45292</v>
      </c>
      <c r="E2205" s="4" t="n">
        <v>2024</v>
      </c>
      <c r="F2205" s="4" t="n">
        <v>1</v>
      </c>
      <c r="G2205" s="17" t="n">
        <v>3998950</v>
      </c>
      <c r="H2205" s="18" t="n">
        <f aca="false">G2205*$B$1/1000000</f>
        <v>8.81617563364706</v>
      </c>
    </row>
    <row r="2206" customFormat="false" ht="15" hidden="false" customHeight="false" outlineLevel="0" collapsed="false">
      <c r="A2206" s="4" t="s">
        <v>207</v>
      </c>
      <c r="B2206" s="4" t="s">
        <v>208</v>
      </c>
      <c r="C2206" s="4" t="s">
        <v>75</v>
      </c>
      <c r="D2206" s="16" t="n">
        <v>45352</v>
      </c>
      <c r="E2206" s="4" t="n">
        <v>2024</v>
      </c>
      <c r="F2206" s="4" t="n">
        <v>3</v>
      </c>
      <c r="G2206" s="17" t="n">
        <v>4353079</v>
      </c>
      <c r="H2206" s="18" t="n">
        <f aca="false">G2206*$B$1/1000000</f>
        <v>9.59689643810018</v>
      </c>
    </row>
    <row r="2207" customFormat="false" ht="15" hidden="false" customHeight="false" outlineLevel="0" collapsed="false">
      <c r="A2207" s="4" t="s">
        <v>207</v>
      </c>
      <c r="B2207" s="4" t="s">
        <v>208</v>
      </c>
      <c r="C2207" s="4" t="s">
        <v>75</v>
      </c>
      <c r="D2207" s="16" t="n">
        <v>45383</v>
      </c>
      <c r="E2207" s="4" t="n">
        <v>2024</v>
      </c>
      <c r="F2207" s="4" t="n">
        <v>4</v>
      </c>
      <c r="G2207" s="17" t="n">
        <v>3277403</v>
      </c>
      <c r="H2207" s="18" t="n">
        <f aca="false">G2207*$B$1/1000000</f>
        <v>7.22543679471906</v>
      </c>
    </row>
    <row r="2208" customFormat="false" ht="15" hidden="false" customHeight="false" outlineLevel="0" collapsed="false">
      <c r="A2208" s="4" t="s">
        <v>207</v>
      </c>
      <c r="B2208" s="4" t="s">
        <v>208</v>
      </c>
      <c r="C2208" s="4" t="s">
        <v>75</v>
      </c>
      <c r="D2208" s="16" t="n">
        <v>45413</v>
      </c>
      <c r="E2208" s="4" t="n">
        <v>2024</v>
      </c>
      <c r="F2208" s="4" t="n">
        <v>5</v>
      </c>
      <c r="G2208" s="17" t="n">
        <v>4720329</v>
      </c>
      <c r="H2208" s="18" t="n">
        <f aca="false">G2208*$B$1/1000000</f>
        <v>10.4065440959746</v>
      </c>
    </row>
    <row r="2209" customFormat="false" ht="15" hidden="false" customHeight="false" outlineLevel="0" collapsed="false">
      <c r="A2209" s="4" t="s">
        <v>207</v>
      </c>
      <c r="B2209" s="4" t="s">
        <v>208</v>
      </c>
      <c r="C2209" s="4" t="s">
        <v>75</v>
      </c>
      <c r="D2209" s="16" t="n">
        <v>45474</v>
      </c>
      <c r="E2209" s="4" t="n">
        <v>2024</v>
      </c>
      <c r="F2209" s="4" t="n">
        <v>7</v>
      </c>
      <c r="G2209" s="17" t="n">
        <v>5117656</v>
      </c>
      <c r="H2209" s="18" t="n">
        <f aca="false">G2209*$B$1/1000000</f>
        <v>11.2825001884464</v>
      </c>
    </row>
    <row r="2210" customFormat="false" ht="15" hidden="false" customHeight="false" outlineLevel="0" collapsed="false">
      <c r="A2210" s="4" t="s">
        <v>207</v>
      </c>
      <c r="B2210" s="4" t="s">
        <v>208</v>
      </c>
      <c r="C2210" s="4" t="s">
        <v>75</v>
      </c>
      <c r="D2210" s="16" t="n">
        <v>45505</v>
      </c>
      <c r="E2210" s="4" t="n">
        <v>2024</v>
      </c>
      <c r="F2210" s="4" t="n">
        <v>8</v>
      </c>
      <c r="G2210" s="17" t="n">
        <v>195897</v>
      </c>
      <c r="H2210" s="18" t="n">
        <f aca="false">G2210*$B$1/1000000</f>
        <v>0.431878957752549</v>
      </c>
    </row>
    <row r="2211" customFormat="false" ht="15" hidden="false" customHeight="false" outlineLevel="0" collapsed="false">
      <c r="A2211" s="4" t="s">
        <v>207</v>
      </c>
      <c r="B2211" s="4" t="s">
        <v>208</v>
      </c>
      <c r="C2211" s="4" t="s">
        <v>75</v>
      </c>
      <c r="D2211" s="16" t="n">
        <v>45536</v>
      </c>
      <c r="E2211" s="4" t="n">
        <v>2024</v>
      </c>
      <c r="F2211" s="4" t="n">
        <v>9</v>
      </c>
      <c r="G2211" s="17" t="n">
        <v>7398863</v>
      </c>
      <c r="H2211" s="18" t="n">
        <f aca="false">G2211*$B$1/1000000</f>
        <v>16.311700745769</v>
      </c>
    </row>
    <row r="2212" customFormat="false" ht="15" hidden="false" customHeight="false" outlineLevel="0" collapsed="false">
      <c r="A2212" s="4" t="s">
        <v>207</v>
      </c>
      <c r="B2212" s="4" t="s">
        <v>208</v>
      </c>
      <c r="C2212" s="4" t="s">
        <v>75</v>
      </c>
      <c r="D2212" s="16" t="n">
        <v>45566</v>
      </c>
      <c r="E2212" s="4" t="n">
        <v>2024</v>
      </c>
      <c r="F2212" s="4" t="n">
        <v>10</v>
      </c>
      <c r="G2212" s="17" t="n">
        <v>141521</v>
      </c>
      <c r="H2212" s="18" t="n">
        <f aca="false">G2212*$B$1/1000000</f>
        <v>0.312000398066834</v>
      </c>
    </row>
    <row r="2213" customFormat="false" ht="15" hidden="false" customHeight="false" outlineLevel="0" collapsed="false">
      <c r="A2213" s="4" t="s">
        <v>207</v>
      </c>
      <c r="B2213" s="4" t="s">
        <v>208</v>
      </c>
      <c r="C2213" s="4" t="s">
        <v>75</v>
      </c>
      <c r="D2213" s="16" t="n">
        <v>45597</v>
      </c>
      <c r="E2213" s="4" t="n">
        <v>2024</v>
      </c>
      <c r="F2213" s="4" t="n">
        <v>11</v>
      </c>
      <c r="G2213" s="17" t="n">
        <v>7350640</v>
      </c>
      <c r="H2213" s="18" t="n">
        <f aca="false">G2213*$B$1/1000000</f>
        <v>16.2053872290755</v>
      </c>
    </row>
    <row r="2214" customFormat="false" ht="15" hidden="false" customHeight="false" outlineLevel="0" collapsed="false">
      <c r="A2214" s="4" t="s">
        <v>207</v>
      </c>
      <c r="B2214" s="4" t="s">
        <v>208</v>
      </c>
      <c r="C2214" s="4" t="s">
        <v>75</v>
      </c>
      <c r="D2214" s="16" t="n">
        <v>45627</v>
      </c>
      <c r="E2214" s="4" t="n">
        <v>2024</v>
      </c>
      <c r="F2214" s="4" t="n">
        <v>12</v>
      </c>
      <c r="G2214" s="17" t="n">
        <v>2413642</v>
      </c>
      <c r="H2214" s="18" t="n">
        <f aca="false">G2214*$B$1/1000000</f>
        <v>5.32116975424728</v>
      </c>
    </row>
    <row r="2215" customFormat="false" ht="15" hidden="false" customHeight="false" outlineLevel="0" collapsed="false">
      <c r="A2215" s="4" t="s">
        <v>207</v>
      </c>
      <c r="B2215" s="4" t="s">
        <v>208</v>
      </c>
      <c r="C2215" s="4" t="s">
        <v>75</v>
      </c>
      <c r="D2215" s="16" t="n">
        <v>45658</v>
      </c>
      <c r="E2215" s="4" t="n">
        <v>2025</v>
      </c>
      <c r="F2215" s="4" t="n">
        <v>1</v>
      </c>
      <c r="G2215" s="17" t="n">
        <v>2338708</v>
      </c>
      <c r="H2215" s="18" t="n">
        <f aca="false">G2215*$B$1/1000000</f>
        <v>5.15596856270157</v>
      </c>
    </row>
    <row r="2216" customFormat="false" ht="15" hidden="false" customHeight="false" outlineLevel="0" collapsed="false">
      <c r="A2216" s="4" t="s">
        <v>207</v>
      </c>
      <c r="B2216" s="4" t="s">
        <v>208</v>
      </c>
      <c r="C2216" s="4" t="s">
        <v>75</v>
      </c>
      <c r="D2216" s="16" t="n">
        <v>45689</v>
      </c>
      <c r="E2216" s="4" t="n">
        <v>2025</v>
      </c>
      <c r="F2216" s="4" t="n">
        <v>2</v>
      </c>
      <c r="G2216" s="17" t="n">
        <v>205444</v>
      </c>
      <c r="H2216" s="18" t="n">
        <f aca="false">G2216*$B$1/1000000</f>
        <v>0.452926489923351</v>
      </c>
    </row>
    <row r="2217" customFormat="false" ht="15" hidden="false" customHeight="false" outlineLevel="0" collapsed="false">
      <c r="A2217" s="4" t="s">
        <v>207</v>
      </c>
      <c r="B2217" s="4" t="s">
        <v>208</v>
      </c>
      <c r="C2217" s="4" t="s">
        <v>75</v>
      </c>
      <c r="D2217" s="16" t="n">
        <v>45717</v>
      </c>
      <c r="E2217" s="4" t="n">
        <v>2025</v>
      </c>
      <c r="F2217" s="4" t="n">
        <v>3</v>
      </c>
      <c r="G2217" s="17" t="n">
        <v>4981726</v>
      </c>
      <c r="H2217" s="18" t="n">
        <f aca="false">G2217*$B$1/1000000</f>
        <v>10.9828258354583</v>
      </c>
    </row>
    <row r="2218" customFormat="false" ht="15" hidden="false" customHeight="false" outlineLevel="0" collapsed="false">
      <c r="A2218" s="4" t="s">
        <v>207</v>
      </c>
      <c r="B2218" s="4" t="s">
        <v>208</v>
      </c>
      <c r="C2218" s="4" t="s">
        <v>75</v>
      </c>
      <c r="D2218" s="16" t="n">
        <v>45778</v>
      </c>
      <c r="E2218" s="4" t="n">
        <v>2025</v>
      </c>
      <c r="F2218" s="4" t="n">
        <v>5</v>
      </c>
      <c r="G2218" s="17" t="n">
        <v>575890</v>
      </c>
      <c r="H2218" s="18" t="n">
        <f aca="false">G2218*$B$1/1000000</f>
        <v>1.2696201216972</v>
      </c>
    </row>
    <row r="2219" customFormat="false" ht="15" hidden="false" customHeight="false" outlineLevel="0" collapsed="false">
      <c r="A2219" s="4" t="s">
        <v>207</v>
      </c>
      <c r="B2219" s="4" t="s">
        <v>208</v>
      </c>
      <c r="C2219" s="4" t="s">
        <v>75</v>
      </c>
      <c r="D2219" s="16" t="n">
        <v>45809</v>
      </c>
      <c r="E2219" s="4" t="n">
        <v>2025</v>
      </c>
      <c r="F2219" s="4" t="n">
        <v>6</v>
      </c>
      <c r="G2219" s="17" t="n">
        <v>11795744</v>
      </c>
      <c r="H2219" s="18" t="n">
        <f aca="false">G2219*$B$1/1000000</f>
        <v>26.0051640639514</v>
      </c>
    </row>
    <row r="2220" customFormat="false" ht="15" hidden="false" customHeight="false" outlineLevel="0" collapsed="false">
      <c r="A2220" s="4" t="s">
        <v>207</v>
      </c>
      <c r="B2220" s="4" t="s">
        <v>208</v>
      </c>
      <c r="C2220" s="4" t="s">
        <v>75</v>
      </c>
      <c r="D2220" s="16" t="n">
        <v>45839</v>
      </c>
      <c r="E2220" s="4" t="n">
        <v>2025</v>
      </c>
      <c r="F2220" s="4" t="n">
        <v>7</v>
      </c>
      <c r="G2220" s="17" t="n">
        <v>1877599</v>
      </c>
      <c r="H2220" s="18" t="n">
        <f aca="false">G2220*$B$1/1000000</f>
        <v>4.13939723016294</v>
      </c>
    </row>
    <row r="2221" customFormat="false" ht="15" hidden="false" customHeight="false" outlineLevel="0" collapsed="false">
      <c r="A2221" s="4" t="s">
        <v>207</v>
      </c>
      <c r="B2221" s="4" t="s">
        <v>208</v>
      </c>
      <c r="C2221" s="4" t="s">
        <v>75</v>
      </c>
      <c r="D2221" s="16" t="n">
        <v>45870</v>
      </c>
      <c r="E2221" s="4" t="n">
        <v>2025</v>
      </c>
      <c r="F2221" s="4" t="n">
        <v>8</v>
      </c>
      <c r="G2221" s="17" t="n">
        <v>8499227</v>
      </c>
      <c r="H2221" s="18" t="n">
        <f aca="false">G2221*$B$1/1000000</f>
        <v>18.7375881124383</v>
      </c>
    </row>
    <row r="2222" customFormat="false" ht="15" hidden="false" customHeight="false" outlineLevel="0" collapsed="false">
      <c r="A2222" s="4" t="s">
        <v>207</v>
      </c>
      <c r="B2222" s="4" t="s">
        <v>208</v>
      </c>
      <c r="C2222" s="4" t="s">
        <v>75</v>
      </c>
      <c r="D2222" s="16" t="n">
        <v>45901</v>
      </c>
      <c r="E2222" s="4" t="n">
        <v>2025</v>
      </c>
      <c r="F2222" s="4" t="n">
        <v>9</v>
      </c>
      <c r="G2222" s="17" t="n">
        <v>4167212</v>
      </c>
      <c r="H2222" s="18" t="n">
        <f aca="false">G2222*$B$1/1000000</f>
        <v>9.18712984524478</v>
      </c>
    </row>
    <row r="2223" customFormat="false" ht="15" hidden="false" customHeight="false" outlineLevel="0" collapsed="false">
      <c r="A2223" s="4" t="s">
        <v>207</v>
      </c>
      <c r="B2223" s="4" t="s">
        <v>208</v>
      </c>
      <c r="C2223" s="4" t="s">
        <v>75</v>
      </c>
      <c r="D2223" s="16" t="n">
        <v>45962</v>
      </c>
      <c r="E2223" s="4" t="n">
        <v>2025</v>
      </c>
      <c r="F2223" s="4" t="n">
        <v>11</v>
      </c>
      <c r="G2223" s="17" t="n">
        <v>1206301</v>
      </c>
      <c r="H2223" s="18" t="n">
        <f aca="false">G2223*$B$1/1000000</f>
        <v>2.65943847336028</v>
      </c>
    </row>
    <row r="2224" customFormat="false" ht="15" hidden="false" customHeight="false" outlineLevel="0" collapsed="false">
      <c r="A2224" s="4" t="s">
        <v>207</v>
      </c>
      <c r="B2224" s="4" t="s">
        <v>208</v>
      </c>
      <c r="C2224" s="4" t="s">
        <v>75</v>
      </c>
      <c r="D2224" s="16" t="n">
        <v>45992</v>
      </c>
      <c r="E2224" s="4" t="n">
        <v>2025</v>
      </c>
      <c r="F2224" s="4" t="n">
        <v>12</v>
      </c>
      <c r="G2224" s="17" t="n">
        <v>9472852</v>
      </c>
      <c r="H2224" s="18" t="n">
        <f aca="false">G2224*$B$1/1000000</f>
        <v>20.884063812637</v>
      </c>
    </row>
    <row r="2225" customFormat="false" ht="15" hidden="false" customHeight="false" outlineLevel="0" collapsed="false">
      <c r="A2225" s="4" t="s">
        <v>207</v>
      </c>
      <c r="B2225" s="4" t="s">
        <v>208</v>
      </c>
      <c r="C2225" s="4" t="s">
        <v>75</v>
      </c>
      <c r="D2225" s="16" t="n">
        <v>46023</v>
      </c>
      <c r="E2225" s="4" t="n">
        <v>2026</v>
      </c>
      <c r="F2225" s="4" t="n">
        <v>1</v>
      </c>
      <c r="G2225" s="17" t="n">
        <v>568</v>
      </c>
      <c r="H2225" s="18" t="n">
        <f aca="false">G2225*$B$1/1000000</f>
        <v>0.0012522256492108</v>
      </c>
    </row>
    <row r="2226" customFormat="false" ht="15" hidden="false" customHeight="false" outlineLevel="0" collapsed="false">
      <c r="A2226" s="4" t="s">
        <v>207</v>
      </c>
      <c r="B2226" s="4" t="s">
        <v>208</v>
      </c>
      <c r="C2226" s="4" t="s">
        <v>75</v>
      </c>
      <c r="D2226" s="16" t="n">
        <v>46054</v>
      </c>
      <c r="E2226" s="4" t="n">
        <v>2026</v>
      </c>
      <c r="F2226" s="4" t="n">
        <v>2</v>
      </c>
      <c r="G2226" s="17" t="n">
        <v>8652923</v>
      </c>
      <c r="H2226" s="18" t="n">
        <f aca="false">G2226*$B$1/1000000</f>
        <v>19.0764297909262</v>
      </c>
    </row>
    <row r="2227" customFormat="false" ht="15" hidden="false" customHeight="false" outlineLevel="0" collapsed="false">
      <c r="A2227" s="4" t="s">
        <v>207</v>
      </c>
      <c r="B2227" s="4" t="s">
        <v>208</v>
      </c>
      <c r="C2227" s="4" t="s">
        <v>75</v>
      </c>
      <c r="D2227" s="16" t="n">
        <v>46082</v>
      </c>
      <c r="E2227" s="4" t="n">
        <v>2026</v>
      </c>
      <c r="F2227" s="4" t="n">
        <v>3</v>
      </c>
      <c r="G2227" s="17" t="n">
        <v>19523898</v>
      </c>
      <c r="H2227" s="18" t="n">
        <f aca="false">G2227*$B$1/1000000</f>
        <v>43.042827197492</v>
      </c>
    </row>
    <row r="2228" customFormat="false" ht="15" hidden="false" customHeight="false" outlineLevel="0" collapsed="false">
      <c r="A2228" s="4" t="s">
        <v>207</v>
      </c>
      <c r="B2228" s="4" t="s">
        <v>208</v>
      </c>
      <c r="C2228" s="4" t="s">
        <v>75</v>
      </c>
      <c r="D2228" s="16" t="n">
        <v>46113</v>
      </c>
      <c r="E2228" s="4" t="n">
        <v>2026</v>
      </c>
      <c r="F2228" s="4" t="n">
        <v>4</v>
      </c>
      <c r="G2228" s="17" t="n">
        <v>14290442</v>
      </c>
      <c r="H2228" s="18" t="n">
        <f aca="false">G2228*$B$1/1000000</f>
        <v>31.5050317094354</v>
      </c>
    </row>
    <row r="2229" customFormat="false" ht="15" hidden="false" customHeight="false" outlineLevel="0" collapsed="false">
      <c r="A2229" s="4" t="s">
        <v>207</v>
      </c>
      <c r="B2229" s="4" t="s">
        <v>208</v>
      </c>
      <c r="C2229" s="4" t="s">
        <v>75</v>
      </c>
      <c r="D2229" s="16" t="n">
        <v>46143</v>
      </c>
      <c r="E2229" s="4" t="n">
        <v>2026</v>
      </c>
      <c r="F2229" s="4" t="n">
        <v>5</v>
      </c>
      <c r="G2229" s="17" t="n">
        <v>8458639</v>
      </c>
      <c r="H2229" s="18" t="n">
        <f aca="false">G2229*$B$1/1000000</f>
        <v>18.6481068894627</v>
      </c>
    </row>
    <row r="2230" customFormat="false" ht="15" hidden="false" customHeight="false" outlineLevel="0" collapsed="false">
      <c r="A2230" s="4" t="s">
        <v>207</v>
      </c>
      <c r="B2230" s="4" t="s">
        <v>208</v>
      </c>
      <c r="C2230" s="4" t="s">
        <v>75</v>
      </c>
      <c r="D2230" s="16" t="n">
        <v>46174</v>
      </c>
      <c r="E2230" s="4" t="n">
        <v>2026</v>
      </c>
      <c r="F2230" s="4" t="n">
        <v>6</v>
      </c>
      <c r="G2230" s="17" t="n">
        <v>8405769</v>
      </c>
      <c r="H2230" s="18" t="n">
        <f aca="false">G2230*$B$1/1000000</f>
        <v>18.5315484914455</v>
      </c>
    </row>
    <row r="2231" customFormat="false" ht="15" hidden="false" customHeight="false" outlineLevel="0" collapsed="false">
      <c r="A2231" s="4" t="s">
        <v>207</v>
      </c>
      <c r="B2231" s="4" t="s">
        <v>208</v>
      </c>
      <c r="C2231" s="4" t="s">
        <v>75</v>
      </c>
      <c r="D2231" s="16" t="n">
        <v>46235</v>
      </c>
      <c r="E2231" s="4" t="n">
        <v>2026</v>
      </c>
      <c r="F2231" s="4" t="n">
        <v>8</v>
      </c>
      <c r="G2231" s="17" t="n">
        <v>24376904</v>
      </c>
      <c r="H2231" s="18" t="n">
        <f aca="false">G2231*$B$1/1000000</f>
        <v>53.7418740090658</v>
      </c>
    </row>
    <row r="2232" customFormat="false" ht="15" hidden="false" customHeight="false" outlineLevel="0" collapsed="false">
      <c r="A2232" s="4" t="s">
        <v>207</v>
      </c>
      <c r="B2232" s="4" t="s">
        <v>208</v>
      </c>
      <c r="C2232" s="4" t="s">
        <v>35</v>
      </c>
      <c r="D2232" s="16" t="n">
        <v>43831</v>
      </c>
      <c r="E2232" s="4" t="n">
        <v>2020</v>
      </c>
      <c r="F2232" s="4" t="n">
        <v>1</v>
      </c>
      <c r="G2232" s="17" t="n">
        <v>7963683</v>
      </c>
      <c r="H2232" s="18" t="n">
        <f aca="false">G2232*$B$1/1000000</f>
        <v>17.5569156950423</v>
      </c>
    </row>
    <row r="2233" customFormat="false" ht="15" hidden="false" customHeight="false" outlineLevel="0" collapsed="false">
      <c r="A2233" s="4" t="s">
        <v>207</v>
      </c>
      <c r="B2233" s="4" t="s">
        <v>208</v>
      </c>
      <c r="C2233" s="4" t="s">
        <v>35</v>
      </c>
      <c r="D2233" s="16" t="n">
        <v>43862</v>
      </c>
      <c r="E2233" s="4" t="n">
        <v>2020</v>
      </c>
      <c r="F2233" s="4" t="n">
        <v>2</v>
      </c>
      <c r="G2233" s="17" t="n">
        <v>5752167</v>
      </c>
      <c r="H2233" s="18" t="n">
        <f aca="false">G2233*$B$1/1000000</f>
        <v>12.681357492859</v>
      </c>
    </row>
    <row r="2234" customFormat="false" ht="15" hidden="false" customHeight="false" outlineLevel="0" collapsed="false">
      <c r="A2234" s="4" t="s">
        <v>207</v>
      </c>
      <c r="B2234" s="4" t="s">
        <v>208</v>
      </c>
      <c r="C2234" s="4" t="s">
        <v>35</v>
      </c>
      <c r="D2234" s="16" t="n">
        <v>43891</v>
      </c>
      <c r="E2234" s="4" t="n">
        <v>2020</v>
      </c>
      <c r="F2234" s="4" t="n">
        <v>3</v>
      </c>
      <c r="G2234" s="17" t="n">
        <v>9324977</v>
      </c>
      <c r="H2234" s="18" t="n">
        <f aca="false">G2234*$B$1/1000000</f>
        <v>20.5580552424309</v>
      </c>
    </row>
    <row r="2235" customFormat="false" ht="15" hidden="false" customHeight="false" outlineLevel="0" collapsed="false">
      <c r="A2235" s="4" t="s">
        <v>207</v>
      </c>
      <c r="B2235" s="4" t="s">
        <v>208</v>
      </c>
      <c r="C2235" s="4" t="s">
        <v>35</v>
      </c>
      <c r="D2235" s="16" t="n">
        <v>43922</v>
      </c>
      <c r="E2235" s="4" t="n">
        <v>2020</v>
      </c>
      <c r="F2235" s="4" t="n">
        <v>4</v>
      </c>
      <c r="G2235" s="17" t="n">
        <v>7510033</v>
      </c>
      <c r="H2235" s="18" t="n">
        <f aca="false">G2235*$B$1/1000000</f>
        <v>16.55678864264</v>
      </c>
    </row>
    <row r="2236" customFormat="false" ht="15" hidden="false" customHeight="false" outlineLevel="0" collapsed="false">
      <c r="A2236" s="4" t="s">
        <v>207</v>
      </c>
      <c r="B2236" s="4" t="s">
        <v>208</v>
      </c>
      <c r="C2236" s="4" t="s">
        <v>35</v>
      </c>
      <c r="D2236" s="16" t="n">
        <v>43952</v>
      </c>
      <c r="E2236" s="4" t="n">
        <v>2020</v>
      </c>
      <c r="F2236" s="4" t="n">
        <v>5</v>
      </c>
      <c r="G2236" s="17" t="n">
        <v>8448214</v>
      </c>
      <c r="H2236" s="18" t="n">
        <f aca="false">G2236*$B$1/1000000</f>
        <v>18.6251236986299</v>
      </c>
    </row>
    <row r="2237" customFormat="false" ht="15" hidden="false" customHeight="false" outlineLevel="0" collapsed="false">
      <c r="A2237" s="4" t="s">
        <v>207</v>
      </c>
      <c r="B2237" s="4" t="s">
        <v>208</v>
      </c>
      <c r="C2237" s="4" t="s">
        <v>35</v>
      </c>
      <c r="D2237" s="16" t="n">
        <v>43983</v>
      </c>
      <c r="E2237" s="4" t="n">
        <v>2020</v>
      </c>
      <c r="F2237" s="4" t="n">
        <v>6</v>
      </c>
      <c r="G2237" s="17" t="n">
        <v>7566145</v>
      </c>
      <c r="H2237" s="18" t="n">
        <f aca="false">G2237*$B$1/1000000</f>
        <v>16.6804944271973</v>
      </c>
    </row>
    <row r="2238" customFormat="false" ht="15" hidden="false" customHeight="false" outlineLevel="0" collapsed="false">
      <c r="A2238" s="4" t="s">
        <v>207</v>
      </c>
      <c r="B2238" s="4" t="s">
        <v>208</v>
      </c>
      <c r="C2238" s="4" t="s">
        <v>35</v>
      </c>
      <c r="D2238" s="16" t="n">
        <v>44013</v>
      </c>
      <c r="E2238" s="4" t="n">
        <v>2020</v>
      </c>
      <c r="F2238" s="4" t="n">
        <v>7</v>
      </c>
      <c r="G2238" s="17" t="n">
        <v>5803733</v>
      </c>
      <c r="H2238" s="18" t="n">
        <f aca="false">G2238*$B$1/1000000</f>
        <v>12.7950410629774</v>
      </c>
    </row>
    <row r="2239" customFormat="false" ht="15" hidden="false" customHeight="false" outlineLevel="0" collapsed="false">
      <c r="A2239" s="4" t="s">
        <v>207</v>
      </c>
      <c r="B2239" s="4" t="s">
        <v>208</v>
      </c>
      <c r="C2239" s="4" t="s">
        <v>35</v>
      </c>
      <c r="D2239" s="16" t="n">
        <v>44044</v>
      </c>
      <c r="E2239" s="4" t="n">
        <v>2020</v>
      </c>
      <c r="F2239" s="4" t="n">
        <v>8</v>
      </c>
      <c r="G2239" s="17" t="n">
        <v>5394647</v>
      </c>
      <c r="H2239" s="18" t="n">
        <f aca="false">G2239*$B$1/1000000</f>
        <v>11.8931608130952</v>
      </c>
    </row>
    <row r="2240" customFormat="false" ht="15" hidden="false" customHeight="false" outlineLevel="0" collapsed="false">
      <c r="A2240" s="4" t="s">
        <v>207</v>
      </c>
      <c r="B2240" s="4" t="s">
        <v>208</v>
      </c>
      <c r="C2240" s="4" t="s">
        <v>35</v>
      </c>
      <c r="D2240" s="16" t="n">
        <v>44075</v>
      </c>
      <c r="E2240" s="4" t="n">
        <v>2020</v>
      </c>
      <c r="F2240" s="4" t="n">
        <v>9</v>
      </c>
      <c r="G2240" s="17" t="n">
        <v>5573009</v>
      </c>
      <c r="H2240" s="18" t="n">
        <f aca="false">G2240*$B$1/1000000</f>
        <v>12.2863817131736</v>
      </c>
    </row>
    <row r="2241" customFormat="false" ht="15" hidden="false" customHeight="false" outlineLevel="0" collapsed="false">
      <c r="A2241" s="4" t="s">
        <v>207</v>
      </c>
      <c r="B2241" s="4" t="s">
        <v>208</v>
      </c>
      <c r="C2241" s="4" t="s">
        <v>35</v>
      </c>
      <c r="D2241" s="16" t="n">
        <v>44105</v>
      </c>
      <c r="E2241" s="4" t="n">
        <v>2020</v>
      </c>
      <c r="F2241" s="4" t="n">
        <v>10</v>
      </c>
      <c r="G2241" s="17" t="n">
        <v>5220285</v>
      </c>
      <c r="H2241" s="18" t="n">
        <f aca="false">G2241*$B$1/1000000</f>
        <v>11.5087584035042</v>
      </c>
    </row>
    <row r="2242" customFormat="false" ht="15" hidden="false" customHeight="false" outlineLevel="0" collapsed="false">
      <c r="A2242" s="4" t="s">
        <v>207</v>
      </c>
      <c r="B2242" s="4" t="s">
        <v>208</v>
      </c>
      <c r="C2242" s="4" t="s">
        <v>35</v>
      </c>
      <c r="D2242" s="16" t="n">
        <v>44136</v>
      </c>
      <c r="E2242" s="4" t="n">
        <v>2020</v>
      </c>
      <c r="F2242" s="4" t="n">
        <v>11</v>
      </c>
      <c r="G2242" s="17" t="n">
        <v>7274285</v>
      </c>
      <c r="H2242" s="18" t="n">
        <f aca="false">G2242*$B$1/1000000</f>
        <v>16.0370532687841</v>
      </c>
    </row>
    <row r="2243" customFormat="false" ht="15" hidden="false" customHeight="false" outlineLevel="0" collapsed="false">
      <c r="A2243" s="4" t="s">
        <v>207</v>
      </c>
      <c r="B2243" s="4" t="s">
        <v>208</v>
      </c>
      <c r="C2243" s="4" t="s">
        <v>35</v>
      </c>
      <c r="D2243" s="16" t="n">
        <v>44166</v>
      </c>
      <c r="E2243" s="4" t="n">
        <v>2020</v>
      </c>
      <c r="F2243" s="4" t="n">
        <v>12</v>
      </c>
      <c r="G2243" s="17" t="n">
        <v>6618362</v>
      </c>
      <c r="H2243" s="18" t="n">
        <f aca="false">G2243*$B$1/1000000</f>
        <v>14.5909905847924</v>
      </c>
    </row>
    <row r="2244" customFormat="false" ht="15" hidden="false" customHeight="false" outlineLevel="0" collapsed="false">
      <c r="A2244" s="4" t="s">
        <v>207</v>
      </c>
      <c r="B2244" s="4" t="s">
        <v>208</v>
      </c>
      <c r="C2244" s="4" t="s">
        <v>35</v>
      </c>
      <c r="D2244" s="16" t="n">
        <v>44197</v>
      </c>
      <c r="E2244" s="4" t="n">
        <v>2021</v>
      </c>
      <c r="F2244" s="4" t="n">
        <v>1</v>
      </c>
      <c r="G2244" s="17" t="n">
        <v>7546352</v>
      </c>
      <c r="H2244" s="18" t="n">
        <f aca="false">G2244*$B$1/1000000</f>
        <v>16.636858331643</v>
      </c>
    </row>
    <row r="2245" customFormat="false" ht="15" hidden="false" customHeight="false" outlineLevel="0" collapsed="false">
      <c r="A2245" s="4" t="s">
        <v>207</v>
      </c>
      <c r="B2245" s="4" t="s">
        <v>208</v>
      </c>
      <c r="C2245" s="4" t="s">
        <v>35</v>
      </c>
      <c r="D2245" s="16" t="n">
        <v>44228</v>
      </c>
      <c r="E2245" s="4" t="n">
        <v>2021</v>
      </c>
      <c r="F2245" s="4" t="n">
        <v>2</v>
      </c>
      <c r="G2245" s="17" t="n">
        <v>8600156</v>
      </c>
      <c r="H2245" s="18" t="n">
        <f aca="false">G2245*$B$1/1000000</f>
        <v>18.960098469039</v>
      </c>
    </row>
    <row r="2246" customFormat="false" ht="15" hidden="false" customHeight="false" outlineLevel="0" collapsed="false">
      <c r="A2246" s="4" t="s">
        <v>207</v>
      </c>
      <c r="B2246" s="4" t="s">
        <v>208</v>
      </c>
      <c r="C2246" s="4" t="s">
        <v>35</v>
      </c>
      <c r="D2246" s="16" t="n">
        <v>44256</v>
      </c>
      <c r="E2246" s="4" t="n">
        <v>2021</v>
      </c>
      <c r="F2246" s="4" t="n">
        <v>3</v>
      </c>
      <c r="G2246" s="17" t="n">
        <v>12702001</v>
      </c>
      <c r="H2246" s="18" t="n">
        <f aca="false">G2246*$B$1/1000000</f>
        <v>28.0031187473613</v>
      </c>
    </row>
    <row r="2247" customFormat="false" ht="15" hidden="false" customHeight="false" outlineLevel="0" collapsed="false">
      <c r="A2247" s="4" t="s">
        <v>207</v>
      </c>
      <c r="B2247" s="4" t="s">
        <v>208</v>
      </c>
      <c r="C2247" s="4" t="s">
        <v>35</v>
      </c>
      <c r="D2247" s="16" t="n">
        <v>44287</v>
      </c>
      <c r="E2247" s="4" t="n">
        <v>2021</v>
      </c>
      <c r="F2247" s="4" t="n">
        <v>4</v>
      </c>
      <c r="G2247" s="17" t="n">
        <v>8960806</v>
      </c>
      <c r="H2247" s="18" t="n">
        <f aca="false">G2247*$B$1/1000000</f>
        <v>19.7551956176092</v>
      </c>
    </row>
    <row r="2248" customFormat="false" ht="15" hidden="false" customHeight="false" outlineLevel="0" collapsed="false">
      <c r="A2248" s="4" t="s">
        <v>207</v>
      </c>
      <c r="B2248" s="4" t="s">
        <v>208</v>
      </c>
      <c r="C2248" s="4" t="s">
        <v>35</v>
      </c>
      <c r="D2248" s="16" t="n">
        <v>44317</v>
      </c>
      <c r="E2248" s="4" t="n">
        <v>2021</v>
      </c>
      <c r="F2248" s="4" t="n">
        <v>5</v>
      </c>
      <c r="G2248" s="17" t="n">
        <v>10666772</v>
      </c>
      <c r="H2248" s="18" t="n">
        <f aca="false">G2248*$B$1/1000000</f>
        <v>23.5162068533162</v>
      </c>
    </row>
    <row r="2249" customFormat="false" ht="15" hidden="false" customHeight="false" outlineLevel="0" collapsed="false">
      <c r="A2249" s="4" t="s">
        <v>207</v>
      </c>
      <c r="B2249" s="4" t="s">
        <v>208</v>
      </c>
      <c r="C2249" s="4" t="s">
        <v>35</v>
      </c>
      <c r="D2249" s="16" t="n">
        <v>44348</v>
      </c>
      <c r="E2249" s="4" t="n">
        <v>2021</v>
      </c>
      <c r="F2249" s="4" t="n">
        <v>6</v>
      </c>
      <c r="G2249" s="17" t="n">
        <v>8228808</v>
      </c>
      <c r="H2249" s="18" t="n">
        <f aca="false">G2249*$B$1/1000000</f>
        <v>18.1414162676603</v>
      </c>
    </row>
    <row r="2250" customFormat="false" ht="15" hidden="false" customHeight="false" outlineLevel="0" collapsed="false">
      <c r="A2250" s="4" t="s">
        <v>207</v>
      </c>
      <c r="B2250" s="4" t="s">
        <v>208</v>
      </c>
      <c r="C2250" s="4" t="s">
        <v>35</v>
      </c>
      <c r="D2250" s="16" t="n">
        <v>44378</v>
      </c>
      <c r="E2250" s="4" t="n">
        <v>2021</v>
      </c>
      <c r="F2250" s="4" t="n">
        <v>7</v>
      </c>
      <c r="G2250" s="17" t="n">
        <v>8881833</v>
      </c>
      <c r="H2250" s="18" t="n">
        <f aca="false">G2250*$B$1/1000000</f>
        <v>19.5810899552939</v>
      </c>
    </row>
    <row r="2251" customFormat="false" ht="15" hidden="false" customHeight="false" outlineLevel="0" collapsed="false">
      <c r="A2251" s="4" t="s">
        <v>207</v>
      </c>
      <c r="B2251" s="4" t="s">
        <v>208</v>
      </c>
      <c r="C2251" s="4" t="s">
        <v>35</v>
      </c>
      <c r="D2251" s="16" t="n">
        <v>44409</v>
      </c>
      <c r="E2251" s="4" t="n">
        <v>2021</v>
      </c>
      <c r="F2251" s="4" t="n">
        <v>8</v>
      </c>
      <c r="G2251" s="17" t="n">
        <v>9756282</v>
      </c>
      <c r="H2251" s="18" t="n">
        <f aca="false">G2251*$B$1/1000000</f>
        <v>21.508920002348</v>
      </c>
    </row>
    <row r="2252" customFormat="false" ht="15" hidden="false" customHeight="false" outlineLevel="0" collapsed="false">
      <c r="A2252" s="4" t="s">
        <v>207</v>
      </c>
      <c r="B2252" s="4" t="s">
        <v>208</v>
      </c>
      <c r="C2252" s="4" t="s">
        <v>35</v>
      </c>
      <c r="D2252" s="16" t="n">
        <v>44440</v>
      </c>
      <c r="E2252" s="4" t="n">
        <v>2021</v>
      </c>
      <c r="F2252" s="4" t="n">
        <v>9</v>
      </c>
      <c r="G2252" s="17" t="n">
        <v>7971871</v>
      </c>
      <c r="H2252" s="18" t="n">
        <f aca="false">G2252*$B$1/1000000</f>
        <v>17.57496714507</v>
      </c>
    </row>
    <row r="2253" customFormat="false" ht="15" hidden="false" customHeight="false" outlineLevel="0" collapsed="false">
      <c r="A2253" s="4" t="s">
        <v>207</v>
      </c>
      <c r="B2253" s="4" t="s">
        <v>208</v>
      </c>
      <c r="C2253" s="4" t="s">
        <v>35</v>
      </c>
      <c r="D2253" s="16" t="n">
        <v>44470</v>
      </c>
      <c r="E2253" s="4" t="n">
        <v>2021</v>
      </c>
      <c r="F2253" s="4" t="n">
        <v>10</v>
      </c>
      <c r="G2253" s="17" t="n">
        <v>13595032</v>
      </c>
      <c r="H2253" s="18" t="n">
        <f aca="false">G2253*$B$1/1000000</f>
        <v>29.9719150919747</v>
      </c>
    </row>
    <row r="2254" customFormat="false" ht="15" hidden="false" customHeight="false" outlineLevel="0" collapsed="false">
      <c r="A2254" s="4" t="s">
        <v>207</v>
      </c>
      <c r="B2254" s="4" t="s">
        <v>208</v>
      </c>
      <c r="C2254" s="4" t="s">
        <v>35</v>
      </c>
      <c r="D2254" s="16" t="n">
        <v>44501</v>
      </c>
      <c r="E2254" s="4" t="n">
        <v>2021</v>
      </c>
      <c r="F2254" s="4" t="n">
        <v>11</v>
      </c>
      <c r="G2254" s="17" t="n">
        <v>19187704</v>
      </c>
      <c r="H2254" s="18" t="n">
        <f aca="false">G2254*$B$1/1000000</f>
        <v>42.3016462997617</v>
      </c>
    </row>
    <row r="2255" customFormat="false" ht="15" hidden="false" customHeight="false" outlineLevel="0" collapsed="false">
      <c r="A2255" s="4" t="s">
        <v>207</v>
      </c>
      <c r="B2255" s="4" t="s">
        <v>208</v>
      </c>
      <c r="C2255" s="4" t="s">
        <v>35</v>
      </c>
      <c r="D2255" s="16" t="n">
        <v>44531</v>
      </c>
      <c r="E2255" s="4" t="n">
        <v>2021</v>
      </c>
      <c r="F2255" s="4" t="n">
        <v>12</v>
      </c>
      <c r="G2255" s="17" t="n">
        <v>12565007</v>
      </c>
      <c r="H2255" s="18" t="n">
        <f aca="false">G2255*$B$1/1000000</f>
        <v>27.7010986759036</v>
      </c>
    </row>
    <row r="2256" customFormat="false" ht="15" hidden="false" customHeight="false" outlineLevel="0" collapsed="false">
      <c r="A2256" s="4" t="s">
        <v>207</v>
      </c>
      <c r="B2256" s="4" t="s">
        <v>208</v>
      </c>
      <c r="C2256" s="4" t="s">
        <v>35</v>
      </c>
      <c r="D2256" s="16" t="n">
        <v>44562</v>
      </c>
      <c r="E2256" s="4" t="n">
        <v>2022</v>
      </c>
      <c r="F2256" s="4" t="n">
        <v>1</v>
      </c>
      <c r="G2256" s="17" t="n">
        <v>24343162</v>
      </c>
      <c r="H2256" s="18" t="n">
        <f aca="false">G2256*$B$1/1000000</f>
        <v>53.6674856325593</v>
      </c>
    </row>
    <row r="2257" customFormat="false" ht="15" hidden="false" customHeight="false" outlineLevel="0" collapsed="false">
      <c r="A2257" s="4" t="s">
        <v>207</v>
      </c>
      <c r="B2257" s="4" t="s">
        <v>208</v>
      </c>
      <c r="C2257" s="4" t="s">
        <v>35</v>
      </c>
      <c r="D2257" s="16" t="n">
        <v>44593</v>
      </c>
      <c r="E2257" s="4" t="n">
        <v>2022</v>
      </c>
      <c r="F2257" s="4" t="n">
        <v>2</v>
      </c>
      <c r="G2257" s="17" t="n">
        <v>12176483</v>
      </c>
      <c r="H2257" s="18" t="n">
        <f aca="false">G2257*$B$1/1000000</f>
        <v>26.844549876372</v>
      </c>
    </row>
    <row r="2258" customFormat="false" ht="15" hidden="false" customHeight="false" outlineLevel="0" collapsed="false">
      <c r="A2258" s="4" t="s">
        <v>207</v>
      </c>
      <c r="B2258" s="4" t="s">
        <v>208</v>
      </c>
      <c r="C2258" s="4" t="s">
        <v>35</v>
      </c>
      <c r="D2258" s="16" t="n">
        <v>44621</v>
      </c>
      <c r="E2258" s="4" t="n">
        <v>2022</v>
      </c>
      <c r="F2258" s="4" t="n">
        <v>3</v>
      </c>
      <c r="G2258" s="17" t="n">
        <v>21817689</v>
      </c>
      <c r="H2258" s="18" t="n">
        <f aca="false">G2258*$B$1/1000000</f>
        <v>48.0997707258879</v>
      </c>
    </row>
    <row r="2259" customFormat="false" ht="15" hidden="false" customHeight="false" outlineLevel="0" collapsed="false">
      <c r="A2259" s="4" t="s">
        <v>207</v>
      </c>
      <c r="B2259" s="4" t="s">
        <v>208</v>
      </c>
      <c r="C2259" s="4" t="s">
        <v>35</v>
      </c>
      <c r="D2259" s="16" t="n">
        <v>44652</v>
      </c>
      <c r="E2259" s="4" t="n">
        <v>2022</v>
      </c>
      <c r="F2259" s="4" t="n">
        <v>4</v>
      </c>
      <c r="G2259" s="17" t="n">
        <v>20395371</v>
      </c>
      <c r="H2259" s="18" t="n">
        <f aca="false">G2259*$B$1/1000000</f>
        <v>44.9640962876235</v>
      </c>
    </row>
    <row r="2260" customFormat="false" ht="15" hidden="false" customHeight="false" outlineLevel="0" collapsed="false">
      <c r="A2260" s="4" t="s">
        <v>207</v>
      </c>
      <c r="B2260" s="4" t="s">
        <v>208</v>
      </c>
      <c r="C2260" s="4" t="s">
        <v>35</v>
      </c>
      <c r="D2260" s="16" t="n">
        <v>44682</v>
      </c>
      <c r="E2260" s="4" t="n">
        <v>2022</v>
      </c>
      <c r="F2260" s="4" t="n">
        <v>5</v>
      </c>
      <c r="G2260" s="17" t="n">
        <v>28386995</v>
      </c>
      <c r="H2260" s="18" t="n">
        <f aca="false">G2260*$B$1/1000000</f>
        <v>62.5826113433428</v>
      </c>
    </row>
    <row r="2261" customFormat="false" ht="15" hidden="false" customHeight="false" outlineLevel="0" collapsed="false">
      <c r="A2261" s="4" t="s">
        <v>207</v>
      </c>
      <c r="B2261" s="4" t="s">
        <v>208</v>
      </c>
      <c r="C2261" s="4" t="s">
        <v>35</v>
      </c>
      <c r="D2261" s="16" t="n">
        <v>44713</v>
      </c>
      <c r="E2261" s="4" t="n">
        <v>2022</v>
      </c>
      <c r="F2261" s="4" t="n">
        <v>6</v>
      </c>
      <c r="G2261" s="17" t="n">
        <v>36339176</v>
      </c>
      <c r="H2261" s="18" t="n">
        <f aca="false">G2261*$B$1/1000000</f>
        <v>80.1141694689886</v>
      </c>
    </row>
    <row r="2262" customFormat="false" ht="15" hidden="false" customHeight="false" outlineLevel="0" collapsed="false">
      <c r="A2262" s="4" t="s">
        <v>207</v>
      </c>
      <c r="B2262" s="4" t="s">
        <v>208</v>
      </c>
      <c r="C2262" s="4" t="s">
        <v>35</v>
      </c>
      <c r="D2262" s="16" t="n">
        <v>44743</v>
      </c>
      <c r="E2262" s="4" t="n">
        <v>2022</v>
      </c>
      <c r="F2262" s="4" t="n">
        <v>7</v>
      </c>
      <c r="G2262" s="17" t="n">
        <v>23139923</v>
      </c>
      <c r="H2262" s="18" t="n">
        <f aca="false">G2262*$B$1/1000000</f>
        <v>51.0147977136671</v>
      </c>
    </row>
    <row r="2263" customFormat="false" ht="15" hidden="false" customHeight="false" outlineLevel="0" collapsed="false">
      <c r="A2263" s="4" t="s">
        <v>207</v>
      </c>
      <c r="B2263" s="4" t="s">
        <v>208</v>
      </c>
      <c r="C2263" s="4" t="s">
        <v>35</v>
      </c>
      <c r="D2263" s="16" t="n">
        <v>44774</v>
      </c>
      <c r="E2263" s="4" t="n">
        <v>2022</v>
      </c>
      <c r="F2263" s="4" t="n">
        <v>8</v>
      </c>
      <c r="G2263" s="17" t="n">
        <v>49172243</v>
      </c>
      <c r="H2263" s="18" t="n">
        <f aca="false">G2263*$B$1/1000000</f>
        <v>108.406239284905</v>
      </c>
    </row>
    <row r="2264" customFormat="false" ht="15" hidden="false" customHeight="false" outlineLevel="0" collapsed="false">
      <c r="A2264" s="4" t="s">
        <v>207</v>
      </c>
      <c r="B2264" s="4" t="s">
        <v>208</v>
      </c>
      <c r="C2264" s="4" t="s">
        <v>35</v>
      </c>
      <c r="D2264" s="16" t="n">
        <v>44805</v>
      </c>
      <c r="E2264" s="4" t="n">
        <v>2022</v>
      </c>
      <c r="F2264" s="4" t="n">
        <v>9</v>
      </c>
      <c r="G2264" s="17" t="n">
        <v>17392155</v>
      </c>
      <c r="H2264" s="18" t="n">
        <f aca="false">G2264*$B$1/1000000</f>
        <v>38.3431383557216</v>
      </c>
    </row>
    <row r="2265" customFormat="false" ht="15" hidden="false" customHeight="false" outlineLevel="0" collapsed="false">
      <c r="A2265" s="4" t="s">
        <v>207</v>
      </c>
      <c r="B2265" s="4" t="s">
        <v>208</v>
      </c>
      <c r="C2265" s="4" t="s">
        <v>35</v>
      </c>
      <c r="D2265" s="16" t="n">
        <v>44835</v>
      </c>
      <c r="E2265" s="4" t="n">
        <v>2022</v>
      </c>
      <c r="F2265" s="4" t="n">
        <v>10</v>
      </c>
      <c r="G2265" s="17" t="n">
        <v>62685493</v>
      </c>
      <c r="H2265" s="18" t="n">
        <f aca="false">G2265*$B$1/1000000</f>
        <v>138.19785592962</v>
      </c>
    </row>
    <row r="2266" customFormat="false" ht="15" hidden="false" customHeight="false" outlineLevel="0" collapsed="false">
      <c r="A2266" s="4" t="s">
        <v>207</v>
      </c>
      <c r="B2266" s="4" t="s">
        <v>208</v>
      </c>
      <c r="C2266" s="4" t="s">
        <v>35</v>
      </c>
      <c r="D2266" s="16" t="n">
        <v>44866</v>
      </c>
      <c r="E2266" s="4" t="n">
        <v>2022</v>
      </c>
      <c r="F2266" s="4" t="n">
        <v>11</v>
      </c>
      <c r="G2266" s="17" t="n">
        <v>46446004</v>
      </c>
      <c r="H2266" s="18" t="n">
        <f aca="false">G2266*$B$1/1000000</f>
        <v>102.395911112936</v>
      </c>
    </row>
    <row r="2267" customFormat="false" ht="15" hidden="false" customHeight="false" outlineLevel="0" collapsed="false">
      <c r="A2267" s="4" t="s">
        <v>207</v>
      </c>
      <c r="B2267" s="4" t="s">
        <v>208</v>
      </c>
      <c r="C2267" s="4" t="s">
        <v>35</v>
      </c>
      <c r="D2267" s="16" t="n">
        <v>44896</v>
      </c>
      <c r="E2267" s="4" t="n">
        <v>2022</v>
      </c>
      <c r="F2267" s="4" t="n">
        <v>12</v>
      </c>
      <c r="G2267" s="17" t="n">
        <v>52670330</v>
      </c>
      <c r="H2267" s="18" t="n">
        <f aca="false">G2267*$B$1/1000000</f>
        <v>116.118201018305</v>
      </c>
    </row>
    <row r="2268" customFormat="false" ht="15" hidden="false" customHeight="false" outlineLevel="0" collapsed="false">
      <c r="A2268" s="4" t="s">
        <v>207</v>
      </c>
      <c r="B2268" s="4" t="s">
        <v>208</v>
      </c>
      <c r="C2268" s="4" t="s">
        <v>35</v>
      </c>
      <c r="D2268" s="16" t="n">
        <v>44927</v>
      </c>
      <c r="E2268" s="4" t="n">
        <v>2023</v>
      </c>
      <c r="F2268" s="4" t="n">
        <v>1</v>
      </c>
      <c r="G2268" s="17" t="n">
        <v>63540471</v>
      </c>
      <c r="H2268" s="18" t="n">
        <f aca="false">G2268*$B$1/1000000</f>
        <v>140.082759769604</v>
      </c>
    </row>
    <row r="2269" customFormat="false" ht="15" hidden="false" customHeight="false" outlineLevel="0" collapsed="false">
      <c r="A2269" s="4" t="s">
        <v>207</v>
      </c>
      <c r="B2269" s="4" t="s">
        <v>208</v>
      </c>
      <c r="C2269" s="4" t="s">
        <v>35</v>
      </c>
      <c r="D2269" s="16" t="n">
        <v>44958</v>
      </c>
      <c r="E2269" s="4" t="n">
        <v>2023</v>
      </c>
      <c r="F2269" s="4" t="n">
        <v>2</v>
      </c>
      <c r="G2269" s="17" t="n">
        <v>92539444</v>
      </c>
      <c r="H2269" s="18" t="n">
        <f aca="false">G2269*$B$1/1000000</f>
        <v>204.014551655821</v>
      </c>
    </row>
    <row r="2270" customFormat="false" ht="15" hidden="false" customHeight="false" outlineLevel="0" collapsed="false">
      <c r="A2270" s="4" t="s">
        <v>207</v>
      </c>
      <c r="B2270" s="4" t="s">
        <v>208</v>
      </c>
      <c r="C2270" s="4" t="s">
        <v>35</v>
      </c>
      <c r="D2270" s="16" t="n">
        <v>44986</v>
      </c>
      <c r="E2270" s="4" t="n">
        <v>2023</v>
      </c>
      <c r="F2270" s="4" t="n">
        <v>3</v>
      </c>
      <c r="G2270" s="17" t="n">
        <v>102676796</v>
      </c>
      <c r="H2270" s="18" t="n">
        <f aca="false">G2270*$B$1/1000000</f>
        <v>226.363587200678</v>
      </c>
    </row>
    <row r="2271" customFormat="false" ht="15" hidden="false" customHeight="false" outlineLevel="0" collapsed="false">
      <c r="A2271" s="4" t="s">
        <v>207</v>
      </c>
      <c r="B2271" s="4" t="s">
        <v>208</v>
      </c>
      <c r="C2271" s="4" t="s">
        <v>35</v>
      </c>
      <c r="D2271" s="16" t="n">
        <v>45017</v>
      </c>
      <c r="E2271" s="4" t="n">
        <v>2023</v>
      </c>
      <c r="F2271" s="4" t="n">
        <v>4</v>
      </c>
      <c r="G2271" s="17" t="n">
        <v>62083728</v>
      </c>
      <c r="H2271" s="18" t="n">
        <f aca="false">G2271*$B$1/1000000</f>
        <v>136.871191197582</v>
      </c>
    </row>
    <row r="2272" customFormat="false" ht="15" hidden="false" customHeight="false" outlineLevel="0" collapsed="false">
      <c r="A2272" s="4" t="s">
        <v>207</v>
      </c>
      <c r="B2272" s="4" t="s">
        <v>208</v>
      </c>
      <c r="C2272" s="4" t="s">
        <v>35</v>
      </c>
      <c r="D2272" s="16" t="n">
        <v>45047</v>
      </c>
      <c r="E2272" s="4" t="n">
        <v>2023</v>
      </c>
      <c r="F2272" s="4" t="n">
        <v>5</v>
      </c>
      <c r="G2272" s="17" t="n">
        <v>123815612</v>
      </c>
      <c r="H2272" s="18" t="n">
        <f aca="false">G2272*$B$1/1000000</f>
        <v>272.966699153402</v>
      </c>
    </row>
    <row r="2273" customFormat="false" ht="15" hidden="false" customHeight="false" outlineLevel="0" collapsed="false">
      <c r="A2273" s="4" t="s">
        <v>207</v>
      </c>
      <c r="B2273" s="4" t="s">
        <v>208</v>
      </c>
      <c r="C2273" s="4" t="s">
        <v>35</v>
      </c>
      <c r="D2273" s="16" t="n">
        <v>45078</v>
      </c>
      <c r="E2273" s="4" t="n">
        <v>2023</v>
      </c>
      <c r="F2273" s="4" t="n">
        <v>6</v>
      </c>
      <c r="G2273" s="17" t="n">
        <v>93102236</v>
      </c>
      <c r="H2273" s="18" t="n">
        <f aca="false">G2273*$B$1/1000000</f>
        <v>205.255295630417</v>
      </c>
    </row>
    <row r="2274" customFormat="false" ht="15" hidden="false" customHeight="false" outlineLevel="0" collapsed="false">
      <c r="A2274" s="4" t="s">
        <v>207</v>
      </c>
      <c r="B2274" s="4" t="s">
        <v>208</v>
      </c>
      <c r="C2274" s="4" t="s">
        <v>35</v>
      </c>
      <c r="D2274" s="16" t="n">
        <v>45108</v>
      </c>
      <c r="E2274" s="4" t="n">
        <v>2023</v>
      </c>
      <c r="F2274" s="4" t="n">
        <v>7</v>
      </c>
      <c r="G2274" s="17" t="n">
        <v>55556612</v>
      </c>
      <c r="H2274" s="18" t="n">
        <f aca="false">G2274*$B$1/1000000</f>
        <v>122.481363608543</v>
      </c>
    </row>
    <row r="2275" customFormat="false" ht="15" hidden="false" customHeight="false" outlineLevel="0" collapsed="false">
      <c r="A2275" s="4" t="s">
        <v>207</v>
      </c>
      <c r="B2275" s="4" t="s">
        <v>208</v>
      </c>
      <c r="C2275" s="4" t="s">
        <v>35</v>
      </c>
      <c r="D2275" s="16" t="n">
        <v>45139</v>
      </c>
      <c r="E2275" s="4" t="n">
        <v>2023</v>
      </c>
      <c r="F2275" s="4" t="n">
        <v>8</v>
      </c>
      <c r="G2275" s="17" t="n">
        <v>130122426</v>
      </c>
      <c r="H2275" s="18" t="n">
        <f aca="false">G2275*$B$1/1000000</f>
        <v>286.870843969603</v>
      </c>
    </row>
    <row r="2276" customFormat="false" ht="15" hidden="false" customHeight="false" outlineLevel="0" collapsed="false">
      <c r="A2276" s="4" t="s">
        <v>207</v>
      </c>
      <c r="B2276" s="4" t="s">
        <v>208</v>
      </c>
      <c r="C2276" s="4" t="s">
        <v>35</v>
      </c>
      <c r="D2276" s="16" t="n">
        <v>45170</v>
      </c>
      <c r="E2276" s="4" t="n">
        <v>2023</v>
      </c>
      <c r="F2276" s="4" t="n">
        <v>9</v>
      </c>
      <c r="G2276" s="17" t="n">
        <v>173694461</v>
      </c>
      <c r="H2276" s="18" t="n">
        <f aca="false">G2276*$B$1/1000000</f>
        <v>382.930738010643</v>
      </c>
    </row>
    <row r="2277" customFormat="false" ht="15" hidden="false" customHeight="false" outlineLevel="0" collapsed="false">
      <c r="A2277" s="4" t="s">
        <v>207</v>
      </c>
      <c r="B2277" s="4" t="s">
        <v>208</v>
      </c>
      <c r="C2277" s="4" t="s">
        <v>35</v>
      </c>
      <c r="D2277" s="16" t="n">
        <v>45200</v>
      </c>
      <c r="E2277" s="4" t="n">
        <v>2023</v>
      </c>
      <c r="F2277" s="4" t="n">
        <v>10</v>
      </c>
      <c r="G2277" s="17" t="n">
        <v>188036338</v>
      </c>
      <c r="H2277" s="18" t="n">
        <f aca="false">G2277*$B$1/1000000</f>
        <v>414.549164484633</v>
      </c>
    </row>
    <row r="2278" customFormat="false" ht="15" hidden="false" customHeight="false" outlineLevel="0" collapsed="false">
      <c r="A2278" s="4" t="s">
        <v>207</v>
      </c>
      <c r="B2278" s="4" t="s">
        <v>208</v>
      </c>
      <c r="C2278" s="4" t="s">
        <v>35</v>
      </c>
      <c r="D2278" s="16" t="n">
        <v>45231</v>
      </c>
      <c r="E2278" s="4" t="n">
        <v>2023</v>
      </c>
      <c r="F2278" s="4" t="n">
        <v>11</v>
      </c>
      <c r="G2278" s="17" t="n">
        <v>109317733</v>
      </c>
      <c r="H2278" s="18" t="n">
        <f aca="false">G2278*$B$1/1000000</f>
        <v>241.004347141158</v>
      </c>
    </row>
    <row r="2279" customFormat="false" ht="15" hidden="false" customHeight="false" outlineLevel="0" collapsed="false">
      <c r="A2279" s="4" t="s">
        <v>207</v>
      </c>
      <c r="B2279" s="4" t="s">
        <v>208</v>
      </c>
      <c r="C2279" s="4" t="s">
        <v>35</v>
      </c>
      <c r="D2279" s="16" t="n">
        <v>45261</v>
      </c>
      <c r="E2279" s="4" t="n">
        <v>2023</v>
      </c>
      <c r="F2279" s="4" t="n">
        <v>12</v>
      </c>
      <c r="G2279" s="17" t="n">
        <v>178258468</v>
      </c>
      <c r="H2279" s="18" t="n">
        <f aca="false">G2279*$B$1/1000000</f>
        <v>392.992651089124</v>
      </c>
    </row>
    <row r="2280" customFormat="false" ht="15" hidden="false" customHeight="false" outlineLevel="0" collapsed="false">
      <c r="A2280" s="4" t="s">
        <v>207</v>
      </c>
      <c r="B2280" s="4" t="s">
        <v>208</v>
      </c>
      <c r="C2280" s="4" t="s">
        <v>35</v>
      </c>
      <c r="D2280" s="16" t="n">
        <v>45292</v>
      </c>
      <c r="E2280" s="4" t="n">
        <v>2024</v>
      </c>
      <c r="F2280" s="4" t="n">
        <v>1</v>
      </c>
      <c r="G2280" s="17" t="n">
        <v>223516143</v>
      </c>
      <c r="H2280" s="18" t="n">
        <f aca="false">G2280*$B$1/1000000</f>
        <v>492.76874520646</v>
      </c>
    </row>
    <row r="2281" customFormat="false" ht="15" hidden="false" customHeight="false" outlineLevel="0" collapsed="false">
      <c r="A2281" s="4" t="s">
        <v>207</v>
      </c>
      <c r="B2281" s="4" t="s">
        <v>208</v>
      </c>
      <c r="C2281" s="4" t="s">
        <v>35</v>
      </c>
      <c r="D2281" s="16" t="n">
        <v>45323</v>
      </c>
      <c r="E2281" s="4" t="n">
        <v>2024</v>
      </c>
      <c r="F2281" s="4" t="n">
        <v>2</v>
      </c>
      <c r="G2281" s="17" t="n">
        <v>83441726</v>
      </c>
      <c r="H2281" s="18" t="n">
        <f aca="false">G2281*$B$1/1000000</f>
        <v>183.957516745809</v>
      </c>
    </row>
    <row r="2282" customFormat="false" ht="15" hidden="false" customHeight="false" outlineLevel="0" collapsed="false">
      <c r="A2282" s="4" t="s">
        <v>207</v>
      </c>
      <c r="B2282" s="4" t="s">
        <v>208</v>
      </c>
      <c r="C2282" s="4" t="s">
        <v>35</v>
      </c>
      <c r="D2282" s="16" t="n">
        <v>45352</v>
      </c>
      <c r="E2282" s="4" t="n">
        <v>2024</v>
      </c>
      <c r="F2282" s="4" t="n">
        <v>3</v>
      </c>
      <c r="G2282" s="17" t="n">
        <v>287831819</v>
      </c>
      <c r="H2282" s="18" t="n">
        <f aca="false">G2282*$B$1/1000000</f>
        <v>634.560539455635</v>
      </c>
    </row>
    <row r="2283" customFormat="false" ht="15" hidden="false" customHeight="false" outlineLevel="0" collapsed="false">
      <c r="A2283" s="4" t="s">
        <v>207</v>
      </c>
      <c r="B2283" s="4" t="s">
        <v>208</v>
      </c>
      <c r="C2283" s="4" t="s">
        <v>35</v>
      </c>
      <c r="D2283" s="16" t="n">
        <v>45383</v>
      </c>
      <c r="E2283" s="4" t="n">
        <v>2024</v>
      </c>
      <c r="F2283" s="4" t="n">
        <v>4</v>
      </c>
      <c r="G2283" s="17" t="n">
        <v>124472935</v>
      </c>
      <c r="H2283" s="18" t="n">
        <f aca="false">G2283*$B$1/1000000</f>
        <v>274.415848309065</v>
      </c>
    </row>
    <row r="2284" customFormat="false" ht="15" hidden="false" customHeight="false" outlineLevel="0" collapsed="false">
      <c r="A2284" s="4" t="s">
        <v>207</v>
      </c>
      <c r="B2284" s="4" t="s">
        <v>208</v>
      </c>
      <c r="C2284" s="4" t="s">
        <v>35</v>
      </c>
      <c r="D2284" s="16" t="n">
        <v>45413</v>
      </c>
      <c r="E2284" s="4" t="n">
        <v>2024</v>
      </c>
      <c r="F2284" s="4" t="n">
        <v>5</v>
      </c>
      <c r="G2284" s="17" t="n">
        <v>139466415</v>
      </c>
      <c r="H2284" s="18" t="n">
        <f aca="false">G2284*$B$1/1000000</f>
        <v>307.47081349732</v>
      </c>
    </row>
    <row r="2285" customFormat="false" ht="15" hidden="false" customHeight="false" outlineLevel="0" collapsed="false">
      <c r="A2285" s="4" t="s">
        <v>207</v>
      </c>
      <c r="B2285" s="4" t="s">
        <v>208</v>
      </c>
      <c r="C2285" s="4" t="s">
        <v>35</v>
      </c>
      <c r="D2285" s="16" t="n">
        <v>45444</v>
      </c>
      <c r="E2285" s="4" t="n">
        <v>2024</v>
      </c>
      <c r="F2285" s="4" t="n">
        <v>6</v>
      </c>
      <c r="G2285" s="17" t="n">
        <v>167983252</v>
      </c>
      <c r="H2285" s="18" t="n">
        <f aca="false">G2285*$B$1/1000000</f>
        <v>370.339677451129</v>
      </c>
    </row>
    <row r="2286" customFormat="false" ht="15" hidden="false" customHeight="false" outlineLevel="0" collapsed="false">
      <c r="A2286" s="4" t="s">
        <v>207</v>
      </c>
      <c r="B2286" s="4" t="s">
        <v>208</v>
      </c>
      <c r="C2286" s="4" t="s">
        <v>35</v>
      </c>
      <c r="D2286" s="16" t="n">
        <v>45474</v>
      </c>
      <c r="E2286" s="4" t="n">
        <v>2024</v>
      </c>
      <c r="F2286" s="4" t="n">
        <v>7</v>
      </c>
      <c r="G2286" s="17" t="n">
        <v>198056521</v>
      </c>
      <c r="H2286" s="18" t="n">
        <f aca="false">G2286*$B$1/1000000</f>
        <v>436.63988660151</v>
      </c>
    </row>
    <row r="2287" customFormat="false" ht="15" hidden="false" customHeight="false" outlineLevel="0" collapsed="false">
      <c r="A2287" s="4" t="s">
        <v>207</v>
      </c>
      <c r="B2287" s="4" t="s">
        <v>208</v>
      </c>
      <c r="C2287" s="4" t="s">
        <v>35</v>
      </c>
      <c r="D2287" s="16" t="n">
        <v>45505</v>
      </c>
      <c r="E2287" s="4" t="n">
        <v>2024</v>
      </c>
      <c r="F2287" s="4" t="n">
        <v>8</v>
      </c>
      <c r="G2287" s="17" t="n">
        <v>245282758</v>
      </c>
      <c r="H2287" s="18" t="n">
        <f aca="false">G2287*$B$1/1000000</f>
        <v>540.755917036559</v>
      </c>
    </row>
    <row r="2288" customFormat="false" ht="15" hidden="false" customHeight="false" outlineLevel="0" collapsed="false">
      <c r="A2288" s="4" t="s">
        <v>207</v>
      </c>
      <c r="B2288" s="4" t="s">
        <v>208</v>
      </c>
      <c r="C2288" s="4" t="s">
        <v>35</v>
      </c>
      <c r="D2288" s="16" t="n">
        <v>45536</v>
      </c>
      <c r="E2288" s="4" t="n">
        <v>2024</v>
      </c>
      <c r="F2288" s="4" t="n">
        <v>9</v>
      </c>
      <c r="G2288" s="17" t="n">
        <v>313813796</v>
      </c>
      <c r="H2288" s="18" t="n">
        <f aca="false">G2288*$B$1/1000000</f>
        <v>691.840993710221</v>
      </c>
    </row>
    <row r="2289" customFormat="false" ht="15" hidden="false" customHeight="false" outlineLevel="0" collapsed="false">
      <c r="A2289" s="4" t="s">
        <v>207</v>
      </c>
      <c r="B2289" s="4" t="s">
        <v>208</v>
      </c>
      <c r="C2289" s="4" t="s">
        <v>35</v>
      </c>
      <c r="D2289" s="16" t="n">
        <v>45566</v>
      </c>
      <c r="E2289" s="4" t="n">
        <v>2024</v>
      </c>
      <c r="F2289" s="4" t="n">
        <v>10</v>
      </c>
      <c r="G2289" s="17" t="n">
        <v>226931026</v>
      </c>
      <c r="H2289" s="18" t="n">
        <f aca="false">G2289*$B$1/1000000</f>
        <v>500.297273519231</v>
      </c>
    </row>
    <row r="2290" customFormat="false" ht="15" hidden="false" customHeight="false" outlineLevel="0" collapsed="false">
      <c r="A2290" s="4" t="s">
        <v>207</v>
      </c>
      <c r="B2290" s="4" t="s">
        <v>208</v>
      </c>
      <c r="C2290" s="4" t="s">
        <v>35</v>
      </c>
      <c r="D2290" s="16" t="n">
        <v>45597</v>
      </c>
      <c r="E2290" s="4" t="n">
        <v>2024</v>
      </c>
      <c r="F2290" s="4" t="n">
        <v>11</v>
      </c>
      <c r="G2290" s="17" t="n">
        <v>277838617</v>
      </c>
      <c r="H2290" s="18" t="n">
        <f aca="false">G2290*$B$1/1000000</f>
        <v>612.529300261718</v>
      </c>
    </row>
    <row r="2291" customFormat="false" ht="15" hidden="false" customHeight="false" outlineLevel="0" collapsed="false">
      <c r="A2291" s="4" t="s">
        <v>207</v>
      </c>
      <c r="B2291" s="4" t="s">
        <v>208</v>
      </c>
      <c r="C2291" s="4" t="s">
        <v>35</v>
      </c>
      <c r="D2291" s="16" t="n">
        <v>45627</v>
      </c>
      <c r="E2291" s="4" t="n">
        <v>2024</v>
      </c>
      <c r="F2291" s="4" t="n">
        <v>12</v>
      </c>
      <c r="G2291" s="17" t="n">
        <v>172861052</v>
      </c>
      <c r="H2291" s="18" t="n">
        <f aca="false">G2291*$B$1/1000000</f>
        <v>381.093385675989</v>
      </c>
    </row>
    <row r="2292" customFormat="false" ht="15" hidden="false" customHeight="false" outlineLevel="0" collapsed="false">
      <c r="A2292" s="4" t="s">
        <v>207</v>
      </c>
      <c r="B2292" s="4" t="s">
        <v>208</v>
      </c>
      <c r="C2292" s="4" t="s">
        <v>35</v>
      </c>
      <c r="D2292" s="16" t="n">
        <v>45658</v>
      </c>
      <c r="E2292" s="4" t="n">
        <v>2025</v>
      </c>
      <c r="F2292" s="4" t="n">
        <v>1</v>
      </c>
      <c r="G2292" s="17" t="n">
        <v>274665269</v>
      </c>
      <c r="H2292" s="18" t="n">
        <f aca="false">G2292*$B$1/1000000</f>
        <v>605.533265473916</v>
      </c>
    </row>
    <row r="2293" customFormat="false" ht="15" hidden="false" customHeight="false" outlineLevel="0" collapsed="false">
      <c r="A2293" s="4" t="s">
        <v>207</v>
      </c>
      <c r="B2293" s="4" t="s">
        <v>208</v>
      </c>
      <c r="C2293" s="4" t="s">
        <v>35</v>
      </c>
      <c r="D2293" s="16" t="n">
        <v>45689</v>
      </c>
      <c r="E2293" s="4" t="n">
        <v>2025</v>
      </c>
      <c r="F2293" s="4" t="n">
        <v>2</v>
      </c>
      <c r="G2293" s="17" t="n">
        <v>206390043</v>
      </c>
      <c r="H2293" s="18" t="n">
        <f aca="false">G2293*$B$1/1000000</f>
        <v>455.012157722394</v>
      </c>
    </row>
    <row r="2294" customFormat="false" ht="15" hidden="false" customHeight="false" outlineLevel="0" collapsed="false">
      <c r="A2294" s="4" t="s">
        <v>207</v>
      </c>
      <c r="B2294" s="4" t="s">
        <v>208</v>
      </c>
      <c r="C2294" s="4" t="s">
        <v>35</v>
      </c>
      <c r="D2294" s="16" t="n">
        <v>45717</v>
      </c>
      <c r="E2294" s="4" t="n">
        <v>2025</v>
      </c>
      <c r="F2294" s="4" t="n">
        <v>3</v>
      </c>
      <c r="G2294" s="17" t="n">
        <v>231174028</v>
      </c>
      <c r="H2294" s="18" t="n">
        <f aca="false">G2294*$B$1/1000000</f>
        <v>509.651491712985</v>
      </c>
    </row>
    <row r="2295" customFormat="false" ht="15" hidden="false" customHeight="false" outlineLevel="0" collapsed="false">
      <c r="A2295" s="4" t="s">
        <v>207</v>
      </c>
      <c r="B2295" s="4" t="s">
        <v>208</v>
      </c>
      <c r="C2295" s="4" t="s">
        <v>35</v>
      </c>
      <c r="D2295" s="16" t="n">
        <v>45748</v>
      </c>
      <c r="E2295" s="4" t="n">
        <v>2025</v>
      </c>
      <c r="F2295" s="4" t="n">
        <v>4</v>
      </c>
      <c r="G2295" s="17" t="n">
        <v>96860266</v>
      </c>
      <c r="H2295" s="18" t="n">
        <f aca="false">G2295*$B$1/1000000</f>
        <v>213.540333582008</v>
      </c>
    </row>
    <row r="2296" customFormat="false" ht="15" hidden="false" customHeight="false" outlineLevel="0" collapsed="false">
      <c r="A2296" s="4" t="s">
        <v>207</v>
      </c>
      <c r="B2296" s="4" t="s">
        <v>208</v>
      </c>
      <c r="C2296" s="4" t="s">
        <v>35</v>
      </c>
      <c r="D2296" s="16" t="n">
        <v>45778</v>
      </c>
      <c r="E2296" s="4" t="n">
        <v>2025</v>
      </c>
      <c r="F2296" s="4" t="n">
        <v>5</v>
      </c>
      <c r="G2296" s="17" t="n">
        <v>212514370</v>
      </c>
      <c r="H2296" s="18" t="n">
        <f aca="false">G2296*$B$1/1000000</f>
        <v>468.513987570201</v>
      </c>
    </row>
    <row r="2297" customFormat="false" ht="15" hidden="false" customHeight="false" outlineLevel="0" collapsed="false">
      <c r="A2297" s="4" t="s">
        <v>207</v>
      </c>
      <c r="B2297" s="4" t="s">
        <v>208</v>
      </c>
      <c r="C2297" s="4" t="s">
        <v>35</v>
      </c>
      <c r="D2297" s="16" t="n">
        <v>45809</v>
      </c>
      <c r="E2297" s="4" t="n">
        <v>2025</v>
      </c>
      <c r="F2297" s="4" t="n">
        <v>6</v>
      </c>
      <c r="G2297" s="17" t="n">
        <v>93603516</v>
      </c>
      <c r="H2297" s="18" t="n">
        <f aca="false">G2297*$B$1/1000000</f>
        <v>206.360428858298</v>
      </c>
    </row>
    <row r="2298" customFormat="false" ht="15" hidden="false" customHeight="false" outlineLevel="0" collapsed="false">
      <c r="A2298" s="4" t="s">
        <v>207</v>
      </c>
      <c r="B2298" s="4" t="s">
        <v>208</v>
      </c>
      <c r="C2298" s="4" t="s">
        <v>35</v>
      </c>
      <c r="D2298" s="16" t="n">
        <v>45839</v>
      </c>
      <c r="E2298" s="4" t="n">
        <v>2025</v>
      </c>
      <c r="F2298" s="4" t="n">
        <v>7</v>
      </c>
      <c r="G2298" s="17" t="n">
        <v>201267555</v>
      </c>
      <c r="H2298" s="18" t="n">
        <f aca="false">G2298*$B$1/1000000</f>
        <v>443.719004797439</v>
      </c>
    </row>
    <row r="2299" customFormat="false" ht="15" hidden="false" customHeight="false" outlineLevel="0" collapsed="false">
      <c r="A2299" s="4" t="s">
        <v>207</v>
      </c>
      <c r="B2299" s="4" t="s">
        <v>208</v>
      </c>
      <c r="C2299" s="4" t="s">
        <v>35</v>
      </c>
      <c r="D2299" s="16" t="n">
        <v>45870</v>
      </c>
      <c r="E2299" s="4" t="n">
        <v>2025</v>
      </c>
      <c r="F2299" s="4" t="n">
        <v>8</v>
      </c>
      <c r="G2299" s="17" t="n">
        <v>164143307</v>
      </c>
      <c r="H2299" s="18" t="n">
        <f aca="false">G2299*$B$1/1000000</f>
        <v>361.874047837469</v>
      </c>
    </row>
    <row r="2300" customFormat="false" ht="15" hidden="false" customHeight="false" outlineLevel="0" collapsed="false">
      <c r="A2300" s="4" t="s">
        <v>207</v>
      </c>
      <c r="B2300" s="4" t="s">
        <v>208</v>
      </c>
      <c r="C2300" s="4" t="s">
        <v>35</v>
      </c>
      <c r="D2300" s="16" t="n">
        <v>45901</v>
      </c>
      <c r="E2300" s="4" t="n">
        <v>2025</v>
      </c>
      <c r="F2300" s="4" t="n">
        <v>9</v>
      </c>
      <c r="G2300" s="17" t="n">
        <v>176336064</v>
      </c>
      <c r="H2300" s="18" t="n">
        <f aca="false">G2300*$B$1/1000000</f>
        <v>388.754475742389</v>
      </c>
    </row>
    <row r="2301" customFormat="false" ht="15" hidden="false" customHeight="false" outlineLevel="0" collapsed="false">
      <c r="A2301" s="4" t="s">
        <v>207</v>
      </c>
      <c r="B2301" s="4" t="s">
        <v>208</v>
      </c>
      <c r="C2301" s="4" t="s">
        <v>35</v>
      </c>
      <c r="D2301" s="16" t="n">
        <v>45931</v>
      </c>
      <c r="E2301" s="4" t="n">
        <v>2025</v>
      </c>
      <c r="F2301" s="4" t="n">
        <v>10</v>
      </c>
      <c r="G2301" s="17" t="n">
        <v>128222531</v>
      </c>
      <c r="H2301" s="18" t="n">
        <f aca="false">G2301*$B$1/1000000</f>
        <v>282.682292473463</v>
      </c>
    </row>
    <row r="2302" customFormat="false" ht="15" hidden="false" customHeight="false" outlineLevel="0" collapsed="false">
      <c r="A2302" s="4" t="s">
        <v>207</v>
      </c>
      <c r="B2302" s="4" t="s">
        <v>208</v>
      </c>
      <c r="C2302" s="4" t="s">
        <v>35</v>
      </c>
      <c r="D2302" s="16" t="n">
        <v>45962</v>
      </c>
      <c r="E2302" s="4" t="n">
        <v>2025</v>
      </c>
      <c r="F2302" s="4" t="n">
        <v>11</v>
      </c>
      <c r="G2302" s="17" t="n">
        <v>203627627</v>
      </c>
      <c r="H2302" s="18" t="n">
        <f aca="false">G2302*$B$1/1000000</f>
        <v>448.922072917834</v>
      </c>
    </row>
    <row r="2303" customFormat="false" ht="15" hidden="false" customHeight="false" outlineLevel="0" collapsed="false">
      <c r="A2303" s="4" t="s">
        <v>207</v>
      </c>
      <c r="B2303" s="4" t="s">
        <v>208</v>
      </c>
      <c r="C2303" s="4" t="s">
        <v>35</v>
      </c>
      <c r="D2303" s="16" t="n">
        <v>45992</v>
      </c>
      <c r="E2303" s="4" t="n">
        <v>2025</v>
      </c>
      <c r="F2303" s="4" t="n">
        <v>12</v>
      </c>
      <c r="G2303" s="17" t="n">
        <v>179444830</v>
      </c>
      <c r="H2303" s="18" t="n">
        <f aca="false">G2303*$B$1/1000000</f>
        <v>395.608131592028</v>
      </c>
    </row>
    <row r="2304" customFormat="false" ht="15" hidden="false" customHeight="false" outlineLevel="0" collapsed="false">
      <c r="A2304" s="4" t="s">
        <v>207</v>
      </c>
      <c r="B2304" s="4" t="s">
        <v>208</v>
      </c>
      <c r="C2304" s="4" t="s">
        <v>35</v>
      </c>
      <c r="D2304" s="16" t="n">
        <v>46023</v>
      </c>
      <c r="E2304" s="4" t="n">
        <v>2026</v>
      </c>
      <c r="F2304" s="4" t="n">
        <v>1</v>
      </c>
      <c r="G2304" s="17" t="n">
        <v>49256547</v>
      </c>
      <c r="H2304" s="18" t="n">
        <f aca="false">G2304*$B$1/1000000</f>
        <v>108.592097790418</v>
      </c>
    </row>
    <row r="2305" customFormat="false" ht="15" hidden="false" customHeight="false" outlineLevel="0" collapsed="false">
      <c r="A2305" s="4" t="s">
        <v>207</v>
      </c>
      <c r="B2305" s="4" t="s">
        <v>208</v>
      </c>
      <c r="C2305" s="4" t="s">
        <v>35</v>
      </c>
      <c r="D2305" s="16" t="n">
        <v>46054</v>
      </c>
      <c r="E2305" s="4" t="n">
        <v>2026</v>
      </c>
      <c r="F2305" s="4" t="n">
        <v>2</v>
      </c>
      <c r="G2305" s="17" t="n">
        <v>105657554</v>
      </c>
      <c r="H2305" s="18" t="n">
        <f aca="false">G2305*$B$1/1000000</f>
        <v>232.935033717738</v>
      </c>
    </row>
    <row r="2306" customFormat="false" ht="15" hidden="false" customHeight="false" outlineLevel="0" collapsed="false">
      <c r="A2306" s="4" t="s">
        <v>207</v>
      </c>
      <c r="B2306" s="4" t="s">
        <v>208</v>
      </c>
      <c r="C2306" s="4" t="s">
        <v>35</v>
      </c>
      <c r="D2306" s="16" t="n">
        <v>46082</v>
      </c>
      <c r="E2306" s="4" t="n">
        <v>2026</v>
      </c>
      <c r="F2306" s="4" t="n">
        <v>3</v>
      </c>
      <c r="G2306" s="17" t="n">
        <v>78483185</v>
      </c>
      <c r="H2306" s="18" t="n">
        <f aca="false">G2306*$B$1/1000000</f>
        <v>173.025805085839</v>
      </c>
    </row>
    <row r="2307" customFormat="false" ht="15" hidden="false" customHeight="false" outlineLevel="0" collapsed="false">
      <c r="A2307" s="4" t="s">
        <v>207</v>
      </c>
      <c r="B2307" s="4" t="s">
        <v>208</v>
      </c>
      <c r="C2307" s="4" t="s">
        <v>35</v>
      </c>
      <c r="D2307" s="16" t="n">
        <v>46113</v>
      </c>
      <c r="E2307" s="4" t="n">
        <v>2026</v>
      </c>
      <c r="F2307" s="4" t="n">
        <v>4</v>
      </c>
      <c r="G2307" s="17" t="n">
        <v>104411093</v>
      </c>
      <c r="H2307" s="18" t="n">
        <f aca="false">G2307*$B$1/1000000</f>
        <v>230.187057599884</v>
      </c>
    </row>
    <row r="2308" customFormat="false" ht="15" hidden="false" customHeight="false" outlineLevel="0" collapsed="false">
      <c r="A2308" s="4" t="s">
        <v>207</v>
      </c>
      <c r="B2308" s="4" t="s">
        <v>208</v>
      </c>
      <c r="C2308" s="4" t="s">
        <v>35</v>
      </c>
      <c r="D2308" s="16" t="n">
        <v>46143</v>
      </c>
      <c r="E2308" s="4" t="n">
        <v>2026</v>
      </c>
      <c r="F2308" s="4" t="n">
        <v>5</v>
      </c>
      <c r="G2308" s="17" t="n">
        <v>144346555</v>
      </c>
      <c r="H2308" s="18" t="n">
        <f aca="false">G2308*$B$1/1000000</f>
        <v>318.229680539115</v>
      </c>
    </row>
    <row r="2309" customFormat="false" ht="15" hidden="false" customHeight="false" outlineLevel="0" collapsed="false">
      <c r="A2309" s="4" t="s">
        <v>207</v>
      </c>
      <c r="B2309" s="4" t="s">
        <v>208</v>
      </c>
      <c r="C2309" s="4" t="s">
        <v>35</v>
      </c>
      <c r="D2309" s="16" t="n">
        <v>46174</v>
      </c>
      <c r="E2309" s="4" t="n">
        <v>2026</v>
      </c>
      <c r="F2309" s="4" t="n">
        <v>6</v>
      </c>
      <c r="G2309" s="17" t="n">
        <v>184528502</v>
      </c>
      <c r="H2309" s="18" t="n">
        <f aca="false">G2309*$B$1/1000000</f>
        <v>406.815709885293</v>
      </c>
    </row>
    <row r="2310" customFormat="false" ht="15" hidden="false" customHeight="false" outlineLevel="0" collapsed="false">
      <c r="A2310" s="4" t="s">
        <v>207</v>
      </c>
      <c r="B2310" s="4" t="s">
        <v>208</v>
      </c>
      <c r="C2310" s="4" t="s">
        <v>35</v>
      </c>
      <c r="D2310" s="16" t="n">
        <v>46204</v>
      </c>
      <c r="E2310" s="4" t="n">
        <v>2026</v>
      </c>
      <c r="F2310" s="4" t="n">
        <v>7</v>
      </c>
      <c r="G2310" s="17" t="n">
        <v>338382945</v>
      </c>
      <c r="H2310" s="18" t="n">
        <f aca="false">G2310*$B$1/1000000</f>
        <v>746.006695395224</v>
      </c>
    </row>
    <row r="2311" customFormat="false" ht="15" hidden="false" customHeight="false" outlineLevel="0" collapsed="false">
      <c r="A2311" s="4" t="s">
        <v>207</v>
      </c>
      <c r="B2311" s="4" t="s">
        <v>208</v>
      </c>
      <c r="C2311" s="4" t="s">
        <v>35</v>
      </c>
      <c r="D2311" s="16" t="n">
        <v>46235</v>
      </c>
      <c r="E2311" s="4" t="n">
        <v>2026</v>
      </c>
      <c r="F2311" s="4" t="n">
        <v>8</v>
      </c>
      <c r="G2311" s="17" t="n">
        <v>266150052</v>
      </c>
      <c r="H2311" s="18" t="n">
        <f aca="false">G2311*$B$1/1000000</f>
        <v>586.760425445754</v>
      </c>
    </row>
  </sheetData>
  <autoFilter ref="A3:H23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2026-10-07T12:20:18Z</dcterms:created>
  <dc:creator>openpyxl</dc:creator>
  <dc:description/>
  <dc:language>en-US</dc:language>
  <cp:lastModifiedBy/>
  <dcterms:modified xsi:type="dcterms:W3CDTF">2026-10-07T12:20:29Z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