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Not Available" sheetId="2" state="visible" r:id="rId4"/>
    <sheet name="China" sheetId="3" state="visible" r:id="rId5"/>
    <sheet name="Mexico" sheetId="4" state="visible" r:id="rId6"/>
    <sheet name="Japan" sheetId="5" state="visible" r:id="rId7"/>
    <sheet name="South Korea" sheetId="6" state="visible" r:id="rId8"/>
    <sheet name="Colombia" sheetId="7" state="visible" r:id="rId9"/>
    <sheet name="Egypt" sheetId="8" state="visible" r:id="rId10"/>
    <sheet name="Spain" sheetId="9" state="visible" r:id="rId11"/>
    <sheet name="Taiwan" sheetId="10" state="visible" r:id="rId12"/>
    <sheet name="Costa Rica" sheetId="11" state="visible" r:id="rId13"/>
    <sheet name="Guatemala" sheetId="12" state="visible" r:id="rId14"/>
    <sheet name="Saudi Arabia" sheetId="13" state="visible" r:id="rId15"/>
    <sheet name="Argentina" sheetId="14" state="visible" r:id="rId16"/>
    <sheet name="Pakistan" sheetId="15" state="visible" r:id="rId17"/>
    <sheet name="Other" sheetId="16" state="visible" r:id="rId18"/>
  </sheets>
  <definedNames>
    <definedName function="false" hidden="true" localSheetId="13" name="_xlnm._FilterDatabase" vbProcedure="false">Argentina!$A$4:$H$10</definedName>
    <definedName function="false" hidden="true" localSheetId="2" name="_xlnm._FilterDatabase" vbProcedure="false">China!$A$4:$H$527</definedName>
    <definedName function="false" hidden="true" localSheetId="6" name="_xlnm._FilterDatabase" vbProcedure="false">Colombia!$A$4:$H$37</definedName>
    <definedName function="false" hidden="true" localSheetId="10" name="_xlnm._FilterDatabase" vbProcedure="false">'Costa Rica'!$A$4:$H$11</definedName>
    <definedName function="false" hidden="true" localSheetId="7" name="_xlnm._FilterDatabase" vbProcedure="false">Egypt!$A$4:$H$30</definedName>
    <definedName function="false" hidden="true" localSheetId="11" name="_xlnm._FilterDatabase" vbProcedure="false">Guatemala!$A$4:$H$11</definedName>
    <definedName function="false" hidden="true" localSheetId="4" name="_xlnm._FilterDatabase" vbProcedure="false">Japan!$A$4:$H$63</definedName>
    <definedName function="false" hidden="true" localSheetId="3" name="_xlnm._FilterDatabase" vbProcedure="false">Mexico!$A$4:$H$365</definedName>
    <definedName function="false" hidden="true" localSheetId="1" name="_xlnm._FilterDatabase" vbProcedure="false">'Not Available'!$A$4:$H$757</definedName>
    <definedName function="false" hidden="true" localSheetId="15" name="_xlnm._FilterDatabase" vbProcedure="false">Other!$A$4:$H$19</definedName>
    <definedName function="false" hidden="true" localSheetId="14" name="_xlnm._FilterDatabase" vbProcedure="false">Pakistan!$A$4:$H$10</definedName>
    <definedName function="false" hidden="true" localSheetId="12" name="_xlnm._FilterDatabase" vbProcedure="false">'Saudi Arabia'!$A$4:$H$10</definedName>
    <definedName function="false" hidden="true" localSheetId="5" name="_xlnm._FilterDatabase" vbProcedure="false">'South Korea'!$A$4:$H$48</definedName>
    <definedName function="false" hidden="true" localSheetId="8" name="_xlnm._FilterDatabase" vbProcedure="false">Spain!$A$4:$H$17</definedName>
    <definedName function="false" hidden="true" localSheetId="9" name="_xlnm._FilterDatabase" vbProcedure="false">Taiwan!$A$4:$H$14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<sst xmlns="http://schemas.openxmlformats.org/spreadsheetml/2006/main" count="8335" uniqueCount="80">
  <si>
    <t xml:space="preserve">Daily flash sales by destination (metric tonnes)</t>
  </si>
  <si>
    <t xml:space="preserve">Source: user-supplied "hist_flash_sales.xlsx" (USDA FAS daily export sales). "Not Available" = unknown destinations. "Other" groups destinations with 3 or fewer sales.</t>
  </si>
  <si>
    <t xml:space="preserve">By delivery marketing year (USDA "Marketing Year": season the grain ships in)</t>
  </si>
  <si>
    <t xml:space="preserve">Corn</t>
  </si>
  <si>
    <t xml:space="preserve">Destination</t>
  </si>
  <si>
    <t xml:space="preserve">2010/2011</t>
  </si>
  <si>
    <t xml:space="preserve">2011/2012</t>
  </si>
  <si>
    <t xml:space="preserve">2012/2013</t>
  </si>
  <si>
    <t xml:space="preserve">2013/2014</t>
  </si>
  <si>
    <t xml:space="preserve">2014/2015</t>
  </si>
  <si>
    <t xml:space="preserve">2015/2016</t>
  </si>
  <si>
    <t xml:space="preserve">2016/2017</t>
  </si>
  <si>
    <t xml:space="preserve">2017/2018</t>
  </si>
  <si>
    <t xml:space="preserve">2018/2019</t>
  </si>
  <si>
    <t xml:space="preserve">2019/2020</t>
  </si>
  <si>
    <t xml:space="preserve">2020/2021</t>
  </si>
  <si>
    <t xml:space="preserve">2021/2022</t>
  </si>
  <si>
    <t xml:space="preserve">2022/2023</t>
  </si>
  <si>
    <t xml:space="preserve">2023/2024</t>
  </si>
  <si>
    <t xml:space="preserve">2024/2025</t>
  </si>
  <si>
    <t xml:space="preserve">2025/2026</t>
  </si>
  <si>
    <t xml:space="preserve">2026/2027</t>
  </si>
  <si>
    <t xml:space="preserve">2027/2028</t>
  </si>
  <si>
    <t xml:space="preserve">2028/2029</t>
  </si>
  <si>
    <t xml:space="preserve">Total</t>
  </si>
  <si>
    <t xml:space="preserve">Not Available</t>
  </si>
  <si>
    <t xml:space="preserve">China</t>
  </si>
  <si>
    <t xml:space="preserve">Mexico</t>
  </si>
  <si>
    <t xml:space="preserve">Japan</t>
  </si>
  <si>
    <t xml:space="preserve">South Korea</t>
  </si>
  <si>
    <t xml:space="preserve">Colombia</t>
  </si>
  <si>
    <t xml:space="preserve">Egypt</t>
  </si>
  <si>
    <t xml:space="preserve">Spain</t>
  </si>
  <si>
    <t xml:space="preserve">Taiwan</t>
  </si>
  <si>
    <t xml:space="preserve">Costa Rica</t>
  </si>
  <si>
    <t xml:space="preserve">Guatemala</t>
  </si>
  <si>
    <t xml:space="preserve">Saudi Arabia</t>
  </si>
  <si>
    <t xml:space="preserve">Argentina</t>
  </si>
  <si>
    <t xml:space="preserve">Pakistan</t>
  </si>
  <si>
    <t xml:space="preserve">Other</t>
  </si>
  <si>
    <t xml:space="preserve">Soybean</t>
  </si>
  <si>
    <t xml:space="preserve">Corn + Soybean</t>
  </si>
  <si>
    <t xml:space="preserve">By sale season (Sep 1 – Aug 31, based on the date the sale was made)</t>
  </si>
  <si>
    <t xml:space="preserve">Not Available — USDA daily flash sales (metric tonnes)</t>
  </si>
  <si>
    <t xml:space="preserve">Detail sorted by sale date. Summaries on the right are formulas over the detail.</t>
  </si>
  <si>
    <t xml:space="preserve">Sale Date</t>
  </si>
  <si>
    <t xml:space="preserve">Reported in</t>
  </si>
  <si>
    <t xml:space="preserve">Week Ending Date</t>
  </si>
  <si>
    <t xml:space="preserve">Delivery MY (USDA)</t>
  </si>
  <si>
    <t xml:space="preserve">Sale Season (Sep-Aug)</t>
  </si>
  <si>
    <t xml:space="preserve">Product</t>
  </si>
  <si>
    <t xml:space="preserve">Quantity</t>
  </si>
  <si>
    <t xml:space="preserve">Delivery MY</t>
  </si>
  <si>
    <t xml:space="preserve"># Sales</t>
  </si>
  <si>
    <t xml:space="preserve">Sale Season</t>
  </si>
  <si>
    <t xml:space="preserve">China — USDA daily flash sales (metric tonnes)</t>
  </si>
  <si>
    <t xml:space="preserve">Mexico — USDA daily flash sales (metric tonnes)</t>
  </si>
  <si>
    <t xml:space="preserve">Japan — USDA daily flash sales (metric tonnes)</t>
  </si>
  <si>
    <t xml:space="preserve">South Korea — USDA daily flash sales (metric tonnes)</t>
  </si>
  <si>
    <t xml:space="preserve">Colombia — USDA daily flash sales (metric tonnes)</t>
  </si>
  <si>
    <t xml:space="preserve">Egypt — USDA daily flash sales (metric tonnes)</t>
  </si>
  <si>
    <t xml:space="preserve">Spain — USDA daily flash sales (metric tonnes)</t>
  </si>
  <si>
    <t xml:space="preserve">Taiwan — USDA daily flash sales (metric tonnes)</t>
  </si>
  <si>
    <t xml:space="preserve">Costa Rica — USDA daily flash sales (metric tonnes)</t>
  </si>
  <si>
    <t xml:space="preserve">Guatemala — USDA daily flash sales (metric tonnes)</t>
  </si>
  <si>
    <t xml:space="preserve">Saudi Arabia — USDA daily flash sales (metric tonnes)</t>
  </si>
  <si>
    <t xml:space="preserve">Argentina — USDA daily flash sales (metric tonnes)</t>
  </si>
  <si>
    <t xml:space="preserve">Pakistan — USDA daily flash sales (metric tonnes)</t>
  </si>
  <si>
    <t xml:space="preserve">Other destinations — USDA daily flash sales (metric tonnes)</t>
  </si>
  <si>
    <t xml:space="preserve">Destinations with 3 or fewer sales: Bangladesh, Barbados, Israel, Italy, Netherlands, Panama, Peru, Portugal, Russian Federation, Vietnam</t>
  </si>
  <si>
    <t xml:space="preserve">Russian Federation</t>
  </si>
  <si>
    <t xml:space="preserve">Netherlands</t>
  </si>
  <si>
    <t xml:space="preserve">Israel</t>
  </si>
  <si>
    <t xml:space="preserve">Barbados</t>
  </si>
  <si>
    <t xml:space="preserve">Bangladesh</t>
  </si>
  <si>
    <t xml:space="preserve">Peru</t>
  </si>
  <si>
    <t xml:space="preserve">Panama</t>
  </si>
  <si>
    <t xml:space="preserve">Vietnam</t>
  </si>
  <si>
    <t xml:space="preserve">Italy</t>
  </si>
  <si>
    <t xml:space="preserve">Portugal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</si>
</sst>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4" min="2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35" hidden="false" customHeight="false" outlineLevel="0" collapsed="false">
      <c r="A4" s="3" t="s">
        <v>2</v>
      </c>
    </row>
    <row r="6" customFormat="false" ht="16.15" hidden="false" customHeight="false" outlineLevel="0" collapsed="false">
      <c r="A6" s="1" t="s">
        <v>3</v>
      </c>
    </row>
    <row r="7" customFormat="false" ht="15" hidden="false" customHeight="fals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  <c r="R7" s="4" t="s">
        <v>21</v>
      </c>
      <c r="S7" s="4" t="s">
        <v>22</v>
      </c>
      <c r="T7" s="4" t="s">
        <v>23</v>
      </c>
      <c r="U7" s="4" t="s">
        <v>24</v>
      </c>
    </row>
    <row r="8" customFormat="false" ht="15" hidden="false" customHeight="false" outlineLevel="0" collapsed="false">
      <c r="A8" s="5" t="s">
        <v>25</v>
      </c>
      <c r="B8" s="6" t="n">
        <f aca="false">SUMIFS('Not Available'!$H:$H,'Not Available'!$E:$E,B$7,'Not Available'!$G:$G,"Corn")</f>
        <v>130000</v>
      </c>
      <c r="C8" s="6" t="n">
        <f aca="false">SUMIFS('Not Available'!$H:$H,'Not Available'!$E:$E,C$7,'Not Available'!$G:$G,"Corn")</f>
        <v>100000</v>
      </c>
      <c r="D8" s="6" t="n">
        <f aca="false">SUMIFS('Not Available'!$H:$H,'Not Available'!$E:$E,D$7,'Not Available'!$G:$G,"Corn")</f>
        <v>58928</v>
      </c>
      <c r="E8" s="6" t="n">
        <f aca="false">SUMIFS('Not Available'!$H:$H,'Not Available'!$E:$E,E$7,'Not Available'!$G:$G,"Corn")</f>
        <v>978280</v>
      </c>
      <c r="F8" s="6" t="n">
        <f aca="false">SUMIFS('Not Available'!$H:$H,'Not Available'!$E:$E,F$7,'Not Available'!$G:$G,"Corn")</f>
        <v>16256</v>
      </c>
      <c r="G8" s="6" t="n">
        <f aca="false">SUMIFS('Not Available'!$H:$H,'Not Available'!$E:$E,G$7,'Not Available'!$G:$G,"Corn")</f>
        <v>1644690</v>
      </c>
      <c r="H8" s="6" t="n">
        <f aca="false">SUMIFS('Not Available'!$H:$H,'Not Available'!$E:$E,H$7,'Not Available'!$G:$G,"Corn")</f>
        <v>3606283</v>
      </c>
      <c r="I8" s="6" t="n">
        <f aca="false">SUMIFS('Not Available'!$H:$H,'Not Available'!$E:$E,I$7,'Not Available'!$G:$G,"Corn")</f>
        <v>4388664</v>
      </c>
      <c r="J8" s="6" t="n">
        <f aca="false">SUMIFS('Not Available'!$H:$H,'Not Available'!$E:$E,J$7,'Not Available'!$G:$G,"Corn")</f>
        <v>1998484</v>
      </c>
      <c r="K8" s="6" t="n">
        <f aca="false">SUMIFS('Not Available'!$H:$H,'Not Available'!$E:$E,K$7,'Not Available'!$G:$G,"Corn")</f>
        <v>1902009</v>
      </c>
      <c r="L8" s="6" t="n">
        <f aca="false">SUMIFS('Not Available'!$H:$H,'Not Available'!$E:$E,L$7,'Not Available'!$G:$G,"Corn")</f>
        <v>5430028</v>
      </c>
      <c r="M8" s="6" t="n">
        <f aca="false">SUMIFS('Not Available'!$H:$H,'Not Available'!$E:$E,M$7,'Not Available'!$G:$G,"Corn")</f>
        <v>2846684</v>
      </c>
      <c r="N8" s="6" t="n">
        <f aca="false">SUMIFS('Not Available'!$H:$H,'Not Available'!$E:$E,N$7,'Not Available'!$G:$G,"Corn")</f>
        <v>1043400</v>
      </c>
      <c r="O8" s="6" t="n">
        <f aca="false">SUMIFS('Not Available'!$H:$H,'Not Available'!$E:$E,O$7,'Not Available'!$G:$G,"Corn")</f>
        <v>620800</v>
      </c>
      <c r="P8" s="6" t="n">
        <f aca="false">SUMIFS('Not Available'!$H:$H,'Not Available'!$E:$E,P$7,'Not Available'!$G:$G,"Corn")</f>
        <v>5671038</v>
      </c>
      <c r="Q8" s="6" t="n">
        <f aca="false">SUMIFS('Not Available'!$H:$H,'Not Available'!$E:$E,Q$7,'Not Available'!$G:$G,"Corn")</f>
        <v>7102373</v>
      </c>
      <c r="R8" s="6" t="n">
        <f aca="false">SUMIFS('Not Available'!$H:$H,'Not Available'!$E:$E,R$7,'Not Available'!$G:$G,"Corn")</f>
        <v>532272</v>
      </c>
      <c r="S8" s="6" t="n">
        <f aca="false">SUMIFS('Not Available'!$H:$H,'Not Available'!$E:$E,S$7,'Not Available'!$G:$G,"Corn")</f>
        <v>0</v>
      </c>
      <c r="T8" s="6" t="n">
        <f aca="false">SUMIFS('Not Available'!$H:$H,'Not Available'!$E:$E,T$7,'Not Available'!$G:$G,"Corn")</f>
        <v>0</v>
      </c>
      <c r="U8" s="7" t="n">
        <f aca="false">SUM(B8:T8)</f>
        <v>38070189</v>
      </c>
    </row>
    <row r="9" customFormat="false" ht="15" hidden="false" customHeight="false" outlineLevel="0" collapsed="false">
      <c r="A9" s="5" t="s">
        <v>26</v>
      </c>
      <c r="B9" s="6" t="n">
        <f aca="false">SUMIFS(China!$H:$H,China!$E:$E,B$7,China!$G:$G,"Corn")</f>
        <v>0</v>
      </c>
      <c r="C9" s="6" t="n">
        <f aca="false">SUMIFS(China!$H:$H,China!$E:$E,C$7,China!$G:$G,"Corn")</f>
        <v>0</v>
      </c>
      <c r="D9" s="6" t="n">
        <f aca="false">SUMIFS(China!$H:$H,China!$E:$E,D$7,China!$G:$G,"Corn")</f>
        <v>0</v>
      </c>
      <c r="E9" s="6" t="n">
        <f aca="false">SUMIFS(China!$H:$H,China!$E:$E,E$7,China!$G:$G,"Corn")</f>
        <v>1080000</v>
      </c>
      <c r="F9" s="6" t="n">
        <f aca="false">SUMIFS(China!$H:$H,China!$E:$E,F$7,China!$G:$G,"Corn")</f>
        <v>0</v>
      </c>
      <c r="G9" s="6" t="n">
        <f aca="false">SUMIFS(China!$H:$H,China!$E:$E,G$7,China!$G:$G,"Corn")</f>
        <v>0</v>
      </c>
      <c r="H9" s="6" t="n">
        <f aca="false">SUMIFS(China!$H:$H,China!$E:$E,H$7,China!$G:$G,"Corn")</f>
        <v>0</v>
      </c>
      <c r="I9" s="6" t="n">
        <f aca="false">SUMIFS(China!$H:$H,China!$E:$E,I$7,China!$G:$G,"Corn")</f>
        <v>0</v>
      </c>
      <c r="J9" s="6" t="n">
        <f aca="false">SUMIFS(China!$H:$H,China!$E:$E,J$7,China!$G:$G,"Corn")</f>
        <v>300000</v>
      </c>
      <c r="K9" s="6" t="n">
        <f aca="false">SUMIFS(China!$H:$H,China!$E:$E,K$7,China!$G:$G,"Corn")</f>
        <v>1955000</v>
      </c>
      <c r="L9" s="6" t="n">
        <f aca="false">SUMIFS(China!$H:$H,China!$E:$E,L$7,China!$G:$G,"Corn")</f>
        <v>20005000</v>
      </c>
      <c r="M9" s="6" t="n">
        <f aca="false">SUMIFS(China!$H:$H,China!$E:$E,M$7,China!$G:$G,"Corn")</f>
        <v>13759000</v>
      </c>
      <c r="N9" s="6" t="n">
        <f aca="false">SUMIFS(China!$H:$H,China!$E:$E,N$7,China!$G:$G,"Corn")</f>
        <v>7593000</v>
      </c>
      <c r="O9" s="6" t="n">
        <f aca="false">SUMIFS(China!$H:$H,China!$E:$E,O$7,China!$G:$G,"Corn")</f>
        <v>272000</v>
      </c>
      <c r="P9" s="6" t="n">
        <f aca="false">SUMIFS(China!$H:$H,China!$E:$E,P$7,China!$G:$G,"Corn")</f>
        <v>0</v>
      </c>
      <c r="Q9" s="6" t="n">
        <f aca="false">SUMIFS(China!$H:$H,China!$E:$E,Q$7,China!$G:$G,"Corn")</f>
        <v>0</v>
      </c>
      <c r="R9" s="6" t="n">
        <f aca="false">SUMIFS(China!$H:$H,China!$E:$E,R$7,China!$G:$G,"Corn")</f>
        <v>0</v>
      </c>
      <c r="S9" s="6" t="n">
        <f aca="false">SUMIFS(China!$H:$H,China!$E:$E,S$7,China!$G:$G,"Corn")</f>
        <v>0</v>
      </c>
      <c r="T9" s="6" t="n">
        <f aca="false">SUMIFS(China!$H:$H,China!$E:$E,T$7,China!$G:$G,"Corn")</f>
        <v>0</v>
      </c>
      <c r="U9" s="7" t="n">
        <f aca="false">SUM(B9:T9)</f>
        <v>44964000</v>
      </c>
    </row>
    <row r="10" customFormat="false" ht="15" hidden="false" customHeight="false" outlineLevel="0" collapsed="false">
      <c r="A10" s="5" t="s">
        <v>27</v>
      </c>
      <c r="B10" s="6" t="n">
        <f aca="false">SUMIFS(Mexico!$H:$H,Mexico!$E:$E,B$7,Mexico!$G:$G,"Corn")</f>
        <v>0</v>
      </c>
      <c r="C10" s="6" t="n">
        <f aca="false">SUMIFS(Mexico!$H:$H,Mexico!$E:$E,C$7,Mexico!$G:$G,"Corn")</f>
        <v>0</v>
      </c>
      <c r="D10" s="6" t="n">
        <f aca="false">SUMIFS(Mexico!$H:$H,Mexico!$E:$E,D$7,Mexico!$G:$G,"Corn")</f>
        <v>11000</v>
      </c>
      <c r="E10" s="6" t="n">
        <f aca="false">SUMIFS(Mexico!$H:$H,Mexico!$E:$E,E$7,Mexico!$G:$G,"Corn")</f>
        <v>677353</v>
      </c>
      <c r="F10" s="6" t="n">
        <f aca="false">SUMIFS(Mexico!$H:$H,Mexico!$E:$E,F$7,Mexico!$G:$G,"Corn")</f>
        <v>243150</v>
      </c>
      <c r="G10" s="6" t="n">
        <f aca="false">SUMIFS(Mexico!$H:$H,Mexico!$E:$E,G$7,Mexico!$G:$G,"Corn")</f>
        <v>460440</v>
      </c>
      <c r="H10" s="6" t="n">
        <f aca="false">SUMIFS(Mexico!$H:$H,Mexico!$E:$E,H$7,Mexico!$G:$G,"Corn")</f>
        <v>2835048</v>
      </c>
      <c r="I10" s="6" t="n">
        <f aca="false">SUMIFS(Mexico!$H:$H,Mexico!$E:$E,I$7,Mexico!$G:$G,"Corn")</f>
        <v>4573677</v>
      </c>
      <c r="J10" s="6" t="n">
        <f aca="false">SUMIFS(Mexico!$H:$H,Mexico!$E:$E,J$7,Mexico!$G:$G,"Corn")</f>
        <v>5111605</v>
      </c>
      <c r="K10" s="6" t="n">
        <f aca="false">SUMIFS(Mexico!$H:$H,Mexico!$E:$E,K$7,Mexico!$G:$G,"Corn")</f>
        <v>5360532</v>
      </c>
      <c r="L10" s="6" t="n">
        <f aca="false">SUMIFS(Mexico!$H:$H,Mexico!$E:$E,L$7,Mexico!$G:$G,"Corn")</f>
        <v>4544553</v>
      </c>
      <c r="M10" s="6" t="n">
        <f aca="false">SUMIFS(Mexico!$H:$H,Mexico!$E:$E,M$7,Mexico!$G:$G,"Corn")</f>
        <v>5509685</v>
      </c>
      <c r="N10" s="6" t="n">
        <f aca="false">SUMIFS(Mexico!$H:$H,Mexico!$E:$E,N$7,Mexico!$G:$G,"Corn")</f>
        <v>4649566</v>
      </c>
      <c r="O10" s="6" t="n">
        <f aca="false">SUMIFS(Mexico!$H:$H,Mexico!$E:$E,O$7,Mexico!$G:$G,"Corn")</f>
        <v>6488894</v>
      </c>
      <c r="P10" s="6" t="n">
        <f aca="false">SUMIFS(Mexico!$H:$H,Mexico!$E:$E,P$7,Mexico!$G:$G,"Corn")</f>
        <v>7755458</v>
      </c>
      <c r="Q10" s="6" t="n">
        <f aca="false">SUMIFS(Mexico!$H:$H,Mexico!$E:$E,Q$7,Mexico!$G:$G,"Corn")</f>
        <v>8046653</v>
      </c>
      <c r="R10" s="6" t="n">
        <f aca="false">SUMIFS(Mexico!$H:$H,Mexico!$E:$E,R$7,Mexico!$G:$G,"Corn")</f>
        <v>2429977</v>
      </c>
      <c r="S10" s="6" t="n">
        <f aca="false">SUMIFS(Mexico!$H:$H,Mexico!$E:$E,S$7,Mexico!$G:$G,"Corn")</f>
        <v>480689</v>
      </c>
      <c r="T10" s="6" t="n">
        <f aca="false">SUMIFS(Mexico!$H:$H,Mexico!$E:$E,T$7,Mexico!$G:$G,"Corn")</f>
        <v>22400</v>
      </c>
      <c r="U10" s="7" t="n">
        <f aca="false">SUM(B10:T10)</f>
        <v>59200680</v>
      </c>
    </row>
    <row r="11" customFormat="false" ht="15" hidden="false" customHeight="false" outlineLevel="0" collapsed="false">
      <c r="A11" s="5" t="s">
        <v>28</v>
      </c>
      <c r="B11" s="6" t="n">
        <f aca="false">SUMIFS(Japan!$H:$H,Japan!$E:$E,B$7,Japan!$G:$G,"Corn")</f>
        <v>0</v>
      </c>
      <c r="C11" s="6" t="n">
        <f aca="false">SUMIFS(Japan!$H:$H,Japan!$E:$E,C$7,Japan!$G:$G,"Corn")</f>
        <v>0</v>
      </c>
      <c r="D11" s="6" t="n">
        <f aca="false">SUMIFS(Japan!$H:$H,Japan!$E:$E,D$7,Japan!$G:$G,"Corn")</f>
        <v>0</v>
      </c>
      <c r="E11" s="6" t="n">
        <f aca="false">SUMIFS(Japan!$H:$H,Japan!$E:$E,E$7,Japan!$G:$G,"Corn")</f>
        <v>223040</v>
      </c>
      <c r="F11" s="6" t="n">
        <f aca="false">SUMIFS(Japan!$H:$H,Japan!$E:$E,F$7,Japan!$G:$G,"Corn")</f>
        <v>458384</v>
      </c>
      <c r="G11" s="6" t="n">
        <f aca="false">SUMIFS(Japan!$H:$H,Japan!$E:$E,G$7,Japan!$G:$G,"Corn")</f>
        <v>1146884</v>
      </c>
      <c r="H11" s="6" t="n">
        <f aca="false">SUMIFS(Japan!$H:$H,Japan!$E:$E,H$7,Japan!$G:$G,"Corn")</f>
        <v>1139704</v>
      </c>
      <c r="I11" s="6" t="n">
        <f aca="false">SUMIFS(Japan!$H:$H,Japan!$E:$E,I$7,Japan!$G:$G,"Corn")</f>
        <v>981456</v>
      </c>
      <c r="J11" s="6" t="n">
        <f aca="false">SUMIFS(Japan!$H:$H,Japan!$E:$E,J$7,Japan!$G:$G,"Corn")</f>
        <v>561000</v>
      </c>
      <c r="K11" s="6" t="n">
        <f aca="false">SUMIFS(Japan!$H:$H,Japan!$E:$E,K$7,Japan!$G:$G,"Corn")</f>
        <v>347688</v>
      </c>
      <c r="L11" s="6" t="n">
        <f aca="false">SUMIFS(Japan!$H:$H,Japan!$E:$E,L$7,Japan!$G:$G,"Corn")</f>
        <v>777052</v>
      </c>
      <c r="M11" s="6" t="n">
        <f aca="false">SUMIFS(Japan!$H:$H,Japan!$E:$E,M$7,Japan!$G:$G,"Corn")</f>
        <v>303000</v>
      </c>
      <c r="N11" s="6" t="n">
        <f aca="false">SUMIFS(Japan!$H:$H,Japan!$E:$E,N$7,Japan!$G:$G,"Corn")</f>
        <v>341300</v>
      </c>
      <c r="O11" s="6" t="n">
        <f aca="false">SUMIFS(Japan!$H:$H,Japan!$E:$E,O$7,Japan!$G:$G,"Corn")</f>
        <v>294000</v>
      </c>
      <c r="P11" s="6" t="n">
        <f aca="false">SUMIFS(Japan!$H:$H,Japan!$E:$E,P$7,Japan!$G:$G,"Corn")</f>
        <v>752600</v>
      </c>
      <c r="Q11" s="6" t="n">
        <f aca="false">SUMIFS(Japan!$H:$H,Japan!$E:$E,Q$7,Japan!$G:$G,"Corn")</f>
        <v>380000</v>
      </c>
      <c r="R11" s="6" t="n">
        <f aca="false">SUMIFS(Japan!$H:$H,Japan!$E:$E,R$7,Japan!$G:$G,"Corn")</f>
        <v>154000</v>
      </c>
      <c r="S11" s="6" t="n">
        <f aca="false">SUMIFS(Japan!$H:$H,Japan!$E:$E,S$7,Japan!$G:$G,"Corn")</f>
        <v>24000</v>
      </c>
      <c r="T11" s="6" t="n">
        <f aca="false">SUMIFS(Japan!$H:$H,Japan!$E:$E,T$7,Japan!$G:$G,"Corn")</f>
        <v>0</v>
      </c>
      <c r="U11" s="7" t="n">
        <f aca="false">SUM(B11:T11)</f>
        <v>7884108</v>
      </c>
    </row>
    <row r="12" customFormat="false" ht="15" hidden="false" customHeight="false" outlineLevel="0" collapsed="false">
      <c r="A12" s="5" t="s">
        <v>29</v>
      </c>
      <c r="B12" s="6" t="n">
        <f aca="false">SUMIFS('South Korea'!$H:$H,'South Korea'!$E:$E,B$7,'South Korea'!$G:$G,"Corn")</f>
        <v>0</v>
      </c>
      <c r="C12" s="6" t="n">
        <f aca="false">SUMIFS('South Korea'!$H:$H,'South Korea'!$E:$E,C$7,'South Korea'!$G:$G,"Corn")</f>
        <v>357000</v>
      </c>
      <c r="D12" s="6" t="n">
        <f aca="false">SUMIFS('South Korea'!$H:$H,'South Korea'!$E:$E,D$7,'South Korea'!$G:$G,"Corn")</f>
        <v>0</v>
      </c>
      <c r="E12" s="6" t="n">
        <f aca="false">SUMIFS('South Korea'!$H:$H,'South Korea'!$E:$E,E$7,'South Korea'!$G:$G,"Corn")</f>
        <v>444000</v>
      </c>
      <c r="F12" s="6" t="n">
        <f aca="false">SUMIFS('South Korea'!$H:$H,'South Korea'!$E:$E,F$7,'South Korea'!$G:$G,"Corn")</f>
        <v>0</v>
      </c>
      <c r="G12" s="6" t="n">
        <f aca="false">SUMIFS('South Korea'!$H:$H,'South Korea'!$E:$E,G$7,'South Korea'!$G:$G,"Corn")</f>
        <v>197000</v>
      </c>
      <c r="H12" s="6" t="n">
        <f aca="false">SUMIFS('South Korea'!$H:$H,'South Korea'!$E:$E,H$7,'South Korea'!$G:$G,"Corn")</f>
        <v>1081000</v>
      </c>
      <c r="I12" s="6" t="n">
        <f aca="false">SUMIFS('South Korea'!$H:$H,'South Korea'!$E:$E,I$7,'South Korea'!$G:$G,"Corn")</f>
        <v>613000</v>
      </c>
      <c r="J12" s="6" t="n">
        <f aca="false">SUMIFS('South Korea'!$H:$H,'South Korea'!$E:$E,J$7,'South Korea'!$G:$G,"Corn")</f>
        <v>1087000</v>
      </c>
      <c r="K12" s="6" t="n">
        <f aca="false">SUMIFS('South Korea'!$H:$H,'South Korea'!$E:$E,K$7,'South Korea'!$G:$G,"Corn")</f>
        <v>530000</v>
      </c>
      <c r="L12" s="6" t="n">
        <f aca="false">SUMIFS('South Korea'!$H:$H,'South Korea'!$E:$E,L$7,'South Korea'!$G:$G,"Corn")</f>
        <v>337000</v>
      </c>
      <c r="M12" s="6" t="n">
        <f aca="false">SUMIFS('South Korea'!$H:$H,'South Korea'!$E:$E,M$7,'South Korea'!$G:$G,"Corn")</f>
        <v>0</v>
      </c>
      <c r="N12" s="6" t="n">
        <f aca="false">SUMIFS('South Korea'!$H:$H,'South Korea'!$E:$E,N$7,'South Korea'!$G:$G,"Corn")</f>
        <v>0</v>
      </c>
      <c r="O12" s="6" t="n">
        <f aca="false">SUMIFS('South Korea'!$H:$H,'South Korea'!$E:$E,O$7,'South Korea'!$G:$G,"Corn")</f>
        <v>0</v>
      </c>
      <c r="P12" s="6" t="n">
        <f aca="false">SUMIFS('South Korea'!$H:$H,'South Korea'!$E:$E,P$7,'South Korea'!$G:$G,"Corn")</f>
        <v>394000</v>
      </c>
      <c r="Q12" s="6" t="n">
        <f aca="false">SUMIFS('South Korea'!$H:$H,'South Korea'!$E:$E,Q$7,'South Korea'!$G:$G,"Corn")</f>
        <v>1631000</v>
      </c>
      <c r="R12" s="6" t="n">
        <f aca="false">SUMIFS('South Korea'!$H:$H,'South Korea'!$E:$E,R$7,'South Korea'!$G:$G,"Corn")</f>
        <v>0</v>
      </c>
      <c r="S12" s="6" t="n">
        <f aca="false">SUMIFS('South Korea'!$H:$H,'South Korea'!$E:$E,S$7,'South Korea'!$G:$G,"Corn")</f>
        <v>0</v>
      </c>
      <c r="T12" s="6" t="n">
        <f aca="false">SUMIFS('South Korea'!$H:$H,'South Korea'!$E:$E,T$7,'South Korea'!$G:$G,"Corn")</f>
        <v>0</v>
      </c>
      <c r="U12" s="7" t="n">
        <f aca="false">SUM(B12:T12)</f>
        <v>6671000</v>
      </c>
    </row>
    <row r="13" customFormat="false" ht="15" hidden="false" customHeight="false" outlineLevel="0" collapsed="false">
      <c r="A13" s="5" t="s">
        <v>30</v>
      </c>
      <c r="B13" s="6" t="n">
        <f aca="false">SUMIFS(Colombia!$H:$H,Colombia!$E:$E,B$7,Colombia!$G:$G,"Corn")</f>
        <v>0</v>
      </c>
      <c r="C13" s="6" t="n">
        <f aca="false">SUMIFS(Colombia!$H:$H,Colombia!$E:$E,C$7,Colombia!$G:$G,"Corn")</f>
        <v>0</v>
      </c>
      <c r="D13" s="6" t="n">
        <f aca="false">SUMIFS(Colombia!$H:$H,Colombia!$E:$E,D$7,Colombia!$G:$G,"Corn")</f>
        <v>0</v>
      </c>
      <c r="E13" s="6" t="n">
        <f aca="false">SUMIFS(Colombia!$H:$H,Colombia!$E:$E,E$7,Colombia!$G:$G,"Corn")</f>
        <v>0</v>
      </c>
      <c r="F13" s="6" t="n">
        <f aca="false">SUMIFS(Colombia!$H:$H,Colombia!$E:$E,F$7,Colombia!$G:$G,"Corn")</f>
        <v>0</v>
      </c>
      <c r="G13" s="6" t="n">
        <f aca="false">SUMIFS(Colombia!$H:$H,Colombia!$E:$E,G$7,Colombia!$G:$G,"Corn")</f>
        <v>525000</v>
      </c>
      <c r="H13" s="6" t="n">
        <f aca="false">SUMIFS(Colombia!$H:$H,Colombia!$E:$E,H$7,Colombia!$G:$G,"Corn")</f>
        <v>105000</v>
      </c>
      <c r="I13" s="6" t="n">
        <f aca="false">SUMIFS(Colombia!$H:$H,Colombia!$E:$E,I$7,Colombia!$G:$G,"Corn")</f>
        <v>250000</v>
      </c>
      <c r="J13" s="6" t="n">
        <f aca="false">SUMIFS(Colombia!$H:$H,Colombia!$E:$E,J$7,Colombia!$G:$G,"Corn")</f>
        <v>207500</v>
      </c>
      <c r="K13" s="6" t="n">
        <f aca="false">SUMIFS(Colombia!$H:$H,Colombia!$E:$E,K$7,Colombia!$G:$G,"Corn")</f>
        <v>0</v>
      </c>
      <c r="L13" s="6" t="n">
        <f aca="false">SUMIFS(Colombia!$H:$H,Colombia!$E:$E,L$7,Colombia!$G:$G,"Corn")</f>
        <v>108500</v>
      </c>
      <c r="M13" s="6" t="n">
        <f aca="false">SUMIFS(Colombia!$H:$H,Colombia!$E:$E,M$7,Colombia!$G:$G,"Corn")</f>
        <v>650000</v>
      </c>
      <c r="N13" s="6" t="n">
        <f aca="false">SUMIFS(Colombia!$H:$H,Colombia!$E:$E,N$7,Colombia!$G:$G,"Corn")</f>
        <v>150000</v>
      </c>
      <c r="O13" s="6" t="n">
        <f aca="false">SUMIFS(Colombia!$H:$H,Colombia!$E:$E,O$7,Colombia!$G:$G,"Corn")</f>
        <v>300000</v>
      </c>
      <c r="P13" s="6" t="n">
        <f aca="false">SUMIFS(Colombia!$H:$H,Colombia!$E:$E,P$7,Colombia!$G:$G,"Corn")</f>
        <v>585000</v>
      </c>
      <c r="Q13" s="6" t="n">
        <f aca="false">SUMIFS(Colombia!$H:$H,Colombia!$E:$E,Q$7,Colombia!$G:$G,"Corn")</f>
        <v>675800</v>
      </c>
      <c r="R13" s="6" t="n">
        <f aca="false">SUMIFS(Colombia!$H:$H,Colombia!$E:$E,R$7,Colombia!$G:$G,"Corn")</f>
        <v>215000</v>
      </c>
      <c r="S13" s="6" t="n">
        <f aca="false">SUMIFS(Colombia!$H:$H,Colombia!$E:$E,S$7,Colombia!$G:$G,"Corn")</f>
        <v>0</v>
      </c>
      <c r="T13" s="6" t="n">
        <f aca="false">SUMIFS(Colombia!$H:$H,Colombia!$E:$E,T$7,Colombia!$G:$G,"Corn")</f>
        <v>0</v>
      </c>
      <c r="U13" s="7" t="n">
        <f aca="false">SUM(B13:T13)</f>
        <v>3771800</v>
      </c>
    </row>
    <row r="14" customFormat="false" ht="15" hidden="false" customHeight="false" outlineLevel="0" collapsed="false">
      <c r="A14" s="5" t="s">
        <v>31</v>
      </c>
      <c r="B14" s="6" t="n">
        <f aca="false">SUMIFS(Egypt!$H:$H,Egypt!$E:$E,B$7,Egypt!$G:$G,"Corn")</f>
        <v>120000</v>
      </c>
      <c r="C14" s="6" t="n">
        <f aca="false">SUMIFS(Egypt!$H:$H,Egypt!$E:$E,C$7,Egypt!$G:$G,"Corn")</f>
        <v>240000</v>
      </c>
      <c r="D14" s="6" t="n">
        <f aca="false">SUMIFS(Egypt!$H:$H,Egypt!$E:$E,D$7,Egypt!$G:$G,"Corn")</f>
        <v>0</v>
      </c>
      <c r="E14" s="6" t="n">
        <f aca="false">SUMIFS(Egypt!$H:$H,Egypt!$E:$E,E$7,Egypt!$G:$G,"Corn")</f>
        <v>664000</v>
      </c>
      <c r="F14" s="6" t="n">
        <f aca="false">SUMIFS(Egypt!$H:$H,Egypt!$E:$E,F$7,Egypt!$G:$G,"Corn")</f>
        <v>176000</v>
      </c>
      <c r="G14" s="6" t="n">
        <f aca="false">SUMIFS(Egypt!$H:$H,Egypt!$E:$E,G$7,Egypt!$G:$G,"Corn")</f>
        <v>0</v>
      </c>
      <c r="H14" s="6" t="n">
        <f aca="false">SUMIFS(Egypt!$H:$H,Egypt!$E:$E,H$7,Egypt!$G:$G,"Corn")</f>
        <v>0</v>
      </c>
      <c r="I14" s="6" t="n">
        <f aca="false">SUMIFS(Egypt!$H:$H,Egypt!$E:$E,I$7,Egypt!$G:$G,"Corn")</f>
        <v>560000</v>
      </c>
      <c r="J14" s="6" t="n">
        <f aca="false">SUMIFS(Egypt!$H:$H,Egypt!$E:$E,J$7,Egypt!$G:$G,"Corn")</f>
        <v>53000</v>
      </c>
      <c r="K14" s="6" t="n">
        <f aca="false">SUMIFS(Egypt!$H:$H,Egypt!$E:$E,K$7,Egypt!$G:$G,"Corn")</f>
        <v>0</v>
      </c>
      <c r="L14" s="6" t="n">
        <f aca="false">SUMIFS(Egypt!$H:$H,Egypt!$E:$E,L$7,Egypt!$G:$G,"Corn")</f>
        <v>0</v>
      </c>
      <c r="M14" s="6" t="n">
        <f aca="false">SUMIFS(Egypt!$H:$H,Egypt!$E:$E,M$7,Egypt!$G:$G,"Corn")</f>
        <v>0</v>
      </c>
      <c r="N14" s="6" t="n">
        <f aca="false">SUMIFS(Egypt!$H:$H,Egypt!$E:$E,N$7,Egypt!$G:$G,"Corn")</f>
        <v>0</v>
      </c>
      <c r="O14" s="6" t="n">
        <f aca="false">SUMIFS(Egypt!$H:$H,Egypt!$E:$E,O$7,Egypt!$G:$G,"Corn")</f>
        <v>0</v>
      </c>
      <c r="P14" s="6" t="n">
        <f aca="false">SUMIFS(Egypt!$H:$H,Egypt!$E:$E,P$7,Egypt!$G:$G,"Corn")</f>
        <v>0</v>
      </c>
      <c r="Q14" s="6" t="n">
        <f aca="false">SUMIFS(Egypt!$H:$H,Egypt!$E:$E,Q$7,Egypt!$G:$G,"Corn")</f>
        <v>0</v>
      </c>
      <c r="R14" s="6" t="n">
        <f aca="false">SUMIFS(Egypt!$H:$H,Egypt!$E:$E,R$7,Egypt!$G:$G,"Corn")</f>
        <v>0</v>
      </c>
      <c r="S14" s="6" t="n">
        <f aca="false">SUMIFS(Egypt!$H:$H,Egypt!$E:$E,S$7,Egypt!$G:$G,"Corn")</f>
        <v>0</v>
      </c>
      <c r="T14" s="6" t="n">
        <f aca="false">SUMIFS(Egypt!$H:$H,Egypt!$E:$E,T$7,Egypt!$G:$G,"Corn")</f>
        <v>0</v>
      </c>
      <c r="U14" s="7" t="n">
        <f aca="false">SUM(B14:T14)</f>
        <v>1813000</v>
      </c>
    </row>
    <row r="15" customFormat="false" ht="15" hidden="false" customHeight="false" outlineLevel="0" collapsed="false">
      <c r="A15" s="5" t="s">
        <v>32</v>
      </c>
      <c r="B15" s="6" t="n">
        <f aca="false">SUMIFS(Spain!$H:$H,Spain!$E:$E,B$7,Spain!$G:$G,"Corn")</f>
        <v>0</v>
      </c>
      <c r="C15" s="6" t="n">
        <f aca="false">SUMIFS(Spain!$H:$H,Spain!$E:$E,C$7,Spain!$G:$G,"Corn")</f>
        <v>0</v>
      </c>
      <c r="D15" s="6" t="n">
        <f aca="false">SUMIFS(Spain!$H:$H,Spain!$E:$E,D$7,Spain!$G:$G,"Corn")</f>
        <v>0</v>
      </c>
      <c r="E15" s="6" t="n">
        <f aca="false">SUMIFS(Spain!$H:$H,Spain!$E:$E,E$7,Spain!$G:$G,"Corn")</f>
        <v>150000</v>
      </c>
      <c r="F15" s="6" t="n">
        <f aca="false">SUMIFS(Spain!$H:$H,Spain!$E:$E,F$7,Spain!$G:$G,"Corn")</f>
        <v>0</v>
      </c>
      <c r="G15" s="6" t="n">
        <f aca="false">SUMIFS(Spain!$H:$H,Spain!$E:$E,G$7,Spain!$G:$G,"Corn")</f>
        <v>0</v>
      </c>
      <c r="H15" s="6" t="n">
        <f aca="false">SUMIFS(Spain!$H:$H,Spain!$E:$E,H$7,Spain!$G:$G,"Corn")</f>
        <v>0</v>
      </c>
      <c r="I15" s="6" t="n">
        <f aca="false">SUMIFS(Spain!$H:$H,Spain!$E:$E,I$7,Spain!$G:$G,"Corn")</f>
        <v>384000</v>
      </c>
      <c r="J15" s="6" t="n">
        <f aca="false">SUMIFS(Spain!$H:$H,Spain!$E:$E,J$7,Spain!$G:$G,"Corn")</f>
        <v>0</v>
      </c>
      <c r="K15" s="6" t="n">
        <f aca="false">SUMIFS(Spain!$H:$H,Spain!$E:$E,K$7,Spain!$G:$G,"Corn")</f>
        <v>0</v>
      </c>
      <c r="L15" s="6" t="n">
        <f aca="false">SUMIFS(Spain!$H:$H,Spain!$E:$E,L$7,Spain!$G:$G,"Corn")</f>
        <v>0</v>
      </c>
      <c r="M15" s="6" t="n">
        <f aca="false">SUMIFS(Spain!$H:$H,Spain!$E:$E,M$7,Spain!$G:$G,"Corn")</f>
        <v>0</v>
      </c>
      <c r="N15" s="6" t="n">
        <f aca="false">SUMIFS(Spain!$H:$H,Spain!$E:$E,N$7,Spain!$G:$G,"Corn")</f>
        <v>0</v>
      </c>
      <c r="O15" s="6" t="n">
        <f aca="false">SUMIFS(Spain!$H:$H,Spain!$E:$E,O$7,Spain!$G:$G,"Corn")</f>
        <v>220000</v>
      </c>
      <c r="P15" s="6" t="n">
        <f aca="false">SUMIFS(Spain!$H:$H,Spain!$E:$E,P$7,Spain!$G:$G,"Corn")</f>
        <v>360000</v>
      </c>
      <c r="Q15" s="6" t="n">
        <f aca="false">SUMIFS(Spain!$H:$H,Spain!$E:$E,Q$7,Spain!$G:$G,"Corn")</f>
        <v>272452</v>
      </c>
      <c r="R15" s="6" t="n">
        <f aca="false">SUMIFS(Spain!$H:$H,Spain!$E:$E,R$7,Spain!$G:$G,"Corn")</f>
        <v>0</v>
      </c>
      <c r="S15" s="6" t="n">
        <f aca="false">SUMIFS(Spain!$H:$H,Spain!$E:$E,S$7,Spain!$G:$G,"Corn")</f>
        <v>0</v>
      </c>
      <c r="T15" s="6" t="n">
        <f aca="false">SUMIFS(Spain!$H:$H,Spain!$E:$E,T$7,Spain!$G:$G,"Corn")</f>
        <v>0</v>
      </c>
      <c r="U15" s="7" t="n">
        <f aca="false">SUM(B15:T15)</f>
        <v>1386452</v>
      </c>
    </row>
    <row r="16" customFormat="false" ht="15" hidden="false" customHeight="false" outlineLevel="0" collapsed="false">
      <c r="A16" s="5" t="s">
        <v>33</v>
      </c>
      <c r="B16" s="6" t="n">
        <f aca="false">SUMIFS(Taiwan!$H:$H,Taiwan!$E:$E,B$7,Taiwan!$G:$G,"Corn")</f>
        <v>0</v>
      </c>
      <c r="C16" s="6" t="n">
        <f aca="false">SUMIFS(Taiwan!$H:$H,Taiwan!$E:$E,C$7,Taiwan!$G:$G,"Corn")</f>
        <v>0</v>
      </c>
      <c r="D16" s="6" t="n">
        <f aca="false">SUMIFS(Taiwan!$H:$H,Taiwan!$E:$E,D$7,Taiwan!$G:$G,"Corn")</f>
        <v>0</v>
      </c>
      <c r="E16" s="6" t="n">
        <f aca="false">SUMIFS(Taiwan!$H:$H,Taiwan!$E:$E,E$7,Taiwan!$G:$G,"Corn")</f>
        <v>0</v>
      </c>
      <c r="F16" s="6" t="n">
        <f aca="false">SUMIFS(Taiwan!$H:$H,Taiwan!$E:$E,F$7,Taiwan!$G:$G,"Corn")</f>
        <v>0</v>
      </c>
      <c r="G16" s="6" t="n">
        <f aca="false">SUMIFS(Taiwan!$H:$H,Taiwan!$E:$E,G$7,Taiwan!$G:$G,"Corn")</f>
        <v>445000</v>
      </c>
      <c r="H16" s="6" t="n">
        <f aca="false">SUMIFS(Taiwan!$H:$H,Taiwan!$E:$E,H$7,Taiwan!$G:$G,"Corn")</f>
        <v>195000</v>
      </c>
      <c r="I16" s="6" t="n">
        <f aca="false">SUMIFS(Taiwan!$H:$H,Taiwan!$E:$E,I$7,Taiwan!$G:$G,"Corn")</f>
        <v>0</v>
      </c>
      <c r="J16" s="6" t="n">
        <f aca="false">SUMIFS(Taiwan!$H:$H,Taiwan!$E:$E,J$7,Taiwan!$G:$G,"Corn")</f>
        <v>0</v>
      </c>
      <c r="K16" s="6" t="n">
        <f aca="false">SUMIFS(Taiwan!$H:$H,Taiwan!$E:$E,K$7,Taiwan!$G:$G,"Corn")</f>
        <v>0</v>
      </c>
      <c r="L16" s="6" t="n">
        <f aca="false">SUMIFS(Taiwan!$H:$H,Taiwan!$E:$E,L$7,Taiwan!$G:$G,"Corn")</f>
        <v>0</v>
      </c>
      <c r="M16" s="6" t="n">
        <f aca="false">SUMIFS(Taiwan!$H:$H,Taiwan!$E:$E,M$7,Taiwan!$G:$G,"Corn")</f>
        <v>0</v>
      </c>
      <c r="N16" s="6" t="n">
        <f aca="false">SUMIFS(Taiwan!$H:$H,Taiwan!$E:$E,N$7,Taiwan!$G:$G,"Corn")</f>
        <v>0</v>
      </c>
      <c r="O16" s="6" t="n">
        <f aca="false">SUMIFS(Taiwan!$H:$H,Taiwan!$E:$E,O$7,Taiwan!$G:$G,"Corn")</f>
        <v>110000</v>
      </c>
      <c r="P16" s="6" t="n">
        <f aca="false">SUMIFS(Taiwan!$H:$H,Taiwan!$E:$E,P$7,Taiwan!$G:$G,"Corn")</f>
        <v>135000</v>
      </c>
      <c r="Q16" s="6" t="n">
        <f aca="false">SUMIFS(Taiwan!$H:$H,Taiwan!$E:$E,Q$7,Taiwan!$G:$G,"Corn")</f>
        <v>0</v>
      </c>
      <c r="R16" s="6" t="n">
        <f aca="false">SUMIFS(Taiwan!$H:$H,Taiwan!$E:$E,R$7,Taiwan!$G:$G,"Corn")</f>
        <v>0</v>
      </c>
      <c r="S16" s="6" t="n">
        <f aca="false">SUMIFS(Taiwan!$H:$H,Taiwan!$E:$E,S$7,Taiwan!$G:$G,"Corn")</f>
        <v>0</v>
      </c>
      <c r="T16" s="6" t="n">
        <f aca="false">SUMIFS(Taiwan!$H:$H,Taiwan!$E:$E,T$7,Taiwan!$G:$G,"Corn")</f>
        <v>0</v>
      </c>
      <c r="U16" s="7" t="n">
        <f aca="false">SUM(B16:T16)</f>
        <v>885000</v>
      </c>
    </row>
    <row r="17" customFormat="false" ht="15" hidden="false" customHeight="false" outlineLevel="0" collapsed="false">
      <c r="A17" s="5" t="s">
        <v>34</v>
      </c>
      <c r="B17" s="6" t="n">
        <f aca="false">SUMIFS('Costa Rica'!$H:$H,'Costa Rica'!$E:$E,B$7,'Costa Rica'!$G:$G,"Corn")</f>
        <v>0</v>
      </c>
      <c r="C17" s="6" t="n">
        <f aca="false">SUMIFS('Costa Rica'!$H:$H,'Costa Rica'!$E:$E,C$7,'Costa Rica'!$G:$G,"Corn")</f>
        <v>0</v>
      </c>
      <c r="D17" s="6" t="n">
        <f aca="false">SUMIFS('Costa Rica'!$H:$H,'Costa Rica'!$E:$E,D$7,'Costa Rica'!$G:$G,"Corn")</f>
        <v>0</v>
      </c>
      <c r="E17" s="6" t="n">
        <f aca="false">SUMIFS('Costa Rica'!$H:$H,'Costa Rica'!$E:$E,E$7,'Costa Rica'!$G:$G,"Corn")</f>
        <v>0</v>
      </c>
      <c r="F17" s="6" t="n">
        <f aca="false">SUMIFS('Costa Rica'!$H:$H,'Costa Rica'!$E:$E,F$7,'Costa Rica'!$G:$G,"Corn")</f>
        <v>0</v>
      </c>
      <c r="G17" s="6" t="n">
        <f aca="false">SUMIFS('Costa Rica'!$H:$H,'Costa Rica'!$E:$E,G$7,'Costa Rica'!$G:$G,"Corn")</f>
        <v>106162</v>
      </c>
      <c r="H17" s="6" t="n">
        <f aca="false">SUMIFS('Costa Rica'!$H:$H,'Costa Rica'!$E:$E,H$7,'Costa Rica'!$G:$G,"Corn")</f>
        <v>0</v>
      </c>
      <c r="I17" s="6" t="n">
        <f aca="false">SUMIFS('Costa Rica'!$H:$H,'Costa Rica'!$E:$E,I$7,'Costa Rica'!$G:$G,"Corn")</f>
        <v>134503</v>
      </c>
      <c r="J17" s="6" t="n">
        <f aca="false">SUMIFS('Costa Rica'!$H:$H,'Costa Rica'!$E:$E,J$7,'Costa Rica'!$G:$G,"Corn")</f>
        <v>142876</v>
      </c>
      <c r="K17" s="6" t="n">
        <f aca="false">SUMIFS('Costa Rica'!$H:$H,'Costa Rica'!$E:$E,K$7,'Costa Rica'!$G:$G,"Corn")</f>
        <v>0</v>
      </c>
      <c r="L17" s="6" t="n">
        <f aca="false">SUMIFS('Costa Rica'!$H:$H,'Costa Rica'!$E:$E,L$7,'Costa Rica'!$G:$G,"Corn")</f>
        <v>135644</v>
      </c>
      <c r="M17" s="6" t="n">
        <f aca="false">SUMIFS('Costa Rica'!$H:$H,'Costa Rica'!$E:$E,M$7,'Costa Rica'!$G:$G,"Corn")</f>
        <v>59694</v>
      </c>
      <c r="N17" s="6" t="n">
        <f aca="false">SUMIFS('Costa Rica'!$H:$H,'Costa Rica'!$E:$E,N$7,'Costa Rica'!$G:$G,"Corn")</f>
        <v>144907</v>
      </c>
      <c r="O17" s="6" t="n">
        <f aca="false">SUMIFS('Costa Rica'!$H:$H,'Costa Rica'!$E:$E,O$7,'Costa Rica'!$G:$G,"Corn")</f>
        <v>0</v>
      </c>
      <c r="P17" s="6" t="n">
        <f aca="false">SUMIFS('Costa Rica'!$H:$H,'Costa Rica'!$E:$E,P$7,'Costa Rica'!$G:$G,"Corn")</f>
        <v>0</v>
      </c>
      <c r="Q17" s="6" t="n">
        <f aca="false">SUMIFS('Costa Rica'!$H:$H,'Costa Rica'!$E:$E,Q$7,'Costa Rica'!$G:$G,"Corn")</f>
        <v>119769</v>
      </c>
      <c r="R17" s="6" t="n">
        <f aca="false">SUMIFS('Costa Rica'!$H:$H,'Costa Rica'!$E:$E,R$7,'Costa Rica'!$G:$G,"Corn")</f>
        <v>0</v>
      </c>
      <c r="S17" s="6" t="n">
        <f aca="false">SUMIFS('Costa Rica'!$H:$H,'Costa Rica'!$E:$E,S$7,'Costa Rica'!$G:$G,"Corn")</f>
        <v>0</v>
      </c>
      <c r="T17" s="6" t="n">
        <f aca="false">SUMIFS('Costa Rica'!$H:$H,'Costa Rica'!$E:$E,T$7,'Costa Rica'!$G:$G,"Corn")</f>
        <v>0</v>
      </c>
      <c r="U17" s="7" t="n">
        <f aca="false">SUM(B17:T17)</f>
        <v>843555</v>
      </c>
    </row>
    <row r="18" customFormat="false" ht="15" hidden="false" customHeight="false" outlineLevel="0" collapsed="false">
      <c r="A18" s="5" t="s">
        <v>35</v>
      </c>
      <c r="B18" s="6" t="n">
        <f aca="false">SUMIFS(Guatemala!$H:$H,Guatemala!$E:$E,B$7,Guatemala!$G:$G,"Corn")</f>
        <v>0</v>
      </c>
      <c r="C18" s="6" t="n">
        <f aca="false">SUMIFS(Guatemala!$H:$H,Guatemala!$E:$E,C$7,Guatemala!$G:$G,"Corn")</f>
        <v>0</v>
      </c>
      <c r="D18" s="6" t="n">
        <f aca="false">SUMIFS(Guatemala!$H:$H,Guatemala!$E:$E,D$7,Guatemala!$G:$G,"Corn")</f>
        <v>0</v>
      </c>
      <c r="E18" s="6" t="n">
        <f aca="false">SUMIFS(Guatemala!$H:$H,Guatemala!$E:$E,E$7,Guatemala!$G:$G,"Corn")</f>
        <v>0</v>
      </c>
      <c r="F18" s="6" t="n">
        <f aca="false">SUMIFS(Guatemala!$H:$H,Guatemala!$E:$E,F$7,Guatemala!$G:$G,"Corn")</f>
        <v>0</v>
      </c>
      <c r="G18" s="6" t="n">
        <f aca="false">SUMIFS(Guatemala!$H:$H,Guatemala!$E:$E,G$7,Guatemala!$G:$G,"Corn")</f>
        <v>0</v>
      </c>
      <c r="H18" s="6" t="n">
        <f aca="false">SUMIFS(Guatemala!$H:$H,Guatemala!$E:$E,H$7,Guatemala!$G:$G,"Corn")</f>
        <v>0</v>
      </c>
      <c r="I18" s="6" t="n">
        <f aca="false">SUMIFS(Guatemala!$H:$H,Guatemala!$E:$E,I$7,Guatemala!$G:$G,"Corn")</f>
        <v>0</v>
      </c>
      <c r="J18" s="6" t="n">
        <f aca="false">SUMIFS(Guatemala!$H:$H,Guatemala!$E:$E,J$7,Guatemala!$G:$G,"Corn")</f>
        <v>0</v>
      </c>
      <c r="K18" s="6" t="n">
        <f aca="false">SUMIFS(Guatemala!$H:$H,Guatemala!$E:$E,K$7,Guatemala!$G:$G,"Corn")</f>
        <v>114224</v>
      </c>
      <c r="L18" s="6" t="n">
        <f aca="false">SUMIFS(Guatemala!$H:$H,Guatemala!$E:$E,L$7,Guatemala!$G:$G,"Corn")</f>
        <v>145301</v>
      </c>
      <c r="M18" s="6" t="n">
        <f aca="false">SUMIFS(Guatemala!$H:$H,Guatemala!$E:$E,M$7,Guatemala!$G:$G,"Corn")</f>
        <v>275083</v>
      </c>
      <c r="N18" s="6" t="n">
        <f aca="false">SUMIFS(Guatemala!$H:$H,Guatemala!$E:$E,N$7,Guatemala!$G:$G,"Corn")</f>
        <v>0</v>
      </c>
      <c r="O18" s="6" t="n">
        <f aca="false">SUMIFS(Guatemala!$H:$H,Guatemala!$E:$E,O$7,Guatemala!$G:$G,"Corn")</f>
        <v>124545</v>
      </c>
      <c r="P18" s="6" t="n">
        <f aca="false">SUMIFS(Guatemala!$H:$H,Guatemala!$E:$E,P$7,Guatemala!$G:$G,"Corn")</f>
        <v>0</v>
      </c>
      <c r="Q18" s="6" t="n">
        <f aca="false">SUMIFS(Guatemala!$H:$H,Guatemala!$E:$E,Q$7,Guatemala!$G:$G,"Corn")</f>
        <v>105000</v>
      </c>
      <c r="R18" s="6" t="n">
        <f aca="false">SUMIFS(Guatemala!$H:$H,Guatemala!$E:$E,R$7,Guatemala!$G:$G,"Corn")</f>
        <v>0</v>
      </c>
      <c r="S18" s="6" t="n">
        <f aca="false">SUMIFS(Guatemala!$H:$H,Guatemala!$E:$E,S$7,Guatemala!$G:$G,"Corn")</f>
        <v>0</v>
      </c>
      <c r="T18" s="6" t="n">
        <f aca="false">SUMIFS(Guatemala!$H:$H,Guatemala!$E:$E,T$7,Guatemala!$G:$G,"Corn")</f>
        <v>0</v>
      </c>
      <c r="U18" s="7" t="n">
        <f aca="false">SUM(B18:T18)</f>
        <v>764153</v>
      </c>
    </row>
    <row r="19" customFormat="false" ht="15" hidden="false" customHeight="false" outlineLevel="0" collapsed="false">
      <c r="A19" s="5" t="s">
        <v>36</v>
      </c>
      <c r="B19" s="6" t="n">
        <f aca="false">SUMIFS('Saudi Arabia'!$H:$H,'Saudi Arabia'!$E:$E,B$7,'Saudi Arabia'!$G:$G,"Corn")</f>
        <v>0</v>
      </c>
      <c r="C19" s="6" t="n">
        <f aca="false">SUMIFS('Saudi Arabia'!$H:$H,'Saudi Arabia'!$E:$E,C$7,'Saudi Arabia'!$G:$G,"Corn")</f>
        <v>0</v>
      </c>
      <c r="D19" s="6" t="n">
        <f aca="false">SUMIFS('Saudi Arabia'!$H:$H,'Saudi Arabia'!$E:$E,D$7,'Saudi Arabia'!$G:$G,"Corn")</f>
        <v>0</v>
      </c>
      <c r="E19" s="6" t="n">
        <f aca="false">SUMIFS('Saudi Arabia'!$H:$H,'Saudi Arabia'!$E:$E,E$7,'Saudi Arabia'!$G:$G,"Corn")</f>
        <v>0</v>
      </c>
      <c r="F19" s="6" t="n">
        <f aca="false">SUMIFS('Saudi Arabia'!$H:$H,'Saudi Arabia'!$E:$E,F$7,'Saudi Arabia'!$G:$G,"Corn")</f>
        <v>140000</v>
      </c>
      <c r="G19" s="6" t="n">
        <f aca="false">SUMIFS('Saudi Arabia'!$H:$H,'Saudi Arabia'!$E:$E,G$7,'Saudi Arabia'!$G:$G,"Corn")</f>
        <v>210000</v>
      </c>
      <c r="H19" s="6" t="n">
        <f aca="false">SUMIFS('Saudi Arabia'!$H:$H,'Saudi Arabia'!$E:$E,H$7,'Saudi Arabia'!$G:$G,"Corn")</f>
        <v>140000</v>
      </c>
      <c r="I19" s="6" t="n">
        <f aca="false">SUMIFS('Saudi Arabia'!$H:$H,'Saudi Arabia'!$E:$E,I$7,'Saudi Arabia'!$G:$G,"Corn")</f>
        <v>70000</v>
      </c>
      <c r="J19" s="6" t="n">
        <f aca="false">SUMIFS('Saudi Arabia'!$H:$H,'Saudi Arabia'!$E:$E,J$7,'Saudi Arabia'!$G:$G,"Corn")</f>
        <v>70000</v>
      </c>
      <c r="K19" s="6" t="n">
        <f aca="false">SUMIFS('Saudi Arabia'!$H:$H,'Saudi Arabia'!$E:$E,K$7,'Saudi Arabia'!$G:$G,"Corn")</f>
        <v>0</v>
      </c>
      <c r="L19" s="6" t="n">
        <f aca="false">SUMIFS('Saudi Arabia'!$H:$H,'Saudi Arabia'!$E:$E,L$7,'Saudi Arabia'!$G:$G,"Corn")</f>
        <v>0</v>
      </c>
      <c r="M19" s="6" t="n">
        <f aca="false">SUMIFS('Saudi Arabia'!$H:$H,'Saudi Arabia'!$E:$E,M$7,'Saudi Arabia'!$G:$G,"Corn")</f>
        <v>0</v>
      </c>
      <c r="N19" s="6" t="n">
        <f aca="false">SUMIFS('Saudi Arabia'!$H:$H,'Saudi Arabia'!$E:$E,N$7,'Saudi Arabia'!$G:$G,"Corn")</f>
        <v>0</v>
      </c>
      <c r="O19" s="6" t="n">
        <f aca="false">SUMIFS('Saudi Arabia'!$H:$H,'Saudi Arabia'!$E:$E,O$7,'Saudi Arabia'!$G:$G,"Corn")</f>
        <v>0</v>
      </c>
      <c r="P19" s="6" t="n">
        <f aca="false">SUMIFS('Saudi Arabia'!$H:$H,'Saudi Arabia'!$E:$E,P$7,'Saudi Arabia'!$G:$G,"Corn")</f>
        <v>0</v>
      </c>
      <c r="Q19" s="6" t="n">
        <f aca="false">SUMIFS('Saudi Arabia'!$H:$H,'Saudi Arabia'!$E:$E,Q$7,'Saudi Arabia'!$G:$G,"Corn")</f>
        <v>0</v>
      </c>
      <c r="R19" s="6" t="n">
        <f aca="false">SUMIFS('Saudi Arabia'!$H:$H,'Saudi Arabia'!$E:$E,R$7,'Saudi Arabia'!$G:$G,"Corn")</f>
        <v>0</v>
      </c>
      <c r="S19" s="6" t="n">
        <f aca="false">SUMIFS('Saudi Arabia'!$H:$H,'Saudi Arabia'!$E:$E,S$7,'Saudi Arabia'!$G:$G,"Corn")</f>
        <v>0</v>
      </c>
      <c r="T19" s="6" t="n">
        <f aca="false">SUMIFS('Saudi Arabia'!$H:$H,'Saudi Arabia'!$E:$E,T$7,'Saudi Arabia'!$G:$G,"Corn")</f>
        <v>0</v>
      </c>
      <c r="U19" s="7" t="n">
        <f aca="false">SUM(B19:T19)</f>
        <v>630000</v>
      </c>
    </row>
    <row r="20" customFormat="false" ht="15" hidden="false" customHeight="false" outlineLevel="0" collapsed="false">
      <c r="A20" s="5" t="s">
        <v>37</v>
      </c>
      <c r="B20" s="6" t="n">
        <f aca="false">SUMIFS(Argentina!$H:$H,Argentina!$E:$E,B$7,Argentina!$G:$G,"Corn")</f>
        <v>0</v>
      </c>
      <c r="C20" s="6" t="n">
        <f aca="false">SUMIFS(Argentina!$H:$H,Argentina!$E:$E,C$7,Argentina!$G:$G,"Corn")</f>
        <v>0</v>
      </c>
      <c r="D20" s="6" t="n">
        <f aca="false">SUMIFS(Argentina!$H:$H,Argentina!$E:$E,D$7,Argentina!$G:$G,"Corn")</f>
        <v>0</v>
      </c>
      <c r="E20" s="6" t="n">
        <f aca="false">SUMIFS(Argentina!$H:$H,Argentina!$E:$E,E$7,Argentina!$G:$G,"Corn")</f>
        <v>0</v>
      </c>
      <c r="F20" s="6" t="n">
        <f aca="false">SUMIFS(Argentina!$H:$H,Argentina!$E:$E,F$7,Argentina!$G:$G,"Corn")</f>
        <v>0</v>
      </c>
      <c r="G20" s="6" t="n">
        <f aca="false">SUMIFS(Argentina!$H:$H,Argentina!$E:$E,G$7,Argentina!$G:$G,"Corn")</f>
        <v>0</v>
      </c>
      <c r="H20" s="6" t="n">
        <f aca="false">SUMIFS(Argentina!$H:$H,Argentina!$E:$E,H$7,Argentina!$G:$G,"Corn")</f>
        <v>0</v>
      </c>
      <c r="I20" s="6" t="n">
        <f aca="false">SUMIFS(Argentina!$H:$H,Argentina!$E:$E,I$7,Argentina!$G:$G,"Corn")</f>
        <v>80000</v>
      </c>
      <c r="J20" s="6" t="n">
        <f aca="false">SUMIFS(Argentina!$H:$H,Argentina!$E:$E,J$7,Argentina!$G:$G,"Corn")</f>
        <v>0</v>
      </c>
      <c r="K20" s="6" t="n">
        <f aca="false">SUMIFS(Argentina!$H:$H,Argentina!$E:$E,K$7,Argentina!$G:$G,"Corn")</f>
        <v>0</v>
      </c>
      <c r="L20" s="6" t="n">
        <f aca="false">SUMIFS(Argentina!$H:$H,Argentina!$E:$E,L$7,Argentina!$G:$G,"Corn")</f>
        <v>0</v>
      </c>
      <c r="M20" s="6" t="n">
        <f aca="false">SUMIFS(Argentina!$H:$H,Argentina!$E:$E,M$7,Argentina!$G:$G,"Corn")</f>
        <v>0</v>
      </c>
      <c r="N20" s="6" t="n">
        <f aca="false">SUMIFS(Argentina!$H:$H,Argentina!$E:$E,N$7,Argentina!$G:$G,"Corn")</f>
        <v>0</v>
      </c>
      <c r="O20" s="6" t="n">
        <f aca="false">SUMIFS(Argentina!$H:$H,Argentina!$E:$E,O$7,Argentina!$G:$G,"Corn")</f>
        <v>0</v>
      </c>
      <c r="P20" s="6" t="n">
        <f aca="false">SUMIFS(Argentina!$H:$H,Argentina!$E:$E,P$7,Argentina!$G:$G,"Corn")</f>
        <v>0</v>
      </c>
      <c r="Q20" s="6" t="n">
        <f aca="false">SUMIFS(Argentina!$H:$H,Argentina!$E:$E,Q$7,Argentina!$G:$G,"Corn")</f>
        <v>0</v>
      </c>
      <c r="R20" s="6" t="n">
        <f aca="false">SUMIFS(Argentina!$H:$H,Argentina!$E:$E,R$7,Argentina!$G:$G,"Corn")</f>
        <v>0</v>
      </c>
      <c r="S20" s="6" t="n">
        <f aca="false">SUMIFS(Argentina!$H:$H,Argentina!$E:$E,S$7,Argentina!$G:$G,"Corn")</f>
        <v>0</v>
      </c>
      <c r="T20" s="6" t="n">
        <f aca="false">SUMIFS(Argentina!$H:$H,Argentina!$E:$E,T$7,Argentina!$G:$G,"Corn")</f>
        <v>0</v>
      </c>
      <c r="U20" s="7" t="n">
        <f aca="false">SUM(B20:T20)</f>
        <v>80000</v>
      </c>
    </row>
    <row r="21" customFormat="false" ht="15" hidden="false" customHeight="false" outlineLevel="0" collapsed="false">
      <c r="A21" s="5" t="s">
        <v>38</v>
      </c>
      <c r="B21" s="6" t="n">
        <f aca="false">SUMIFS(Pakistan!$H:$H,Pakistan!$E:$E,B$7,Pakistan!$G:$G,"Corn")</f>
        <v>0</v>
      </c>
      <c r="C21" s="6" t="n">
        <f aca="false">SUMIFS(Pakistan!$H:$H,Pakistan!$E:$E,C$7,Pakistan!$G:$G,"Corn")</f>
        <v>0</v>
      </c>
      <c r="D21" s="6" t="n">
        <f aca="false">SUMIFS(Pakistan!$H:$H,Pakistan!$E:$E,D$7,Pakistan!$G:$G,"Corn")</f>
        <v>0</v>
      </c>
      <c r="E21" s="6" t="n">
        <f aca="false">SUMIFS(Pakistan!$H:$H,Pakistan!$E:$E,E$7,Pakistan!$G:$G,"Corn")</f>
        <v>0</v>
      </c>
      <c r="F21" s="6" t="n">
        <f aca="false">SUMIFS(Pakistan!$H:$H,Pakistan!$E:$E,F$7,Pakistan!$G:$G,"Corn")</f>
        <v>0</v>
      </c>
      <c r="G21" s="6" t="n">
        <f aca="false">SUMIFS(Pakistan!$H:$H,Pakistan!$E:$E,G$7,Pakistan!$G:$G,"Corn")</f>
        <v>0</v>
      </c>
      <c r="H21" s="6" t="n">
        <f aca="false">SUMIFS(Pakistan!$H:$H,Pakistan!$E:$E,H$7,Pakistan!$G:$G,"Corn")</f>
        <v>0</v>
      </c>
      <c r="I21" s="6" t="n">
        <f aca="false">SUMIFS(Pakistan!$H:$H,Pakistan!$E:$E,I$7,Pakistan!$G:$G,"Corn")</f>
        <v>0</v>
      </c>
      <c r="J21" s="6" t="n">
        <f aca="false">SUMIFS(Pakistan!$H:$H,Pakistan!$E:$E,J$7,Pakistan!$G:$G,"Corn")</f>
        <v>0</v>
      </c>
      <c r="K21" s="6" t="n">
        <f aca="false">SUMIFS(Pakistan!$H:$H,Pakistan!$E:$E,K$7,Pakistan!$G:$G,"Corn")</f>
        <v>0</v>
      </c>
      <c r="L21" s="6" t="n">
        <f aca="false">SUMIFS(Pakistan!$H:$H,Pakistan!$E:$E,L$7,Pakistan!$G:$G,"Corn")</f>
        <v>0</v>
      </c>
      <c r="M21" s="6" t="n">
        <f aca="false">SUMIFS(Pakistan!$H:$H,Pakistan!$E:$E,M$7,Pakistan!$G:$G,"Corn")</f>
        <v>0</v>
      </c>
      <c r="N21" s="6" t="n">
        <f aca="false">SUMIFS(Pakistan!$H:$H,Pakistan!$E:$E,N$7,Pakistan!$G:$G,"Corn")</f>
        <v>0</v>
      </c>
      <c r="O21" s="6" t="n">
        <f aca="false">SUMIFS(Pakistan!$H:$H,Pakistan!$E:$E,O$7,Pakistan!$G:$G,"Corn")</f>
        <v>0</v>
      </c>
      <c r="P21" s="6" t="n">
        <f aca="false">SUMIFS(Pakistan!$H:$H,Pakistan!$E:$E,P$7,Pakistan!$G:$G,"Corn")</f>
        <v>0</v>
      </c>
      <c r="Q21" s="6" t="n">
        <f aca="false">SUMIFS(Pakistan!$H:$H,Pakistan!$E:$E,Q$7,Pakistan!$G:$G,"Corn")</f>
        <v>0</v>
      </c>
      <c r="R21" s="6" t="n">
        <f aca="false">SUMIFS(Pakistan!$H:$H,Pakistan!$E:$E,R$7,Pakistan!$G:$G,"Corn")</f>
        <v>0</v>
      </c>
      <c r="S21" s="6" t="n">
        <f aca="false">SUMIFS(Pakistan!$H:$H,Pakistan!$E:$E,S$7,Pakistan!$G:$G,"Corn")</f>
        <v>0</v>
      </c>
      <c r="T21" s="6" t="n">
        <f aca="false">SUMIFS(Pakistan!$H:$H,Pakistan!$E:$E,T$7,Pakistan!$G:$G,"Corn")</f>
        <v>0</v>
      </c>
      <c r="U21" s="7" t="n">
        <f aca="false">SUM(B21:T21)</f>
        <v>0</v>
      </c>
    </row>
    <row r="22" customFormat="false" ht="15" hidden="false" customHeight="false" outlineLevel="0" collapsed="false">
      <c r="A22" s="5" t="s">
        <v>39</v>
      </c>
      <c r="B22" s="6" t="n">
        <f aca="false">SUMIFS(Other!$H:$H,Other!$E:$E,B$7,Other!$G:$G,"Corn")</f>
        <v>0</v>
      </c>
      <c r="C22" s="6" t="n">
        <f aca="false">SUMIFS(Other!$H:$H,Other!$E:$E,C$7,Other!$G:$G,"Corn")</f>
        <v>0</v>
      </c>
      <c r="D22" s="6" t="n">
        <f aca="false">SUMIFS(Other!$H:$H,Other!$E:$E,D$7,Other!$G:$G,"Corn")</f>
        <v>0</v>
      </c>
      <c r="E22" s="6" t="n">
        <f aca="false">SUMIFS(Other!$H:$H,Other!$E:$E,E$7,Other!$G:$G,"Corn")</f>
        <v>0</v>
      </c>
      <c r="F22" s="6" t="n">
        <f aca="false">SUMIFS(Other!$H:$H,Other!$E:$E,F$7,Other!$G:$G,"Corn")</f>
        <v>0</v>
      </c>
      <c r="G22" s="6" t="n">
        <f aca="false">SUMIFS(Other!$H:$H,Other!$E:$E,G$7,Other!$G:$G,"Corn")</f>
        <v>132000</v>
      </c>
      <c r="H22" s="6" t="n">
        <f aca="false">SUMIFS(Other!$H:$H,Other!$E:$E,H$7,Other!$G:$G,"Corn")</f>
        <v>100973</v>
      </c>
      <c r="I22" s="6" t="n">
        <f aca="false">SUMIFS(Other!$H:$H,Other!$E:$E,I$7,Other!$G:$G,"Corn")</f>
        <v>110000</v>
      </c>
      <c r="J22" s="6" t="n">
        <f aca="false">SUMIFS(Other!$H:$H,Other!$E:$E,J$7,Other!$G:$G,"Corn")</f>
        <v>247000</v>
      </c>
      <c r="K22" s="6" t="n">
        <f aca="false">SUMIFS(Other!$H:$H,Other!$E:$E,K$7,Other!$G:$G,"Corn")</f>
        <v>104100</v>
      </c>
      <c r="L22" s="6" t="n">
        <f aca="false">SUMIFS(Other!$H:$H,Other!$E:$E,L$7,Other!$G:$G,"Corn")</f>
        <v>100000</v>
      </c>
      <c r="M22" s="6" t="n">
        <f aca="false">SUMIFS(Other!$H:$H,Other!$E:$E,M$7,Other!$G:$G,"Corn")</f>
        <v>0</v>
      </c>
      <c r="N22" s="6" t="n">
        <f aca="false">SUMIFS(Other!$H:$H,Other!$E:$E,N$7,Other!$G:$G,"Corn")</f>
        <v>105000</v>
      </c>
      <c r="O22" s="6" t="n">
        <f aca="false">SUMIFS(Other!$H:$H,Other!$E:$E,O$7,Other!$G:$G,"Corn")</f>
        <v>0</v>
      </c>
      <c r="P22" s="6" t="n">
        <f aca="false">SUMIFS(Other!$H:$H,Other!$E:$E,P$7,Other!$G:$G,"Corn")</f>
        <v>110000</v>
      </c>
      <c r="Q22" s="6" t="n">
        <f aca="false">SUMIFS(Other!$H:$H,Other!$E:$E,Q$7,Other!$G:$G,"Corn")</f>
        <v>0</v>
      </c>
      <c r="R22" s="6" t="n">
        <f aca="false">SUMIFS(Other!$H:$H,Other!$E:$E,R$7,Other!$G:$G,"Corn")</f>
        <v>0</v>
      </c>
      <c r="S22" s="6" t="n">
        <f aca="false">SUMIFS(Other!$H:$H,Other!$E:$E,S$7,Other!$G:$G,"Corn")</f>
        <v>0</v>
      </c>
      <c r="T22" s="6" t="n">
        <f aca="false">SUMIFS(Other!$H:$H,Other!$E:$E,T$7,Other!$G:$G,"Corn")</f>
        <v>0</v>
      </c>
      <c r="U22" s="7" t="n">
        <f aca="false">SUM(B22:T22)</f>
        <v>1009073</v>
      </c>
    </row>
    <row r="23" customFormat="false" ht="15" hidden="false" customHeight="false" outlineLevel="0" collapsed="false">
      <c r="A23" s="8" t="s">
        <v>24</v>
      </c>
      <c r="B23" s="9" t="n">
        <f aca="false">SUM(B8:B22)</f>
        <v>250000</v>
      </c>
      <c r="C23" s="9" t="n">
        <f aca="false">SUM(C8:C22)</f>
        <v>697000</v>
      </c>
      <c r="D23" s="9" t="n">
        <f aca="false">SUM(D8:D22)</f>
        <v>69928</v>
      </c>
      <c r="E23" s="9" t="n">
        <f aca="false">SUM(E8:E22)</f>
        <v>4216673</v>
      </c>
      <c r="F23" s="9" t="n">
        <f aca="false">SUM(F8:F22)</f>
        <v>1033790</v>
      </c>
      <c r="G23" s="9" t="n">
        <f aca="false">SUM(G8:G22)</f>
        <v>4867176</v>
      </c>
      <c r="H23" s="9" t="n">
        <f aca="false">SUM(H8:H22)</f>
        <v>9203008</v>
      </c>
      <c r="I23" s="9" t="n">
        <f aca="false">SUM(I8:I22)</f>
        <v>12145300</v>
      </c>
      <c r="J23" s="9" t="n">
        <f aca="false">SUM(J8:J22)</f>
        <v>9778465</v>
      </c>
      <c r="K23" s="9" t="n">
        <f aca="false">SUM(K8:K22)</f>
        <v>10313553</v>
      </c>
      <c r="L23" s="9" t="n">
        <f aca="false">SUM(L8:L22)</f>
        <v>31583078</v>
      </c>
      <c r="M23" s="9" t="n">
        <f aca="false">SUM(M8:M22)</f>
        <v>23403146</v>
      </c>
      <c r="N23" s="9" t="n">
        <f aca="false">SUM(N8:N22)</f>
        <v>14027173</v>
      </c>
      <c r="O23" s="9" t="n">
        <f aca="false">SUM(O8:O22)</f>
        <v>8430239</v>
      </c>
      <c r="P23" s="9" t="n">
        <f aca="false">SUM(P8:P22)</f>
        <v>15763096</v>
      </c>
      <c r="Q23" s="9" t="n">
        <f aca="false">SUM(Q8:Q22)</f>
        <v>18333047</v>
      </c>
      <c r="R23" s="9" t="n">
        <f aca="false">SUM(R8:R22)</f>
        <v>3331249</v>
      </c>
      <c r="S23" s="9" t="n">
        <f aca="false">SUM(S8:S22)</f>
        <v>504689</v>
      </c>
      <c r="T23" s="9" t="n">
        <f aca="false">SUM(T8:T22)</f>
        <v>22400</v>
      </c>
      <c r="U23" s="9" t="n">
        <f aca="false">SUM(U8:U22)</f>
        <v>167973010</v>
      </c>
    </row>
    <row r="26" customFormat="false" ht="16.15" hidden="false" customHeight="false" outlineLevel="0" collapsed="false">
      <c r="A26" s="1" t="s">
        <v>40</v>
      </c>
    </row>
    <row r="27" customFormat="false" ht="15" hidden="false" customHeight="false" outlineLevel="0" collapsed="false">
      <c r="A27" s="4" t="s">
        <v>4</v>
      </c>
      <c r="B27" s="4" t="s">
        <v>5</v>
      </c>
      <c r="C27" s="4" t="s">
        <v>6</v>
      </c>
      <c r="D27" s="4" t="s">
        <v>7</v>
      </c>
      <c r="E27" s="4" t="s">
        <v>8</v>
      </c>
      <c r="F27" s="4" t="s">
        <v>9</v>
      </c>
      <c r="G27" s="4" t="s">
        <v>10</v>
      </c>
      <c r="H27" s="4" t="s">
        <v>11</v>
      </c>
      <c r="I27" s="4" t="s">
        <v>12</v>
      </c>
      <c r="J27" s="4" t="s">
        <v>13</v>
      </c>
      <c r="K27" s="4" t="s">
        <v>14</v>
      </c>
      <c r="L27" s="4" t="s">
        <v>15</v>
      </c>
      <c r="M27" s="4" t="s">
        <v>16</v>
      </c>
      <c r="N27" s="4" t="s">
        <v>17</v>
      </c>
      <c r="O27" s="4" t="s">
        <v>18</v>
      </c>
      <c r="P27" s="4" t="s">
        <v>19</v>
      </c>
      <c r="Q27" s="4" t="s">
        <v>20</v>
      </c>
      <c r="R27" s="4" t="s">
        <v>21</v>
      </c>
      <c r="S27" s="4" t="s">
        <v>22</v>
      </c>
      <c r="T27" s="4" t="s">
        <v>23</v>
      </c>
      <c r="U27" s="4" t="s">
        <v>24</v>
      </c>
    </row>
    <row r="28" customFormat="false" ht="15" hidden="false" customHeight="false" outlineLevel="0" collapsed="false">
      <c r="A28" s="5" t="s">
        <v>25</v>
      </c>
      <c r="B28" s="6" t="n">
        <f aca="false">SUMIFS('Not Available'!$H:$H,'Not Available'!$E:$E,B$27,'Not Available'!$G:$G,"Soybean")</f>
        <v>0</v>
      </c>
      <c r="C28" s="6" t="n">
        <f aca="false">SUMIFS('Not Available'!$H:$H,'Not Available'!$E:$E,C$27,'Not Available'!$G:$G,"Soybean")</f>
        <v>0</v>
      </c>
      <c r="D28" s="6" t="n">
        <f aca="false">SUMIFS('Not Available'!$H:$H,'Not Available'!$E:$E,D$27,'Not Available'!$G:$G,"Soybean")</f>
        <v>75450</v>
      </c>
      <c r="E28" s="6" t="n">
        <f aca="false">SUMIFS('Not Available'!$H:$H,'Not Available'!$E:$E,E$27,'Not Available'!$G:$G,"Soybean")</f>
        <v>3383650</v>
      </c>
      <c r="F28" s="6" t="n">
        <f aca="false">SUMIFS('Not Available'!$H:$H,'Not Available'!$E:$E,F$27,'Not Available'!$G:$G,"Soybean")</f>
        <v>435000</v>
      </c>
      <c r="G28" s="6" t="n">
        <f aca="false">SUMIFS('Not Available'!$H:$H,'Not Available'!$E:$E,G$27,'Not Available'!$G:$G,"Soybean")</f>
        <v>2756500</v>
      </c>
      <c r="H28" s="6" t="n">
        <f aca="false">SUMIFS('Not Available'!$H:$H,'Not Available'!$E:$E,H$27,'Not Available'!$G:$G,"Soybean")</f>
        <v>10305291</v>
      </c>
      <c r="I28" s="6" t="n">
        <f aca="false">SUMIFS('Not Available'!$H:$H,'Not Available'!$E:$E,I$27,'Not Available'!$G:$G,"Soybean")</f>
        <v>8560600</v>
      </c>
      <c r="J28" s="6" t="n">
        <f aca="false">SUMIFS('Not Available'!$H:$H,'Not Available'!$E:$E,J$27,'Not Available'!$G:$G,"Soybean")</f>
        <v>8553006</v>
      </c>
      <c r="K28" s="6" t="n">
        <f aca="false">SUMIFS('Not Available'!$H:$H,'Not Available'!$E:$E,K$27,'Not Available'!$G:$G,"Soybean")</f>
        <v>4068579</v>
      </c>
      <c r="L28" s="6" t="n">
        <f aca="false">SUMIFS('Not Available'!$H:$H,'Not Available'!$E:$E,L$27,'Not Available'!$G:$G,"Soybean")</f>
        <v>9149550</v>
      </c>
      <c r="M28" s="6" t="n">
        <f aca="false">SUMIFS('Not Available'!$H:$H,'Not Available'!$E:$E,M$27,'Not Available'!$G:$G,"Soybean")</f>
        <v>9363030</v>
      </c>
      <c r="N28" s="6" t="n">
        <f aca="false">SUMIFS('Not Available'!$H:$H,'Not Available'!$E:$E,N$27,'Not Available'!$G:$G,"Soybean")</f>
        <v>7249500</v>
      </c>
      <c r="O28" s="6" t="n">
        <f aca="false">SUMIFS('Not Available'!$H:$H,'Not Available'!$E:$E,O$27,'Not Available'!$G:$G,"Soybean")</f>
        <v>8655200</v>
      </c>
      <c r="P28" s="6" t="n">
        <f aca="false">SUMIFS('Not Available'!$H:$H,'Not Available'!$E:$E,P$27,'Not Available'!$G:$G,"Soybean")</f>
        <v>8600100</v>
      </c>
      <c r="Q28" s="6" t="n">
        <f aca="false">SUMIFS('Not Available'!$H:$H,'Not Available'!$E:$E,Q$27,'Not Available'!$G:$G,"Soybean")</f>
        <v>3292700</v>
      </c>
      <c r="R28" s="6" t="n">
        <f aca="false">SUMIFS('Not Available'!$H:$H,'Not Available'!$E:$E,R$27,'Not Available'!$G:$G,"Soybean")</f>
        <v>4172250</v>
      </c>
      <c r="S28" s="6" t="n">
        <f aca="false">SUMIFS('Not Available'!$H:$H,'Not Available'!$E:$E,S$27,'Not Available'!$G:$G,"Soybean")</f>
        <v>0</v>
      </c>
      <c r="T28" s="6" t="n">
        <f aca="false">SUMIFS('Not Available'!$H:$H,'Not Available'!$E:$E,T$27,'Not Available'!$G:$G,"Soybean")</f>
        <v>0</v>
      </c>
      <c r="U28" s="7" t="n">
        <f aca="false">SUM(B28:T28)</f>
        <v>88620406</v>
      </c>
    </row>
    <row r="29" customFormat="false" ht="15" hidden="false" customHeight="false" outlineLevel="0" collapsed="false">
      <c r="A29" s="5" t="s">
        <v>26</v>
      </c>
      <c r="B29" s="6" t="n">
        <f aca="false">SUMIFS(China!$H:$H,China!$E:$E,B$27,China!$G:$G,"Soybean")</f>
        <v>132000</v>
      </c>
      <c r="C29" s="6" t="n">
        <f aca="false">SUMIFS(China!$H:$H,China!$E:$E,C$27,China!$G:$G,"Soybean")</f>
        <v>773000</v>
      </c>
      <c r="D29" s="6" t="n">
        <f aca="false">SUMIFS(China!$H:$H,China!$E:$E,D$27,China!$G:$G,"Soybean")</f>
        <v>2750000</v>
      </c>
      <c r="E29" s="6" t="n">
        <f aca="false">SUMIFS(China!$H:$H,China!$E:$E,E$27,China!$G:$G,"Soybean")</f>
        <v>5005000</v>
      </c>
      <c r="F29" s="6" t="n">
        <f aca="false">SUMIFS(China!$H:$H,China!$E:$E,F$27,China!$G:$G,"Soybean")</f>
        <v>477000</v>
      </c>
      <c r="G29" s="6" t="n">
        <f aca="false">SUMIFS(China!$H:$H,China!$E:$E,G$27,China!$G:$G,"Soybean")</f>
        <v>1219000</v>
      </c>
      <c r="H29" s="6" t="n">
        <f aca="false">SUMIFS(China!$H:$H,China!$E:$E,H$27,China!$G:$G,"Soybean")</f>
        <v>11002570</v>
      </c>
      <c r="I29" s="6" t="n">
        <f aca="false">SUMIFS(China!$H:$H,China!$E:$E,I$27,China!$G:$G,"Soybean")</f>
        <v>9965000</v>
      </c>
      <c r="J29" s="6" t="n">
        <f aca="false">SUMIFS(China!$H:$H,China!$E:$E,J$27,China!$G:$G,"Soybean")</f>
        <v>12235000</v>
      </c>
      <c r="K29" s="6" t="n">
        <f aca="false">SUMIFS(China!$H:$H,China!$E:$E,K$27,China!$G:$G,"Soybean")</f>
        <v>6740000</v>
      </c>
      <c r="L29" s="6" t="n">
        <f aca="false">SUMIFS(China!$H:$H,China!$E:$E,L$27,China!$G:$G,"Soybean")</f>
        <v>13377000</v>
      </c>
      <c r="M29" s="6" t="n">
        <f aca="false">SUMIFS(China!$H:$H,China!$E:$E,M$27,China!$G:$G,"Soybean")</f>
        <v>7769000</v>
      </c>
      <c r="N29" s="6" t="n">
        <f aca="false">SUMIFS(China!$H:$H,China!$E:$E,N$27,China!$G:$G,"Soybean")</f>
        <v>8264700</v>
      </c>
      <c r="O29" s="6" t="n">
        <f aca="false">SUMIFS(China!$H:$H,China!$E:$E,O$27,China!$G:$G,"Soybean")</f>
        <v>6044000</v>
      </c>
      <c r="P29" s="6" t="n">
        <f aca="false">SUMIFS(China!$H:$H,China!$E:$E,P$27,China!$G:$G,"Soybean")</f>
        <v>5138000</v>
      </c>
      <c r="Q29" s="6" t="n">
        <f aca="false">SUMIFS(China!$H:$H,China!$E:$E,Q$27,China!$G:$G,"Soybean")</f>
        <v>5885000</v>
      </c>
      <c r="R29" s="6" t="n">
        <f aca="false">SUMIFS(China!$H:$H,China!$E:$E,R$27,China!$G:$G,"Soybean")</f>
        <v>6175000</v>
      </c>
      <c r="S29" s="6" t="n">
        <f aca="false">SUMIFS(China!$H:$H,China!$E:$E,S$27,China!$G:$G,"Soybean")</f>
        <v>0</v>
      </c>
      <c r="T29" s="6" t="n">
        <f aca="false">SUMIFS(China!$H:$H,China!$E:$E,T$27,China!$G:$G,"Soybean")</f>
        <v>0</v>
      </c>
      <c r="U29" s="7" t="n">
        <f aca="false">SUM(B29:T29)</f>
        <v>102951270</v>
      </c>
    </row>
    <row r="30" customFormat="false" ht="15" hidden="false" customHeight="false" outlineLevel="0" collapsed="false">
      <c r="A30" s="5" t="s">
        <v>27</v>
      </c>
      <c r="B30" s="6" t="n">
        <f aca="false">SUMIFS(Mexico!$H:$H,Mexico!$E:$E,B$27,Mexico!$G:$G,"Soybean")</f>
        <v>0</v>
      </c>
      <c r="C30" s="6" t="n">
        <f aca="false">SUMIFS(Mexico!$H:$H,Mexico!$E:$E,C$27,Mexico!$G:$G,"Soybean")</f>
        <v>0</v>
      </c>
      <c r="D30" s="6" t="n">
        <f aca="false">SUMIFS(Mexico!$H:$H,Mexico!$E:$E,D$27,Mexico!$G:$G,"Soybean")</f>
        <v>0</v>
      </c>
      <c r="E30" s="6" t="n">
        <f aca="false">SUMIFS(Mexico!$H:$H,Mexico!$E:$E,E$27,Mexico!$G:$G,"Soybean")</f>
        <v>0</v>
      </c>
      <c r="F30" s="6" t="n">
        <f aca="false">SUMIFS(Mexico!$H:$H,Mexico!$E:$E,F$27,Mexico!$G:$G,"Soybean")</f>
        <v>0</v>
      </c>
      <c r="G30" s="6" t="n">
        <f aca="false">SUMIFS(Mexico!$H:$H,Mexico!$E:$E,G$27,Mexico!$G:$G,"Soybean")</f>
        <v>47500</v>
      </c>
      <c r="H30" s="6" t="n">
        <f aca="false">SUMIFS(Mexico!$H:$H,Mexico!$E:$E,H$27,Mexico!$G:$G,"Soybean")</f>
        <v>517000</v>
      </c>
      <c r="I30" s="6" t="n">
        <f aca="false">SUMIFS(Mexico!$H:$H,Mexico!$E:$E,I$27,Mexico!$G:$G,"Soybean")</f>
        <v>601546</v>
      </c>
      <c r="J30" s="6" t="n">
        <f aca="false">SUMIFS(Mexico!$H:$H,Mexico!$E:$E,J$27,Mexico!$G:$G,"Soybean")</f>
        <v>1707246</v>
      </c>
      <c r="K30" s="6" t="n">
        <f aca="false">SUMIFS(Mexico!$H:$H,Mexico!$E:$E,K$27,Mexico!$G:$G,"Soybean")</f>
        <v>1386584</v>
      </c>
      <c r="L30" s="6" t="n">
        <f aca="false">SUMIFS(Mexico!$H:$H,Mexico!$E:$E,L$27,Mexico!$G:$G,"Soybean")</f>
        <v>1233013</v>
      </c>
      <c r="M30" s="6" t="n">
        <f aca="false">SUMIFS(Mexico!$H:$H,Mexico!$E:$E,M$27,Mexico!$G:$G,"Soybean")</f>
        <v>1900466</v>
      </c>
      <c r="N30" s="6" t="n">
        <f aca="false">SUMIFS(Mexico!$H:$H,Mexico!$E:$E,N$27,Mexico!$G:$G,"Soybean")</f>
        <v>1079559</v>
      </c>
      <c r="O30" s="6" t="n">
        <f aca="false">SUMIFS(Mexico!$H:$H,Mexico!$E:$E,O$27,Mexico!$G:$G,"Soybean")</f>
        <v>1099394</v>
      </c>
      <c r="P30" s="6" t="n">
        <f aca="false">SUMIFS(Mexico!$H:$H,Mexico!$E:$E,P$27,Mexico!$G:$G,"Soybean")</f>
        <v>632756</v>
      </c>
      <c r="Q30" s="6" t="n">
        <f aca="false">SUMIFS(Mexico!$H:$H,Mexico!$E:$E,Q$27,Mexico!$G:$G,"Soybean")</f>
        <v>1390276</v>
      </c>
      <c r="R30" s="6" t="n">
        <f aca="false">SUMIFS(Mexico!$H:$H,Mexico!$E:$E,R$27,Mexico!$G:$G,"Soybean")</f>
        <v>256634</v>
      </c>
      <c r="S30" s="6" t="n">
        <f aca="false">SUMIFS(Mexico!$H:$H,Mexico!$E:$E,S$27,Mexico!$G:$G,"Soybean")</f>
        <v>0</v>
      </c>
      <c r="T30" s="6" t="n">
        <f aca="false">SUMIFS(Mexico!$H:$H,Mexico!$E:$E,T$27,Mexico!$G:$G,"Soybean")</f>
        <v>0</v>
      </c>
      <c r="U30" s="7" t="n">
        <f aca="false">SUM(B30:T30)</f>
        <v>11851974</v>
      </c>
    </row>
    <row r="31" customFormat="false" ht="15" hidden="false" customHeight="false" outlineLevel="0" collapsed="false">
      <c r="A31" s="5" t="s">
        <v>28</v>
      </c>
      <c r="B31" s="6" t="n">
        <f aca="false">SUMIFS(Japan!$H:$H,Japan!$E:$E,B$27,Japan!$G:$G,"Soybean")</f>
        <v>0</v>
      </c>
      <c r="C31" s="6" t="n">
        <f aca="false">SUMIFS(Japan!$H:$H,Japan!$E:$E,C$27,Japan!$G:$G,"Soybean")</f>
        <v>0</v>
      </c>
      <c r="D31" s="6" t="n">
        <f aca="false">SUMIFS(Japan!$H:$H,Japan!$E:$E,D$27,Japan!$G:$G,"Soybean")</f>
        <v>0</v>
      </c>
      <c r="E31" s="6" t="n">
        <f aca="false">SUMIFS(Japan!$H:$H,Japan!$E:$E,E$27,Japan!$G:$G,"Soybean")</f>
        <v>0</v>
      </c>
      <c r="F31" s="6" t="n">
        <f aca="false">SUMIFS(Japan!$H:$H,Japan!$E:$E,F$27,Japan!$G:$G,"Soybean")</f>
        <v>0</v>
      </c>
      <c r="G31" s="6" t="n">
        <f aca="false">SUMIFS(Japan!$H:$H,Japan!$E:$E,G$27,Japan!$G:$G,"Soybean")</f>
        <v>0</v>
      </c>
      <c r="H31" s="6" t="n">
        <f aca="false">SUMIFS(Japan!$H:$H,Japan!$E:$E,H$27,Japan!$G:$G,"Soybean")</f>
        <v>0</v>
      </c>
      <c r="I31" s="6" t="n">
        <f aca="false">SUMIFS(Japan!$H:$H,Japan!$E:$E,I$27,Japan!$G:$G,"Soybean")</f>
        <v>0</v>
      </c>
      <c r="J31" s="6" t="n">
        <f aca="false">SUMIFS(Japan!$H:$H,Japan!$E:$E,J$27,Japan!$G:$G,"Soybean")</f>
        <v>0</v>
      </c>
      <c r="K31" s="6" t="n">
        <f aca="false">SUMIFS(Japan!$H:$H,Japan!$E:$E,K$27,Japan!$G:$G,"Soybean")</f>
        <v>0</v>
      </c>
      <c r="L31" s="6" t="n">
        <f aca="false">SUMIFS(Japan!$H:$H,Japan!$E:$E,L$27,Japan!$G:$G,"Soybean")</f>
        <v>0</v>
      </c>
      <c r="M31" s="6" t="n">
        <f aca="false">SUMIFS(Japan!$H:$H,Japan!$E:$E,M$27,Japan!$G:$G,"Soybean")</f>
        <v>0</v>
      </c>
      <c r="N31" s="6" t="n">
        <f aca="false">SUMIFS(Japan!$H:$H,Japan!$E:$E,N$27,Japan!$G:$G,"Soybean")</f>
        <v>0</v>
      </c>
      <c r="O31" s="6" t="n">
        <f aca="false">SUMIFS(Japan!$H:$H,Japan!$E:$E,O$27,Japan!$G:$G,"Soybean")</f>
        <v>0</v>
      </c>
      <c r="P31" s="6" t="n">
        <f aca="false">SUMIFS(Japan!$H:$H,Japan!$E:$E,P$27,Japan!$G:$G,"Soybean")</f>
        <v>0</v>
      </c>
      <c r="Q31" s="6" t="n">
        <f aca="false">SUMIFS(Japan!$H:$H,Japan!$E:$E,Q$27,Japan!$G:$G,"Soybean")</f>
        <v>0</v>
      </c>
      <c r="R31" s="6" t="n">
        <f aca="false">SUMIFS(Japan!$H:$H,Japan!$E:$E,R$27,Japan!$G:$G,"Soybean")</f>
        <v>0</v>
      </c>
      <c r="S31" s="6" t="n">
        <f aca="false">SUMIFS(Japan!$H:$H,Japan!$E:$E,S$27,Japan!$G:$G,"Soybean")</f>
        <v>0</v>
      </c>
      <c r="T31" s="6" t="n">
        <f aca="false">SUMIFS(Japan!$H:$H,Japan!$E:$E,T$27,Japan!$G:$G,"Soybean")</f>
        <v>0</v>
      </c>
      <c r="U31" s="7" t="n">
        <f aca="false">SUM(B31:T31)</f>
        <v>0</v>
      </c>
    </row>
    <row r="32" customFormat="false" ht="15" hidden="false" customHeight="false" outlineLevel="0" collapsed="false">
      <c r="A32" s="5" t="s">
        <v>29</v>
      </c>
      <c r="B32" s="6" t="n">
        <f aca="false">SUMIFS('South Korea'!$H:$H,'South Korea'!$E:$E,B$27,'South Korea'!$G:$G,"Soybean")</f>
        <v>0</v>
      </c>
      <c r="C32" s="6" t="n">
        <f aca="false">SUMIFS('South Korea'!$H:$H,'South Korea'!$E:$E,C$27,'South Korea'!$G:$G,"Soybean")</f>
        <v>0</v>
      </c>
      <c r="D32" s="6" t="n">
        <f aca="false">SUMIFS('South Korea'!$H:$H,'South Korea'!$E:$E,D$27,'South Korea'!$G:$G,"Soybean")</f>
        <v>0</v>
      </c>
      <c r="E32" s="6" t="n">
        <f aca="false">SUMIFS('South Korea'!$H:$H,'South Korea'!$E:$E,E$27,'South Korea'!$G:$G,"Soybean")</f>
        <v>0</v>
      </c>
      <c r="F32" s="6" t="n">
        <f aca="false">SUMIFS('South Korea'!$H:$H,'South Korea'!$E:$E,F$27,'South Korea'!$G:$G,"Soybean")</f>
        <v>0</v>
      </c>
      <c r="G32" s="6" t="n">
        <f aca="false">SUMIFS('South Korea'!$H:$H,'South Korea'!$E:$E,G$27,'South Korea'!$G:$G,"Soybean")</f>
        <v>0</v>
      </c>
      <c r="H32" s="6" t="n">
        <f aca="false">SUMIFS('South Korea'!$H:$H,'South Korea'!$E:$E,H$27,'South Korea'!$G:$G,"Soybean")</f>
        <v>0</v>
      </c>
      <c r="I32" s="6" t="n">
        <f aca="false">SUMIFS('South Korea'!$H:$H,'South Korea'!$E:$E,I$27,'South Korea'!$G:$G,"Soybean")</f>
        <v>0</v>
      </c>
      <c r="J32" s="6" t="n">
        <f aca="false">SUMIFS('South Korea'!$H:$H,'South Korea'!$E:$E,J$27,'South Korea'!$G:$G,"Soybean")</f>
        <v>0</v>
      </c>
      <c r="K32" s="6" t="n">
        <f aca="false">SUMIFS('South Korea'!$H:$H,'South Korea'!$E:$E,K$27,'South Korea'!$G:$G,"Soybean")</f>
        <v>0</v>
      </c>
      <c r="L32" s="6" t="n">
        <f aca="false">SUMIFS('South Korea'!$H:$H,'South Korea'!$E:$E,L$27,'South Korea'!$G:$G,"Soybean")</f>
        <v>0</v>
      </c>
      <c r="M32" s="6" t="n">
        <f aca="false">SUMIFS('South Korea'!$H:$H,'South Korea'!$E:$E,M$27,'South Korea'!$G:$G,"Soybean")</f>
        <v>0</v>
      </c>
      <c r="N32" s="6" t="n">
        <f aca="false">SUMIFS('South Korea'!$H:$H,'South Korea'!$E:$E,N$27,'South Korea'!$G:$G,"Soybean")</f>
        <v>0</v>
      </c>
      <c r="O32" s="6" t="n">
        <f aca="false">SUMIFS('South Korea'!$H:$H,'South Korea'!$E:$E,O$27,'South Korea'!$G:$G,"Soybean")</f>
        <v>0</v>
      </c>
      <c r="P32" s="6" t="n">
        <f aca="false">SUMIFS('South Korea'!$H:$H,'South Korea'!$E:$E,P$27,'South Korea'!$G:$G,"Soybean")</f>
        <v>0</v>
      </c>
      <c r="Q32" s="6" t="n">
        <f aca="false">SUMIFS('South Korea'!$H:$H,'South Korea'!$E:$E,Q$27,'South Korea'!$G:$G,"Soybean")</f>
        <v>0</v>
      </c>
      <c r="R32" s="6" t="n">
        <f aca="false">SUMIFS('South Korea'!$H:$H,'South Korea'!$E:$E,R$27,'South Korea'!$G:$G,"Soybean")</f>
        <v>0</v>
      </c>
      <c r="S32" s="6" t="n">
        <f aca="false">SUMIFS('South Korea'!$H:$H,'South Korea'!$E:$E,S$27,'South Korea'!$G:$G,"Soybean")</f>
        <v>0</v>
      </c>
      <c r="T32" s="6" t="n">
        <f aca="false">SUMIFS('South Korea'!$H:$H,'South Korea'!$E:$E,T$27,'South Korea'!$G:$G,"Soybean")</f>
        <v>0</v>
      </c>
      <c r="U32" s="7" t="n">
        <f aca="false">SUM(B32:T32)</f>
        <v>0</v>
      </c>
    </row>
    <row r="33" customFormat="false" ht="15" hidden="false" customHeight="false" outlineLevel="0" collapsed="false">
      <c r="A33" s="5" t="s">
        <v>30</v>
      </c>
      <c r="B33" s="6" t="n">
        <f aca="false">SUMIFS(Colombia!$H:$H,Colombia!$E:$E,B$27,Colombia!$G:$G,"Soybean")</f>
        <v>0</v>
      </c>
      <c r="C33" s="6" t="n">
        <f aca="false">SUMIFS(Colombia!$H:$H,Colombia!$E:$E,C$27,Colombia!$G:$G,"Soybean")</f>
        <v>0</v>
      </c>
      <c r="D33" s="6" t="n">
        <f aca="false">SUMIFS(Colombia!$H:$H,Colombia!$E:$E,D$27,Colombia!$G:$G,"Soybean")</f>
        <v>0</v>
      </c>
      <c r="E33" s="6" t="n">
        <f aca="false">SUMIFS(Colombia!$H:$H,Colombia!$E:$E,E$27,Colombia!$G:$G,"Soybean")</f>
        <v>0</v>
      </c>
      <c r="F33" s="6" t="n">
        <f aca="false">SUMIFS(Colombia!$H:$H,Colombia!$E:$E,F$27,Colombia!$G:$G,"Soybean")</f>
        <v>0</v>
      </c>
      <c r="G33" s="6" t="n">
        <f aca="false">SUMIFS(Colombia!$H:$H,Colombia!$E:$E,G$27,Colombia!$G:$G,"Soybean")</f>
        <v>0</v>
      </c>
      <c r="H33" s="6" t="n">
        <f aca="false">SUMIFS(Colombia!$H:$H,Colombia!$E:$E,H$27,Colombia!$G:$G,"Soybean")</f>
        <v>0</v>
      </c>
      <c r="I33" s="6" t="n">
        <f aca="false">SUMIFS(Colombia!$H:$H,Colombia!$E:$E,I$27,Colombia!$G:$G,"Soybean")</f>
        <v>0</v>
      </c>
      <c r="J33" s="6" t="n">
        <f aca="false">SUMIFS(Colombia!$H:$H,Colombia!$E:$E,J$27,Colombia!$G:$G,"Soybean")</f>
        <v>0</v>
      </c>
      <c r="K33" s="6" t="n">
        <f aca="false">SUMIFS(Colombia!$H:$H,Colombia!$E:$E,K$27,Colombia!$G:$G,"Soybean")</f>
        <v>0</v>
      </c>
      <c r="L33" s="6" t="n">
        <f aca="false">SUMIFS(Colombia!$H:$H,Colombia!$E:$E,L$27,Colombia!$G:$G,"Soybean")</f>
        <v>0</v>
      </c>
      <c r="M33" s="6" t="n">
        <f aca="false">SUMIFS(Colombia!$H:$H,Colombia!$E:$E,M$27,Colombia!$G:$G,"Soybean")</f>
        <v>0</v>
      </c>
      <c r="N33" s="6" t="n">
        <f aca="false">SUMIFS(Colombia!$H:$H,Colombia!$E:$E,N$27,Colombia!$G:$G,"Soybean")</f>
        <v>0</v>
      </c>
      <c r="O33" s="6" t="n">
        <f aca="false">SUMIFS(Colombia!$H:$H,Colombia!$E:$E,O$27,Colombia!$G:$G,"Soybean")</f>
        <v>100000</v>
      </c>
      <c r="P33" s="6" t="n">
        <f aca="false">SUMIFS(Colombia!$H:$H,Colombia!$E:$E,P$27,Colombia!$G:$G,"Soybean")</f>
        <v>88000</v>
      </c>
      <c r="Q33" s="6" t="n">
        <f aca="false">SUMIFS(Colombia!$H:$H,Colombia!$E:$E,Q$27,Colombia!$G:$G,"Soybean")</f>
        <v>0</v>
      </c>
      <c r="R33" s="6" t="n">
        <f aca="false">SUMIFS(Colombia!$H:$H,Colombia!$E:$E,R$27,Colombia!$G:$G,"Soybean")</f>
        <v>0</v>
      </c>
      <c r="S33" s="6" t="n">
        <f aca="false">SUMIFS(Colombia!$H:$H,Colombia!$E:$E,S$27,Colombia!$G:$G,"Soybean")</f>
        <v>0</v>
      </c>
      <c r="T33" s="6" t="n">
        <f aca="false">SUMIFS(Colombia!$H:$H,Colombia!$E:$E,T$27,Colombia!$G:$G,"Soybean")</f>
        <v>0</v>
      </c>
      <c r="U33" s="7" t="n">
        <f aca="false">SUM(B33:T33)</f>
        <v>188000</v>
      </c>
    </row>
    <row r="34" customFormat="false" ht="15" hidden="false" customHeight="false" outlineLevel="0" collapsed="false">
      <c r="A34" s="5" t="s">
        <v>31</v>
      </c>
      <c r="B34" s="6" t="n">
        <f aca="false">SUMIFS(Egypt!$H:$H,Egypt!$E:$E,B$27,Egypt!$G:$G,"Soybean")</f>
        <v>0</v>
      </c>
      <c r="C34" s="6" t="n">
        <f aca="false">SUMIFS(Egypt!$H:$H,Egypt!$E:$E,C$27,Egypt!$G:$G,"Soybean")</f>
        <v>0</v>
      </c>
      <c r="D34" s="6" t="n">
        <f aca="false">SUMIFS(Egypt!$H:$H,Egypt!$E:$E,D$27,Egypt!$G:$G,"Soybean")</f>
        <v>0</v>
      </c>
      <c r="E34" s="6" t="n">
        <f aca="false">SUMIFS(Egypt!$H:$H,Egypt!$E:$E,E$27,Egypt!$G:$G,"Soybean")</f>
        <v>114000</v>
      </c>
      <c r="F34" s="6" t="n">
        <f aca="false">SUMIFS(Egypt!$H:$H,Egypt!$E:$E,F$27,Egypt!$G:$G,"Soybean")</f>
        <v>120000</v>
      </c>
      <c r="G34" s="6" t="n">
        <f aca="false">SUMIFS(Egypt!$H:$H,Egypt!$E:$E,G$27,Egypt!$G:$G,"Soybean")</f>
        <v>0</v>
      </c>
      <c r="H34" s="6" t="n">
        <f aca="false">SUMIFS(Egypt!$H:$H,Egypt!$E:$E,H$27,Egypt!$G:$G,"Soybean")</f>
        <v>0</v>
      </c>
      <c r="I34" s="6" t="n">
        <f aca="false">SUMIFS(Egypt!$H:$H,Egypt!$E:$E,I$27,Egypt!$G:$G,"Soybean")</f>
        <v>120000</v>
      </c>
      <c r="J34" s="6" t="n">
        <f aca="false">SUMIFS(Egypt!$H:$H,Egypt!$E:$E,J$27,Egypt!$G:$G,"Soybean")</f>
        <v>55000</v>
      </c>
      <c r="K34" s="6" t="n">
        <f aca="false">SUMIFS(Egypt!$H:$H,Egypt!$E:$E,K$27,Egypt!$G:$G,"Soybean")</f>
        <v>185000</v>
      </c>
      <c r="L34" s="6" t="n">
        <f aca="false">SUMIFS(Egypt!$H:$H,Egypt!$E:$E,L$27,Egypt!$G:$G,"Soybean")</f>
        <v>230000</v>
      </c>
      <c r="M34" s="6" t="n">
        <f aca="false">SUMIFS(Egypt!$H:$H,Egypt!$E:$E,M$27,Egypt!$G:$G,"Soybean")</f>
        <v>230000</v>
      </c>
      <c r="N34" s="6" t="n">
        <f aca="false">SUMIFS(Egypt!$H:$H,Egypt!$E:$E,N$27,Egypt!$G:$G,"Soybean")</f>
        <v>0</v>
      </c>
      <c r="O34" s="6" t="n">
        <f aca="false">SUMIFS(Egypt!$H:$H,Egypt!$E:$E,O$27,Egypt!$G:$G,"Soybean")</f>
        <v>0</v>
      </c>
      <c r="P34" s="6" t="n">
        <f aca="false">SUMIFS(Egypt!$H:$H,Egypt!$E:$E,P$27,Egypt!$G:$G,"Soybean")</f>
        <v>110000</v>
      </c>
      <c r="Q34" s="6" t="n">
        <f aca="false">SUMIFS(Egypt!$H:$H,Egypt!$E:$E,Q$27,Egypt!$G:$G,"Soybean")</f>
        <v>338000</v>
      </c>
      <c r="R34" s="6" t="n">
        <f aca="false">SUMIFS(Egypt!$H:$H,Egypt!$E:$E,R$27,Egypt!$G:$G,"Soybean")</f>
        <v>0</v>
      </c>
      <c r="S34" s="6" t="n">
        <f aca="false">SUMIFS(Egypt!$H:$H,Egypt!$E:$E,S$27,Egypt!$G:$G,"Soybean")</f>
        <v>0</v>
      </c>
      <c r="T34" s="6" t="n">
        <f aca="false">SUMIFS(Egypt!$H:$H,Egypt!$E:$E,T$27,Egypt!$G:$G,"Soybean")</f>
        <v>0</v>
      </c>
      <c r="U34" s="7" t="n">
        <f aca="false">SUM(B34:T34)</f>
        <v>1502000</v>
      </c>
    </row>
    <row r="35" customFormat="false" ht="15" hidden="false" customHeight="false" outlineLevel="0" collapsed="false">
      <c r="A35" s="5" t="s">
        <v>32</v>
      </c>
      <c r="B35" s="6" t="n">
        <f aca="false">SUMIFS(Spain!$H:$H,Spain!$E:$E,B$27,Spain!$G:$G,"Soybean")</f>
        <v>0</v>
      </c>
      <c r="C35" s="6" t="n">
        <f aca="false">SUMIFS(Spain!$H:$H,Spain!$E:$E,C$27,Spain!$G:$G,"Soybean")</f>
        <v>0</v>
      </c>
      <c r="D35" s="6" t="n">
        <f aca="false">SUMIFS(Spain!$H:$H,Spain!$E:$E,D$27,Spain!$G:$G,"Soybean")</f>
        <v>0</v>
      </c>
      <c r="E35" s="6" t="n">
        <f aca="false">SUMIFS(Spain!$H:$H,Spain!$E:$E,E$27,Spain!$G:$G,"Soybean")</f>
        <v>0</v>
      </c>
      <c r="F35" s="6" t="n">
        <f aca="false">SUMIFS(Spain!$H:$H,Spain!$E:$E,F$27,Spain!$G:$G,"Soybean")</f>
        <v>0</v>
      </c>
      <c r="G35" s="6" t="n">
        <f aca="false">SUMIFS(Spain!$H:$H,Spain!$E:$E,G$27,Spain!$G:$G,"Soybean")</f>
        <v>0</v>
      </c>
      <c r="H35" s="6" t="n">
        <f aca="false">SUMIFS(Spain!$H:$H,Spain!$E:$E,H$27,Spain!$G:$G,"Soybean")</f>
        <v>0</v>
      </c>
      <c r="I35" s="6" t="n">
        <f aca="false">SUMIFS(Spain!$H:$H,Spain!$E:$E,I$27,Spain!$G:$G,"Soybean")</f>
        <v>0</v>
      </c>
      <c r="J35" s="6" t="n">
        <f aca="false">SUMIFS(Spain!$H:$H,Spain!$E:$E,J$27,Spain!$G:$G,"Soybean")</f>
        <v>0</v>
      </c>
      <c r="K35" s="6" t="n">
        <f aca="false">SUMIFS(Spain!$H:$H,Spain!$E:$E,K$27,Spain!$G:$G,"Soybean")</f>
        <v>0</v>
      </c>
      <c r="L35" s="6" t="n">
        <f aca="false">SUMIFS(Spain!$H:$H,Spain!$E:$E,L$27,Spain!$G:$G,"Soybean")</f>
        <v>0</v>
      </c>
      <c r="M35" s="6" t="n">
        <f aca="false">SUMIFS(Spain!$H:$H,Spain!$E:$E,M$27,Spain!$G:$G,"Soybean")</f>
        <v>0</v>
      </c>
      <c r="N35" s="6" t="n">
        <f aca="false">SUMIFS(Spain!$H:$H,Spain!$E:$E,N$27,Spain!$G:$G,"Soybean")</f>
        <v>363000</v>
      </c>
      <c r="O35" s="6" t="n">
        <f aca="false">SUMIFS(Spain!$H:$H,Spain!$E:$E,O$27,Spain!$G:$G,"Soybean")</f>
        <v>0</v>
      </c>
      <c r="P35" s="6" t="n">
        <f aca="false">SUMIFS(Spain!$H:$H,Spain!$E:$E,P$27,Spain!$G:$G,"Soybean")</f>
        <v>187000</v>
      </c>
      <c r="Q35" s="6" t="n">
        <f aca="false">SUMIFS(Spain!$H:$H,Spain!$E:$E,Q$27,Spain!$G:$G,"Soybean")</f>
        <v>0</v>
      </c>
      <c r="R35" s="6" t="n">
        <f aca="false">SUMIFS(Spain!$H:$H,Spain!$E:$E,R$27,Spain!$G:$G,"Soybean")</f>
        <v>0</v>
      </c>
      <c r="S35" s="6" t="n">
        <f aca="false">SUMIFS(Spain!$H:$H,Spain!$E:$E,S$27,Spain!$G:$G,"Soybean")</f>
        <v>0</v>
      </c>
      <c r="T35" s="6" t="n">
        <f aca="false">SUMIFS(Spain!$H:$H,Spain!$E:$E,T$27,Spain!$G:$G,"Soybean")</f>
        <v>0</v>
      </c>
      <c r="U35" s="7" t="n">
        <f aca="false">SUM(B35:T35)</f>
        <v>550000</v>
      </c>
    </row>
    <row r="36" customFormat="false" ht="15" hidden="false" customHeight="false" outlineLevel="0" collapsed="false">
      <c r="A36" s="5" t="s">
        <v>33</v>
      </c>
      <c r="B36" s="6" t="n">
        <f aca="false">SUMIFS(Taiwan!$H:$H,Taiwan!$E:$E,B$27,Taiwan!$G:$G,"Soybean")</f>
        <v>0</v>
      </c>
      <c r="C36" s="6" t="n">
        <f aca="false">SUMIFS(Taiwan!$H:$H,Taiwan!$E:$E,C$27,Taiwan!$G:$G,"Soybean")</f>
        <v>0</v>
      </c>
      <c r="D36" s="6" t="n">
        <f aca="false">SUMIFS(Taiwan!$H:$H,Taiwan!$E:$E,D$27,Taiwan!$G:$G,"Soybean")</f>
        <v>0</v>
      </c>
      <c r="E36" s="6" t="n">
        <f aca="false">SUMIFS(Taiwan!$H:$H,Taiwan!$E:$E,E$27,Taiwan!$G:$G,"Soybean")</f>
        <v>120000</v>
      </c>
      <c r="F36" s="6" t="n">
        <f aca="false">SUMIFS(Taiwan!$H:$H,Taiwan!$E:$E,F$27,Taiwan!$G:$G,"Soybean")</f>
        <v>0</v>
      </c>
      <c r="G36" s="6" t="n">
        <f aca="false">SUMIFS(Taiwan!$H:$H,Taiwan!$E:$E,G$27,Taiwan!$G:$G,"Soybean")</f>
        <v>0</v>
      </c>
      <c r="H36" s="6" t="n">
        <f aca="false">SUMIFS(Taiwan!$H:$H,Taiwan!$E:$E,H$27,Taiwan!$G:$G,"Soybean")</f>
        <v>118000</v>
      </c>
      <c r="I36" s="6" t="n">
        <f aca="false">SUMIFS(Taiwan!$H:$H,Taiwan!$E:$E,I$27,Taiwan!$G:$G,"Soybean")</f>
        <v>0</v>
      </c>
      <c r="J36" s="6" t="n">
        <f aca="false">SUMIFS(Taiwan!$H:$H,Taiwan!$E:$E,J$27,Taiwan!$G:$G,"Soybean")</f>
        <v>0</v>
      </c>
      <c r="K36" s="6" t="n">
        <f aca="false">SUMIFS(Taiwan!$H:$H,Taiwan!$E:$E,K$27,Taiwan!$G:$G,"Soybean")</f>
        <v>0</v>
      </c>
      <c r="L36" s="6" t="n">
        <f aca="false">SUMIFS(Taiwan!$H:$H,Taiwan!$E:$E,L$27,Taiwan!$G:$G,"Soybean")</f>
        <v>0</v>
      </c>
      <c r="M36" s="6" t="n">
        <f aca="false">SUMIFS(Taiwan!$H:$H,Taiwan!$E:$E,M$27,Taiwan!$G:$G,"Soybean")</f>
        <v>0</v>
      </c>
      <c r="N36" s="6" t="n">
        <f aca="false">SUMIFS(Taiwan!$H:$H,Taiwan!$E:$E,N$27,Taiwan!$G:$G,"Soybean")</f>
        <v>104000</v>
      </c>
      <c r="O36" s="6" t="n">
        <f aca="false">SUMIFS(Taiwan!$H:$H,Taiwan!$E:$E,O$27,Taiwan!$G:$G,"Soybean")</f>
        <v>0</v>
      </c>
      <c r="P36" s="6" t="n">
        <f aca="false">SUMIFS(Taiwan!$H:$H,Taiwan!$E:$E,P$27,Taiwan!$G:$G,"Soybean")</f>
        <v>0</v>
      </c>
      <c r="Q36" s="6" t="n">
        <f aca="false">SUMIFS(Taiwan!$H:$H,Taiwan!$E:$E,Q$27,Taiwan!$G:$G,"Soybean")</f>
        <v>0</v>
      </c>
      <c r="R36" s="6" t="n">
        <f aca="false">SUMIFS(Taiwan!$H:$H,Taiwan!$E:$E,R$27,Taiwan!$G:$G,"Soybean")</f>
        <v>0</v>
      </c>
      <c r="S36" s="6" t="n">
        <f aca="false">SUMIFS(Taiwan!$H:$H,Taiwan!$E:$E,S$27,Taiwan!$G:$G,"Soybean")</f>
        <v>0</v>
      </c>
      <c r="T36" s="6" t="n">
        <f aca="false">SUMIFS(Taiwan!$H:$H,Taiwan!$E:$E,T$27,Taiwan!$G:$G,"Soybean")</f>
        <v>0</v>
      </c>
      <c r="U36" s="7" t="n">
        <f aca="false">SUM(B36:T36)</f>
        <v>342000</v>
      </c>
    </row>
    <row r="37" customFormat="false" ht="15" hidden="false" customHeight="false" outlineLevel="0" collapsed="false">
      <c r="A37" s="5" t="s">
        <v>34</v>
      </c>
      <c r="B37" s="6" t="n">
        <f aca="false">SUMIFS('Costa Rica'!$H:$H,'Costa Rica'!$E:$E,B$27,'Costa Rica'!$G:$G,"Soybean")</f>
        <v>0</v>
      </c>
      <c r="C37" s="6" t="n">
        <f aca="false">SUMIFS('Costa Rica'!$H:$H,'Costa Rica'!$E:$E,C$27,'Costa Rica'!$G:$G,"Soybean")</f>
        <v>0</v>
      </c>
      <c r="D37" s="6" t="n">
        <f aca="false">SUMIFS('Costa Rica'!$H:$H,'Costa Rica'!$E:$E,D$27,'Costa Rica'!$G:$G,"Soybean")</f>
        <v>0</v>
      </c>
      <c r="E37" s="6" t="n">
        <f aca="false">SUMIFS('Costa Rica'!$H:$H,'Costa Rica'!$E:$E,E$27,'Costa Rica'!$G:$G,"Soybean")</f>
        <v>0</v>
      </c>
      <c r="F37" s="6" t="n">
        <f aca="false">SUMIFS('Costa Rica'!$H:$H,'Costa Rica'!$E:$E,F$27,'Costa Rica'!$G:$G,"Soybean")</f>
        <v>0</v>
      </c>
      <c r="G37" s="6" t="n">
        <f aca="false">SUMIFS('Costa Rica'!$H:$H,'Costa Rica'!$E:$E,G$27,'Costa Rica'!$G:$G,"Soybean")</f>
        <v>0</v>
      </c>
      <c r="H37" s="6" t="n">
        <f aca="false">SUMIFS('Costa Rica'!$H:$H,'Costa Rica'!$E:$E,H$27,'Costa Rica'!$G:$G,"Soybean")</f>
        <v>0</v>
      </c>
      <c r="I37" s="6" t="n">
        <f aca="false">SUMIFS('Costa Rica'!$H:$H,'Costa Rica'!$E:$E,I$27,'Costa Rica'!$G:$G,"Soybean")</f>
        <v>0</v>
      </c>
      <c r="J37" s="6" t="n">
        <f aca="false">SUMIFS('Costa Rica'!$H:$H,'Costa Rica'!$E:$E,J$27,'Costa Rica'!$G:$G,"Soybean")</f>
        <v>0</v>
      </c>
      <c r="K37" s="6" t="n">
        <f aca="false">SUMIFS('Costa Rica'!$H:$H,'Costa Rica'!$E:$E,K$27,'Costa Rica'!$G:$G,"Soybean")</f>
        <v>0</v>
      </c>
      <c r="L37" s="6" t="n">
        <f aca="false">SUMIFS('Costa Rica'!$H:$H,'Costa Rica'!$E:$E,L$27,'Costa Rica'!$G:$G,"Soybean")</f>
        <v>0</v>
      </c>
      <c r="M37" s="6" t="n">
        <f aca="false">SUMIFS('Costa Rica'!$H:$H,'Costa Rica'!$E:$E,M$27,'Costa Rica'!$G:$G,"Soybean")</f>
        <v>0</v>
      </c>
      <c r="N37" s="6" t="n">
        <f aca="false">SUMIFS('Costa Rica'!$H:$H,'Costa Rica'!$E:$E,N$27,'Costa Rica'!$G:$G,"Soybean")</f>
        <v>0</v>
      </c>
      <c r="O37" s="6" t="n">
        <f aca="false">SUMIFS('Costa Rica'!$H:$H,'Costa Rica'!$E:$E,O$27,'Costa Rica'!$G:$G,"Soybean")</f>
        <v>0</v>
      </c>
      <c r="P37" s="6" t="n">
        <f aca="false">SUMIFS('Costa Rica'!$H:$H,'Costa Rica'!$E:$E,P$27,'Costa Rica'!$G:$G,"Soybean")</f>
        <v>0</v>
      </c>
      <c r="Q37" s="6" t="n">
        <f aca="false">SUMIFS('Costa Rica'!$H:$H,'Costa Rica'!$E:$E,Q$27,'Costa Rica'!$G:$G,"Soybean")</f>
        <v>0</v>
      </c>
      <c r="R37" s="6" t="n">
        <f aca="false">SUMIFS('Costa Rica'!$H:$H,'Costa Rica'!$E:$E,R$27,'Costa Rica'!$G:$G,"Soybean")</f>
        <v>0</v>
      </c>
      <c r="S37" s="6" t="n">
        <f aca="false">SUMIFS('Costa Rica'!$H:$H,'Costa Rica'!$E:$E,S$27,'Costa Rica'!$G:$G,"Soybean")</f>
        <v>0</v>
      </c>
      <c r="T37" s="6" t="n">
        <f aca="false">SUMIFS('Costa Rica'!$H:$H,'Costa Rica'!$E:$E,T$27,'Costa Rica'!$G:$G,"Soybean")</f>
        <v>0</v>
      </c>
      <c r="U37" s="7" t="n">
        <f aca="false">SUM(B37:T37)</f>
        <v>0</v>
      </c>
    </row>
    <row r="38" customFormat="false" ht="15" hidden="false" customHeight="false" outlineLevel="0" collapsed="false">
      <c r="A38" s="5" t="s">
        <v>35</v>
      </c>
      <c r="B38" s="6" t="n">
        <f aca="false">SUMIFS(Guatemala!$H:$H,Guatemala!$E:$E,B$27,Guatemala!$G:$G,"Soybean")</f>
        <v>0</v>
      </c>
      <c r="C38" s="6" t="n">
        <f aca="false">SUMIFS(Guatemala!$H:$H,Guatemala!$E:$E,C$27,Guatemala!$G:$G,"Soybean")</f>
        <v>0</v>
      </c>
      <c r="D38" s="6" t="n">
        <f aca="false">SUMIFS(Guatemala!$H:$H,Guatemala!$E:$E,D$27,Guatemala!$G:$G,"Soybean")</f>
        <v>0</v>
      </c>
      <c r="E38" s="6" t="n">
        <f aca="false">SUMIFS(Guatemala!$H:$H,Guatemala!$E:$E,E$27,Guatemala!$G:$G,"Soybean")</f>
        <v>0</v>
      </c>
      <c r="F38" s="6" t="n">
        <f aca="false">SUMIFS(Guatemala!$H:$H,Guatemala!$E:$E,F$27,Guatemala!$G:$G,"Soybean")</f>
        <v>0</v>
      </c>
      <c r="G38" s="6" t="n">
        <f aca="false">SUMIFS(Guatemala!$H:$H,Guatemala!$E:$E,G$27,Guatemala!$G:$G,"Soybean")</f>
        <v>0</v>
      </c>
      <c r="H38" s="6" t="n">
        <f aca="false">SUMIFS(Guatemala!$H:$H,Guatemala!$E:$E,H$27,Guatemala!$G:$G,"Soybean")</f>
        <v>0</v>
      </c>
      <c r="I38" s="6" t="n">
        <f aca="false">SUMIFS(Guatemala!$H:$H,Guatemala!$E:$E,I$27,Guatemala!$G:$G,"Soybean")</f>
        <v>0</v>
      </c>
      <c r="J38" s="6" t="n">
        <f aca="false">SUMIFS(Guatemala!$H:$H,Guatemala!$E:$E,J$27,Guatemala!$G:$G,"Soybean")</f>
        <v>0</v>
      </c>
      <c r="K38" s="6" t="n">
        <f aca="false">SUMIFS(Guatemala!$H:$H,Guatemala!$E:$E,K$27,Guatemala!$G:$G,"Soybean")</f>
        <v>0</v>
      </c>
      <c r="L38" s="6" t="n">
        <f aca="false">SUMIFS(Guatemala!$H:$H,Guatemala!$E:$E,L$27,Guatemala!$G:$G,"Soybean")</f>
        <v>0</v>
      </c>
      <c r="M38" s="6" t="n">
        <f aca="false">SUMIFS(Guatemala!$H:$H,Guatemala!$E:$E,M$27,Guatemala!$G:$G,"Soybean")</f>
        <v>0</v>
      </c>
      <c r="N38" s="6" t="n">
        <f aca="false">SUMIFS(Guatemala!$H:$H,Guatemala!$E:$E,N$27,Guatemala!$G:$G,"Soybean")</f>
        <v>0</v>
      </c>
      <c r="O38" s="6" t="n">
        <f aca="false">SUMIFS(Guatemala!$H:$H,Guatemala!$E:$E,O$27,Guatemala!$G:$G,"Soybean")</f>
        <v>0</v>
      </c>
      <c r="P38" s="6" t="n">
        <f aca="false">SUMIFS(Guatemala!$H:$H,Guatemala!$E:$E,P$27,Guatemala!$G:$G,"Soybean")</f>
        <v>0</v>
      </c>
      <c r="Q38" s="6" t="n">
        <f aca="false">SUMIFS(Guatemala!$H:$H,Guatemala!$E:$E,Q$27,Guatemala!$G:$G,"Soybean")</f>
        <v>0</v>
      </c>
      <c r="R38" s="6" t="n">
        <f aca="false">SUMIFS(Guatemala!$H:$H,Guatemala!$E:$E,R$27,Guatemala!$G:$G,"Soybean")</f>
        <v>0</v>
      </c>
      <c r="S38" s="6" t="n">
        <f aca="false">SUMIFS(Guatemala!$H:$H,Guatemala!$E:$E,S$27,Guatemala!$G:$G,"Soybean")</f>
        <v>0</v>
      </c>
      <c r="T38" s="6" t="n">
        <f aca="false">SUMIFS(Guatemala!$H:$H,Guatemala!$E:$E,T$27,Guatemala!$G:$G,"Soybean")</f>
        <v>0</v>
      </c>
      <c r="U38" s="7" t="n">
        <f aca="false">SUM(B38:T38)</f>
        <v>0</v>
      </c>
    </row>
    <row r="39" customFormat="false" ht="15" hidden="false" customHeight="false" outlineLevel="0" collapsed="false">
      <c r="A39" s="5" t="s">
        <v>36</v>
      </c>
      <c r="B39" s="6" t="n">
        <f aca="false">SUMIFS('Saudi Arabia'!$H:$H,'Saudi Arabia'!$E:$E,B$27,'Saudi Arabia'!$G:$G,"Soybean")</f>
        <v>0</v>
      </c>
      <c r="C39" s="6" t="n">
        <f aca="false">SUMIFS('Saudi Arabia'!$H:$H,'Saudi Arabia'!$E:$E,C$27,'Saudi Arabia'!$G:$G,"Soybean")</f>
        <v>0</v>
      </c>
      <c r="D39" s="6" t="n">
        <f aca="false">SUMIFS('Saudi Arabia'!$H:$H,'Saudi Arabia'!$E:$E,D$27,'Saudi Arabia'!$G:$G,"Soybean")</f>
        <v>0</v>
      </c>
      <c r="E39" s="6" t="n">
        <f aca="false">SUMIFS('Saudi Arabia'!$H:$H,'Saudi Arabia'!$E:$E,E$27,'Saudi Arabia'!$G:$G,"Soybean")</f>
        <v>0</v>
      </c>
      <c r="F39" s="6" t="n">
        <f aca="false">SUMIFS('Saudi Arabia'!$H:$H,'Saudi Arabia'!$E:$E,F$27,'Saudi Arabia'!$G:$G,"Soybean")</f>
        <v>0</v>
      </c>
      <c r="G39" s="6" t="n">
        <f aca="false">SUMIFS('Saudi Arabia'!$H:$H,'Saudi Arabia'!$E:$E,G$27,'Saudi Arabia'!$G:$G,"Soybean")</f>
        <v>0</v>
      </c>
      <c r="H39" s="6" t="n">
        <f aca="false">SUMIFS('Saudi Arabia'!$H:$H,'Saudi Arabia'!$E:$E,H$27,'Saudi Arabia'!$G:$G,"Soybean")</f>
        <v>0</v>
      </c>
      <c r="I39" s="6" t="n">
        <f aca="false">SUMIFS('Saudi Arabia'!$H:$H,'Saudi Arabia'!$E:$E,I$27,'Saudi Arabia'!$G:$G,"Soybean")</f>
        <v>0</v>
      </c>
      <c r="J39" s="6" t="n">
        <f aca="false">SUMIFS('Saudi Arabia'!$H:$H,'Saudi Arabia'!$E:$E,J$27,'Saudi Arabia'!$G:$G,"Soybean")</f>
        <v>0</v>
      </c>
      <c r="K39" s="6" t="n">
        <f aca="false">SUMIFS('Saudi Arabia'!$H:$H,'Saudi Arabia'!$E:$E,K$27,'Saudi Arabia'!$G:$G,"Soybean")</f>
        <v>66000</v>
      </c>
      <c r="L39" s="6" t="n">
        <f aca="false">SUMIFS('Saudi Arabia'!$H:$H,'Saudi Arabia'!$E:$E,L$27,'Saudi Arabia'!$G:$G,"Soybean")</f>
        <v>0</v>
      </c>
      <c r="M39" s="6" t="n">
        <f aca="false">SUMIFS('Saudi Arabia'!$H:$H,'Saudi Arabia'!$E:$E,M$27,'Saudi Arabia'!$G:$G,"Soybean")</f>
        <v>0</v>
      </c>
      <c r="N39" s="6" t="n">
        <f aca="false">SUMIFS('Saudi Arabia'!$H:$H,'Saudi Arabia'!$E:$E,N$27,'Saudi Arabia'!$G:$G,"Soybean")</f>
        <v>0</v>
      </c>
      <c r="O39" s="6" t="n">
        <f aca="false">SUMIFS('Saudi Arabia'!$H:$H,'Saudi Arabia'!$E:$E,O$27,'Saudi Arabia'!$G:$G,"Soybean")</f>
        <v>0</v>
      </c>
      <c r="P39" s="6" t="n">
        <f aca="false">SUMIFS('Saudi Arabia'!$H:$H,'Saudi Arabia'!$E:$E,P$27,'Saudi Arabia'!$G:$G,"Soybean")</f>
        <v>0</v>
      </c>
      <c r="Q39" s="6" t="n">
        <f aca="false">SUMIFS('Saudi Arabia'!$H:$H,'Saudi Arabia'!$E:$E,Q$27,'Saudi Arabia'!$G:$G,"Soybean")</f>
        <v>0</v>
      </c>
      <c r="R39" s="6" t="n">
        <f aca="false">SUMIFS('Saudi Arabia'!$H:$H,'Saudi Arabia'!$E:$E,R$27,'Saudi Arabia'!$G:$G,"Soybean")</f>
        <v>0</v>
      </c>
      <c r="S39" s="6" t="n">
        <f aca="false">SUMIFS('Saudi Arabia'!$H:$H,'Saudi Arabia'!$E:$E,S$27,'Saudi Arabia'!$G:$G,"Soybean")</f>
        <v>0</v>
      </c>
      <c r="T39" s="6" t="n">
        <f aca="false">SUMIFS('Saudi Arabia'!$H:$H,'Saudi Arabia'!$E:$E,T$27,'Saudi Arabia'!$G:$G,"Soybean")</f>
        <v>0</v>
      </c>
      <c r="U39" s="7" t="n">
        <f aca="false">SUM(B39:T39)</f>
        <v>66000</v>
      </c>
    </row>
    <row r="40" customFormat="false" ht="15" hidden="false" customHeight="false" outlineLevel="0" collapsed="false">
      <c r="A40" s="5" t="s">
        <v>37</v>
      </c>
      <c r="B40" s="6" t="n">
        <f aca="false">SUMIFS(Argentina!$H:$H,Argentina!$E:$E,B$27,Argentina!$G:$G,"Soybean")</f>
        <v>0</v>
      </c>
      <c r="C40" s="6" t="n">
        <f aca="false">SUMIFS(Argentina!$H:$H,Argentina!$E:$E,C$27,Argentina!$G:$G,"Soybean")</f>
        <v>0</v>
      </c>
      <c r="D40" s="6" t="n">
        <f aca="false">SUMIFS(Argentina!$H:$H,Argentina!$E:$E,D$27,Argentina!$G:$G,"Soybean")</f>
        <v>0</v>
      </c>
      <c r="E40" s="6" t="n">
        <f aca="false">SUMIFS(Argentina!$H:$H,Argentina!$E:$E,E$27,Argentina!$G:$G,"Soybean")</f>
        <v>0</v>
      </c>
      <c r="F40" s="6" t="n">
        <f aca="false">SUMIFS(Argentina!$H:$H,Argentina!$E:$E,F$27,Argentina!$G:$G,"Soybean")</f>
        <v>0</v>
      </c>
      <c r="G40" s="6" t="n">
        <f aca="false">SUMIFS(Argentina!$H:$H,Argentina!$E:$E,G$27,Argentina!$G:$G,"Soybean")</f>
        <v>0</v>
      </c>
      <c r="H40" s="6" t="n">
        <f aca="false">SUMIFS(Argentina!$H:$H,Argentina!$E:$E,H$27,Argentina!$G:$G,"Soybean")</f>
        <v>0</v>
      </c>
      <c r="I40" s="6" t="n">
        <f aca="false">SUMIFS(Argentina!$H:$H,Argentina!$E:$E,I$27,Argentina!$G:$G,"Soybean")</f>
        <v>60000</v>
      </c>
      <c r="J40" s="6" t="n">
        <f aca="false">SUMIFS(Argentina!$H:$H,Argentina!$E:$E,J$27,Argentina!$G:$G,"Soybean")</f>
        <v>430000</v>
      </c>
      <c r="K40" s="6" t="n">
        <f aca="false">SUMIFS(Argentina!$H:$H,Argentina!$E:$E,K$27,Argentina!$G:$G,"Soybean")</f>
        <v>0</v>
      </c>
      <c r="L40" s="6" t="n">
        <f aca="false">SUMIFS(Argentina!$H:$H,Argentina!$E:$E,L$27,Argentina!$G:$G,"Soybean")</f>
        <v>0</v>
      </c>
      <c r="M40" s="6" t="n">
        <f aca="false">SUMIFS(Argentina!$H:$H,Argentina!$E:$E,M$27,Argentina!$G:$G,"Soybean")</f>
        <v>0</v>
      </c>
      <c r="N40" s="6" t="n">
        <f aca="false">SUMIFS(Argentina!$H:$H,Argentina!$E:$E,N$27,Argentina!$G:$G,"Soybean")</f>
        <v>0</v>
      </c>
      <c r="O40" s="6" t="n">
        <f aca="false">SUMIFS(Argentina!$H:$H,Argentina!$E:$E,O$27,Argentina!$G:$G,"Soybean")</f>
        <v>0</v>
      </c>
      <c r="P40" s="6" t="n">
        <f aca="false">SUMIFS(Argentina!$H:$H,Argentina!$E:$E,P$27,Argentina!$G:$G,"Soybean")</f>
        <v>0</v>
      </c>
      <c r="Q40" s="6" t="n">
        <f aca="false">SUMIFS(Argentina!$H:$H,Argentina!$E:$E,Q$27,Argentina!$G:$G,"Soybean")</f>
        <v>0</v>
      </c>
      <c r="R40" s="6" t="n">
        <f aca="false">SUMIFS(Argentina!$H:$H,Argentina!$E:$E,R$27,Argentina!$G:$G,"Soybean")</f>
        <v>0</v>
      </c>
      <c r="S40" s="6" t="n">
        <f aca="false">SUMIFS(Argentina!$H:$H,Argentina!$E:$E,S$27,Argentina!$G:$G,"Soybean")</f>
        <v>0</v>
      </c>
      <c r="T40" s="6" t="n">
        <f aca="false">SUMIFS(Argentina!$H:$H,Argentina!$E:$E,T$27,Argentina!$G:$G,"Soybean")</f>
        <v>0</v>
      </c>
      <c r="U40" s="7" t="n">
        <f aca="false">SUM(B40:T40)</f>
        <v>490000</v>
      </c>
    </row>
    <row r="41" customFormat="false" ht="15" hidden="false" customHeight="false" outlineLevel="0" collapsed="false">
      <c r="A41" s="5" t="s">
        <v>38</v>
      </c>
      <c r="B41" s="6" t="n">
        <f aca="false">SUMIFS(Pakistan!$H:$H,Pakistan!$E:$E,B$27,Pakistan!$G:$G,"Soybean")</f>
        <v>0</v>
      </c>
      <c r="C41" s="6" t="n">
        <f aca="false">SUMIFS(Pakistan!$H:$H,Pakistan!$E:$E,C$27,Pakistan!$G:$G,"Soybean")</f>
        <v>0</v>
      </c>
      <c r="D41" s="6" t="n">
        <f aca="false">SUMIFS(Pakistan!$H:$H,Pakistan!$E:$E,D$27,Pakistan!$G:$G,"Soybean")</f>
        <v>0</v>
      </c>
      <c r="E41" s="6" t="n">
        <f aca="false">SUMIFS(Pakistan!$H:$H,Pakistan!$E:$E,E$27,Pakistan!$G:$G,"Soybean")</f>
        <v>0</v>
      </c>
      <c r="F41" s="6" t="n">
        <f aca="false">SUMIFS(Pakistan!$H:$H,Pakistan!$E:$E,F$27,Pakistan!$G:$G,"Soybean")</f>
        <v>0</v>
      </c>
      <c r="G41" s="6" t="n">
        <f aca="false">SUMIFS(Pakistan!$H:$H,Pakistan!$E:$E,G$27,Pakistan!$G:$G,"Soybean")</f>
        <v>0</v>
      </c>
      <c r="H41" s="6" t="n">
        <f aca="false">SUMIFS(Pakistan!$H:$H,Pakistan!$E:$E,H$27,Pakistan!$G:$G,"Soybean")</f>
        <v>0</v>
      </c>
      <c r="I41" s="6" t="n">
        <f aca="false">SUMIFS(Pakistan!$H:$H,Pakistan!$E:$E,I$27,Pakistan!$G:$G,"Soybean")</f>
        <v>0</v>
      </c>
      <c r="J41" s="6" t="n">
        <f aca="false">SUMIFS(Pakistan!$H:$H,Pakistan!$E:$E,J$27,Pakistan!$G:$G,"Soybean")</f>
        <v>199500</v>
      </c>
      <c r="K41" s="6" t="n">
        <f aca="false">SUMIFS(Pakistan!$H:$H,Pakistan!$E:$E,K$27,Pakistan!$G:$G,"Soybean")</f>
        <v>0</v>
      </c>
      <c r="L41" s="6" t="n">
        <f aca="false">SUMIFS(Pakistan!$H:$H,Pakistan!$E:$E,L$27,Pakistan!$G:$G,"Soybean")</f>
        <v>132000</v>
      </c>
      <c r="M41" s="6" t="n">
        <f aca="false">SUMIFS(Pakistan!$H:$H,Pakistan!$E:$E,M$27,Pakistan!$G:$G,"Soybean")</f>
        <v>55000</v>
      </c>
      <c r="N41" s="6" t="n">
        <f aca="false">SUMIFS(Pakistan!$H:$H,Pakistan!$E:$E,N$27,Pakistan!$G:$G,"Soybean")</f>
        <v>297000</v>
      </c>
      <c r="O41" s="6" t="n">
        <f aca="false">SUMIFS(Pakistan!$H:$H,Pakistan!$E:$E,O$27,Pakistan!$G:$G,"Soybean")</f>
        <v>0</v>
      </c>
      <c r="P41" s="6" t="n">
        <f aca="false">SUMIFS(Pakistan!$H:$H,Pakistan!$E:$E,P$27,Pakistan!$G:$G,"Soybean")</f>
        <v>0</v>
      </c>
      <c r="Q41" s="6" t="n">
        <f aca="false">SUMIFS(Pakistan!$H:$H,Pakistan!$E:$E,Q$27,Pakistan!$G:$G,"Soybean")</f>
        <v>345000</v>
      </c>
      <c r="R41" s="6" t="n">
        <f aca="false">SUMIFS(Pakistan!$H:$H,Pakistan!$E:$E,R$27,Pakistan!$G:$G,"Soybean")</f>
        <v>0</v>
      </c>
      <c r="S41" s="6" t="n">
        <f aca="false">SUMIFS(Pakistan!$H:$H,Pakistan!$E:$E,S$27,Pakistan!$G:$G,"Soybean")</f>
        <v>0</v>
      </c>
      <c r="T41" s="6" t="n">
        <f aca="false">SUMIFS(Pakistan!$H:$H,Pakistan!$E:$E,T$27,Pakistan!$G:$G,"Soybean")</f>
        <v>0</v>
      </c>
      <c r="U41" s="7" t="n">
        <f aca="false">SUM(B41:T41)</f>
        <v>1028500</v>
      </c>
    </row>
    <row r="42" customFormat="false" ht="15" hidden="false" customHeight="false" outlineLevel="0" collapsed="false">
      <c r="A42" s="5" t="s">
        <v>39</v>
      </c>
      <c r="B42" s="6" t="n">
        <f aca="false">SUMIFS(Other!$H:$H,Other!$E:$E,B$27,Other!$G:$G,"Soybean")</f>
        <v>0</v>
      </c>
      <c r="C42" s="6" t="n">
        <f aca="false">SUMIFS(Other!$H:$H,Other!$E:$E,C$27,Other!$G:$G,"Soybean")</f>
        <v>0</v>
      </c>
      <c r="D42" s="6" t="n">
        <f aca="false">SUMIFS(Other!$H:$H,Other!$E:$E,D$27,Other!$G:$G,"Soybean")</f>
        <v>0</v>
      </c>
      <c r="E42" s="6" t="n">
        <f aca="false">SUMIFS(Other!$H:$H,Other!$E:$E,E$27,Other!$G:$G,"Soybean")</f>
        <v>120000</v>
      </c>
      <c r="F42" s="6" t="n">
        <f aca="false">SUMIFS(Other!$H:$H,Other!$E:$E,F$27,Other!$G:$G,"Soybean")</f>
        <v>0</v>
      </c>
      <c r="G42" s="6" t="n">
        <f aca="false">SUMIFS(Other!$H:$H,Other!$E:$E,G$27,Other!$G:$G,"Soybean")</f>
        <v>217000</v>
      </c>
      <c r="H42" s="6" t="n">
        <f aca="false">SUMIFS(Other!$H:$H,Other!$E:$E,H$27,Other!$G:$G,"Soybean")</f>
        <v>110000</v>
      </c>
      <c r="I42" s="6" t="n">
        <f aca="false">SUMIFS(Other!$H:$H,Other!$E:$E,I$27,Other!$G:$G,"Soybean")</f>
        <v>0</v>
      </c>
      <c r="J42" s="6" t="n">
        <f aca="false">SUMIFS(Other!$H:$H,Other!$E:$E,J$27,Other!$G:$G,"Soybean")</f>
        <v>0</v>
      </c>
      <c r="K42" s="6" t="n">
        <f aca="false">SUMIFS(Other!$H:$H,Other!$E:$E,K$27,Other!$G:$G,"Soybean")</f>
        <v>154500</v>
      </c>
      <c r="L42" s="6" t="n">
        <f aca="false">SUMIFS(Other!$H:$H,Other!$E:$E,L$27,Other!$G:$G,"Soybean")</f>
        <v>55000</v>
      </c>
      <c r="M42" s="6" t="n">
        <f aca="false">SUMIFS(Other!$H:$H,Other!$E:$E,M$27,Other!$G:$G,"Soybean")</f>
        <v>55000</v>
      </c>
      <c r="N42" s="6" t="n">
        <f aca="false">SUMIFS(Other!$H:$H,Other!$E:$E,N$27,Other!$G:$G,"Soybean")</f>
        <v>0</v>
      </c>
      <c r="O42" s="6" t="n">
        <f aca="false">SUMIFS(Other!$H:$H,Other!$E:$E,O$27,Other!$G:$G,"Soybean")</f>
        <v>0</v>
      </c>
      <c r="P42" s="6" t="n">
        <f aca="false">SUMIFS(Other!$H:$H,Other!$E:$E,P$27,Other!$G:$G,"Soybean")</f>
        <v>0</v>
      </c>
      <c r="Q42" s="6" t="n">
        <f aca="false">SUMIFS(Other!$H:$H,Other!$E:$E,Q$27,Other!$G:$G,"Soybean")</f>
        <v>0</v>
      </c>
      <c r="R42" s="6" t="n">
        <f aca="false">SUMIFS(Other!$H:$H,Other!$E:$E,R$27,Other!$G:$G,"Soybean")</f>
        <v>0</v>
      </c>
      <c r="S42" s="6" t="n">
        <f aca="false">SUMIFS(Other!$H:$H,Other!$E:$E,S$27,Other!$G:$G,"Soybean")</f>
        <v>0</v>
      </c>
      <c r="T42" s="6" t="n">
        <f aca="false">SUMIFS(Other!$H:$H,Other!$E:$E,T$27,Other!$G:$G,"Soybean")</f>
        <v>0</v>
      </c>
      <c r="U42" s="7" t="n">
        <f aca="false">SUM(B42:T42)</f>
        <v>711500</v>
      </c>
    </row>
    <row r="43" customFormat="false" ht="15" hidden="false" customHeight="false" outlineLevel="0" collapsed="false">
      <c r="A43" s="8" t="s">
        <v>24</v>
      </c>
      <c r="B43" s="9" t="n">
        <f aca="false">SUM(B28:B42)</f>
        <v>132000</v>
      </c>
      <c r="C43" s="9" t="n">
        <f aca="false">SUM(C28:C42)</f>
        <v>773000</v>
      </c>
      <c r="D43" s="9" t="n">
        <f aca="false">SUM(D28:D42)</f>
        <v>2825450</v>
      </c>
      <c r="E43" s="9" t="n">
        <f aca="false">SUM(E28:E42)</f>
        <v>8742650</v>
      </c>
      <c r="F43" s="9" t="n">
        <f aca="false">SUM(F28:F42)</f>
        <v>1032000</v>
      </c>
      <c r="G43" s="9" t="n">
        <f aca="false">SUM(G28:G42)</f>
        <v>4240000</v>
      </c>
      <c r="H43" s="9" t="n">
        <f aca="false">SUM(H28:H42)</f>
        <v>22052861</v>
      </c>
      <c r="I43" s="9" t="n">
        <f aca="false">SUM(I28:I42)</f>
        <v>19307146</v>
      </c>
      <c r="J43" s="9" t="n">
        <f aca="false">SUM(J28:J42)</f>
        <v>23179752</v>
      </c>
      <c r="K43" s="9" t="n">
        <f aca="false">SUM(K28:K42)</f>
        <v>12600663</v>
      </c>
      <c r="L43" s="9" t="n">
        <f aca="false">SUM(L28:L42)</f>
        <v>24176563</v>
      </c>
      <c r="M43" s="9" t="n">
        <f aca="false">SUM(M28:M42)</f>
        <v>19372496</v>
      </c>
      <c r="N43" s="9" t="n">
        <f aca="false">SUM(N28:N42)</f>
        <v>17357759</v>
      </c>
      <c r="O43" s="9" t="n">
        <f aca="false">SUM(O28:O42)</f>
        <v>15898594</v>
      </c>
      <c r="P43" s="9" t="n">
        <f aca="false">SUM(P28:P42)</f>
        <v>14755856</v>
      </c>
      <c r="Q43" s="9" t="n">
        <f aca="false">SUM(Q28:Q42)</f>
        <v>11250976</v>
      </c>
      <c r="R43" s="9" t="n">
        <f aca="false">SUM(R28:R42)</f>
        <v>10603884</v>
      </c>
      <c r="S43" s="9" t="n">
        <f aca="false">SUM(S28:S42)</f>
        <v>0</v>
      </c>
      <c r="T43" s="9" t="n">
        <f aca="false">SUM(T28:T42)</f>
        <v>0</v>
      </c>
      <c r="U43" s="9" t="n">
        <f aca="false">SUM(U28:U42)</f>
        <v>208301650</v>
      </c>
    </row>
    <row r="46" customFormat="false" ht="16.15" hidden="false" customHeight="false" outlineLevel="0" collapsed="false">
      <c r="A46" s="1" t="s">
        <v>41</v>
      </c>
    </row>
    <row r="47" customFormat="false" ht="15" hidden="false" customHeight="false" outlineLevel="0" collapsed="false">
      <c r="A47" s="4" t="s">
        <v>4</v>
      </c>
      <c r="B47" s="4" t="s">
        <v>5</v>
      </c>
      <c r="C47" s="4" t="s">
        <v>6</v>
      </c>
      <c r="D47" s="4" t="s">
        <v>7</v>
      </c>
      <c r="E47" s="4" t="s">
        <v>8</v>
      </c>
      <c r="F47" s="4" t="s">
        <v>9</v>
      </c>
      <c r="G47" s="4" t="s">
        <v>10</v>
      </c>
      <c r="H47" s="4" t="s">
        <v>11</v>
      </c>
      <c r="I47" s="4" t="s">
        <v>12</v>
      </c>
      <c r="J47" s="4" t="s">
        <v>13</v>
      </c>
      <c r="K47" s="4" t="s">
        <v>14</v>
      </c>
      <c r="L47" s="4" t="s">
        <v>15</v>
      </c>
      <c r="M47" s="4" t="s">
        <v>16</v>
      </c>
      <c r="N47" s="4" t="s">
        <v>17</v>
      </c>
      <c r="O47" s="4" t="s">
        <v>18</v>
      </c>
      <c r="P47" s="4" t="s">
        <v>19</v>
      </c>
      <c r="Q47" s="4" t="s">
        <v>20</v>
      </c>
      <c r="R47" s="4" t="s">
        <v>21</v>
      </c>
      <c r="S47" s="4" t="s">
        <v>22</v>
      </c>
      <c r="T47" s="4" t="s">
        <v>23</v>
      </c>
      <c r="U47" s="4" t="s">
        <v>24</v>
      </c>
    </row>
    <row r="48" customFormat="false" ht="15" hidden="false" customHeight="false" outlineLevel="0" collapsed="false">
      <c r="A48" s="5" t="s">
        <v>25</v>
      </c>
      <c r="B48" s="6" t="n">
        <f aca="false">SUMIFS('Not Available'!$H:$H,'Not Available'!$E:$E,B$47)</f>
        <v>130000</v>
      </c>
      <c r="C48" s="6" t="n">
        <f aca="false">SUMIFS('Not Available'!$H:$H,'Not Available'!$E:$E,C$47)</f>
        <v>100000</v>
      </c>
      <c r="D48" s="6" t="n">
        <f aca="false">SUMIFS('Not Available'!$H:$H,'Not Available'!$E:$E,D$47)</f>
        <v>134378</v>
      </c>
      <c r="E48" s="6" t="n">
        <f aca="false">SUMIFS('Not Available'!$H:$H,'Not Available'!$E:$E,E$47)</f>
        <v>4361930</v>
      </c>
      <c r="F48" s="6" t="n">
        <f aca="false">SUMIFS('Not Available'!$H:$H,'Not Available'!$E:$E,F$47)</f>
        <v>451256</v>
      </c>
      <c r="G48" s="6" t="n">
        <f aca="false">SUMIFS('Not Available'!$H:$H,'Not Available'!$E:$E,G$47)</f>
        <v>4401190</v>
      </c>
      <c r="H48" s="6" t="n">
        <f aca="false">SUMIFS('Not Available'!$H:$H,'Not Available'!$E:$E,H$47)</f>
        <v>13911574</v>
      </c>
      <c r="I48" s="6" t="n">
        <f aca="false">SUMIFS('Not Available'!$H:$H,'Not Available'!$E:$E,I$47)</f>
        <v>12949264</v>
      </c>
      <c r="J48" s="6" t="n">
        <f aca="false">SUMIFS('Not Available'!$H:$H,'Not Available'!$E:$E,J$47)</f>
        <v>10551490</v>
      </c>
      <c r="K48" s="6" t="n">
        <f aca="false">SUMIFS('Not Available'!$H:$H,'Not Available'!$E:$E,K$47)</f>
        <v>5970588</v>
      </c>
      <c r="L48" s="6" t="n">
        <f aca="false">SUMIFS('Not Available'!$H:$H,'Not Available'!$E:$E,L$47)</f>
        <v>14579578</v>
      </c>
      <c r="M48" s="6" t="n">
        <f aca="false">SUMIFS('Not Available'!$H:$H,'Not Available'!$E:$E,M$47)</f>
        <v>12209714</v>
      </c>
      <c r="N48" s="6" t="n">
        <f aca="false">SUMIFS('Not Available'!$H:$H,'Not Available'!$E:$E,N$47)</f>
        <v>8292900</v>
      </c>
      <c r="O48" s="6" t="n">
        <f aca="false">SUMIFS('Not Available'!$H:$H,'Not Available'!$E:$E,O$47)</f>
        <v>9276000</v>
      </c>
      <c r="P48" s="6" t="n">
        <f aca="false">SUMIFS('Not Available'!$H:$H,'Not Available'!$E:$E,P$47)</f>
        <v>14271138</v>
      </c>
      <c r="Q48" s="6" t="n">
        <f aca="false">SUMIFS('Not Available'!$H:$H,'Not Available'!$E:$E,Q$47)</f>
        <v>10395073</v>
      </c>
      <c r="R48" s="6" t="n">
        <f aca="false">SUMIFS('Not Available'!$H:$H,'Not Available'!$E:$E,R$47)</f>
        <v>4704522</v>
      </c>
      <c r="S48" s="6" t="n">
        <f aca="false">SUMIFS('Not Available'!$H:$H,'Not Available'!$E:$E,S$47)</f>
        <v>0</v>
      </c>
      <c r="T48" s="6" t="n">
        <f aca="false">SUMIFS('Not Available'!$H:$H,'Not Available'!$E:$E,T$47)</f>
        <v>0</v>
      </c>
      <c r="U48" s="7" t="n">
        <f aca="false">SUM(B48:T48)</f>
        <v>126690595</v>
      </c>
    </row>
    <row r="49" customFormat="false" ht="15" hidden="false" customHeight="false" outlineLevel="0" collapsed="false">
      <c r="A49" s="5" t="s">
        <v>26</v>
      </c>
      <c r="B49" s="6" t="n">
        <f aca="false">SUMIFS(China!$H:$H,China!$E:$E,B$47)</f>
        <v>132000</v>
      </c>
      <c r="C49" s="6" t="n">
        <f aca="false">SUMIFS(China!$H:$H,China!$E:$E,C$47)</f>
        <v>773000</v>
      </c>
      <c r="D49" s="6" t="n">
        <f aca="false">SUMIFS(China!$H:$H,China!$E:$E,D$47)</f>
        <v>2750000</v>
      </c>
      <c r="E49" s="6" t="n">
        <f aca="false">SUMIFS(China!$H:$H,China!$E:$E,E$47)</f>
        <v>6085000</v>
      </c>
      <c r="F49" s="6" t="n">
        <f aca="false">SUMIFS(China!$H:$H,China!$E:$E,F$47)</f>
        <v>477000</v>
      </c>
      <c r="G49" s="6" t="n">
        <f aca="false">SUMIFS(China!$H:$H,China!$E:$E,G$47)</f>
        <v>1219000</v>
      </c>
      <c r="H49" s="6" t="n">
        <f aca="false">SUMIFS(China!$H:$H,China!$E:$E,H$47)</f>
        <v>11002570</v>
      </c>
      <c r="I49" s="6" t="n">
        <f aca="false">SUMIFS(China!$H:$H,China!$E:$E,I$47)</f>
        <v>9965000</v>
      </c>
      <c r="J49" s="6" t="n">
        <f aca="false">SUMIFS(China!$H:$H,China!$E:$E,J$47)</f>
        <v>12535000</v>
      </c>
      <c r="K49" s="6" t="n">
        <f aca="false">SUMIFS(China!$H:$H,China!$E:$E,K$47)</f>
        <v>8695000</v>
      </c>
      <c r="L49" s="6" t="n">
        <f aca="false">SUMIFS(China!$H:$H,China!$E:$E,L$47)</f>
        <v>33382000</v>
      </c>
      <c r="M49" s="6" t="n">
        <f aca="false">SUMIFS(China!$H:$H,China!$E:$E,M$47)</f>
        <v>21528000</v>
      </c>
      <c r="N49" s="6" t="n">
        <f aca="false">SUMIFS(China!$H:$H,China!$E:$E,N$47)</f>
        <v>15857700</v>
      </c>
      <c r="O49" s="6" t="n">
        <f aca="false">SUMIFS(China!$H:$H,China!$E:$E,O$47)</f>
        <v>6316000</v>
      </c>
      <c r="P49" s="6" t="n">
        <f aca="false">SUMIFS(China!$H:$H,China!$E:$E,P$47)</f>
        <v>5138000</v>
      </c>
      <c r="Q49" s="6" t="n">
        <f aca="false">SUMIFS(China!$H:$H,China!$E:$E,Q$47)</f>
        <v>5885000</v>
      </c>
      <c r="R49" s="6" t="n">
        <f aca="false">SUMIFS(China!$H:$H,China!$E:$E,R$47)</f>
        <v>6175000</v>
      </c>
      <c r="S49" s="6" t="n">
        <f aca="false">SUMIFS(China!$H:$H,China!$E:$E,S$47)</f>
        <v>0</v>
      </c>
      <c r="T49" s="6" t="n">
        <f aca="false">SUMIFS(China!$H:$H,China!$E:$E,T$47)</f>
        <v>0</v>
      </c>
      <c r="U49" s="7" t="n">
        <f aca="false">SUM(B49:T49)</f>
        <v>147915270</v>
      </c>
    </row>
    <row r="50" customFormat="false" ht="15" hidden="false" customHeight="false" outlineLevel="0" collapsed="false">
      <c r="A50" s="5" t="s">
        <v>27</v>
      </c>
      <c r="B50" s="6" t="n">
        <f aca="false">SUMIFS(Mexico!$H:$H,Mexico!$E:$E,B$47)</f>
        <v>0</v>
      </c>
      <c r="C50" s="6" t="n">
        <f aca="false">SUMIFS(Mexico!$H:$H,Mexico!$E:$E,C$47)</f>
        <v>0</v>
      </c>
      <c r="D50" s="6" t="n">
        <f aca="false">SUMIFS(Mexico!$H:$H,Mexico!$E:$E,D$47)</f>
        <v>11000</v>
      </c>
      <c r="E50" s="6" t="n">
        <f aca="false">SUMIFS(Mexico!$H:$H,Mexico!$E:$E,E$47)</f>
        <v>677353</v>
      </c>
      <c r="F50" s="6" t="n">
        <f aca="false">SUMIFS(Mexico!$H:$H,Mexico!$E:$E,F$47)</f>
        <v>243150</v>
      </c>
      <c r="G50" s="6" t="n">
        <f aca="false">SUMIFS(Mexico!$H:$H,Mexico!$E:$E,G$47)</f>
        <v>507940</v>
      </c>
      <c r="H50" s="6" t="n">
        <f aca="false">SUMIFS(Mexico!$H:$H,Mexico!$E:$E,H$47)</f>
        <v>3352048</v>
      </c>
      <c r="I50" s="6" t="n">
        <f aca="false">SUMIFS(Mexico!$H:$H,Mexico!$E:$E,I$47)</f>
        <v>5175223</v>
      </c>
      <c r="J50" s="6" t="n">
        <f aca="false">SUMIFS(Mexico!$H:$H,Mexico!$E:$E,J$47)</f>
        <v>6818851</v>
      </c>
      <c r="K50" s="6" t="n">
        <f aca="false">SUMIFS(Mexico!$H:$H,Mexico!$E:$E,K$47)</f>
        <v>6747116</v>
      </c>
      <c r="L50" s="6" t="n">
        <f aca="false">SUMIFS(Mexico!$H:$H,Mexico!$E:$E,L$47)</f>
        <v>5777566</v>
      </c>
      <c r="M50" s="6" t="n">
        <f aca="false">SUMIFS(Mexico!$H:$H,Mexico!$E:$E,M$47)</f>
        <v>7410151</v>
      </c>
      <c r="N50" s="6" t="n">
        <f aca="false">SUMIFS(Mexico!$H:$H,Mexico!$E:$E,N$47)</f>
        <v>5729125</v>
      </c>
      <c r="O50" s="6" t="n">
        <f aca="false">SUMIFS(Mexico!$H:$H,Mexico!$E:$E,O$47)</f>
        <v>7588288</v>
      </c>
      <c r="P50" s="6" t="n">
        <f aca="false">SUMIFS(Mexico!$H:$H,Mexico!$E:$E,P$47)</f>
        <v>8388214</v>
      </c>
      <c r="Q50" s="6" t="n">
        <f aca="false">SUMIFS(Mexico!$H:$H,Mexico!$E:$E,Q$47)</f>
        <v>9436929</v>
      </c>
      <c r="R50" s="6" t="n">
        <f aca="false">SUMIFS(Mexico!$H:$H,Mexico!$E:$E,R$47)</f>
        <v>2686611</v>
      </c>
      <c r="S50" s="6" t="n">
        <f aca="false">SUMIFS(Mexico!$H:$H,Mexico!$E:$E,S$47)</f>
        <v>480689</v>
      </c>
      <c r="T50" s="6" t="n">
        <f aca="false">SUMIFS(Mexico!$H:$H,Mexico!$E:$E,T$47)</f>
        <v>22400</v>
      </c>
      <c r="U50" s="7" t="n">
        <f aca="false">SUM(B50:T50)</f>
        <v>71052654</v>
      </c>
    </row>
    <row r="51" customFormat="false" ht="15" hidden="false" customHeight="false" outlineLevel="0" collapsed="false">
      <c r="A51" s="5" t="s">
        <v>28</v>
      </c>
      <c r="B51" s="6" t="n">
        <f aca="false">SUMIFS(Japan!$H:$H,Japan!$E:$E,B$47)</f>
        <v>0</v>
      </c>
      <c r="C51" s="6" t="n">
        <f aca="false">SUMIFS(Japan!$H:$H,Japan!$E:$E,C$47)</f>
        <v>0</v>
      </c>
      <c r="D51" s="6" t="n">
        <f aca="false">SUMIFS(Japan!$H:$H,Japan!$E:$E,D$47)</f>
        <v>0</v>
      </c>
      <c r="E51" s="6" t="n">
        <f aca="false">SUMIFS(Japan!$H:$H,Japan!$E:$E,E$47)</f>
        <v>223040</v>
      </c>
      <c r="F51" s="6" t="n">
        <f aca="false">SUMIFS(Japan!$H:$H,Japan!$E:$E,F$47)</f>
        <v>458384</v>
      </c>
      <c r="G51" s="6" t="n">
        <f aca="false">SUMIFS(Japan!$H:$H,Japan!$E:$E,G$47)</f>
        <v>1146884</v>
      </c>
      <c r="H51" s="6" t="n">
        <f aca="false">SUMIFS(Japan!$H:$H,Japan!$E:$E,H$47)</f>
        <v>1139704</v>
      </c>
      <c r="I51" s="6" t="n">
        <f aca="false">SUMIFS(Japan!$H:$H,Japan!$E:$E,I$47)</f>
        <v>981456</v>
      </c>
      <c r="J51" s="6" t="n">
        <f aca="false">SUMIFS(Japan!$H:$H,Japan!$E:$E,J$47)</f>
        <v>561000</v>
      </c>
      <c r="K51" s="6" t="n">
        <f aca="false">SUMIFS(Japan!$H:$H,Japan!$E:$E,K$47)</f>
        <v>347688</v>
      </c>
      <c r="L51" s="6" t="n">
        <f aca="false">SUMIFS(Japan!$H:$H,Japan!$E:$E,L$47)</f>
        <v>777052</v>
      </c>
      <c r="M51" s="6" t="n">
        <f aca="false">SUMIFS(Japan!$H:$H,Japan!$E:$E,M$47)</f>
        <v>303000</v>
      </c>
      <c r="N51" s="6" t="n">
        <f aca="false">SUMIFS(Japan!$H:$H,Japan!$E:$E,N$47)</f>
        <v>341300</v>
      </c>
      <c r="O51" s="6" t="n">
        <f aca="false">SUMIFS(Japan!$H:$H,Japan!$E:$E,O$47)</f>
        <v>294000</v>
      </c>
      <c r="P51" s="6" t="n">
        <f aca="false">SUMIFS(Japan!$H:$H,Japan!$E:$E,P$47)</f>
        <v>752600</v>
      </c>
      <c r="Q51" s="6" t="n">
        <f aca="false">SUMIFS(Japan!$H:$H,Japan!$E:$E,Q$47)</f>
        <v>380000</v>
      </c>
      <c r="R51" s="6" t="n">
        <f aca="false">SUMIFS(Japan!$H:$H,Japan!$E:$E,R$47)</f>
        <v>154000</v>
      </c>
      <c r="S51" s="6" t="n">
        <f aca="false">SUMIFS(Japan!$H:$H,Japan!$E:$E,S$47)</f>
        <v>24000</v>
      </c>
      <c r="T51" s="6" t="n">
        <f aca="false">SUMIFS(Japan!$H:$H,Japan!$E:$E,T$47)</f>
        <v>0</v>
      </c>
      <c r="U51" s="7" t="n">
        <f aca="false">SUM(B51:T51)</f>
        <v>7884108</v>
      </c>
    </row>
    <row r="52" customFormat="false" ht="15" hidden="false" customHeight="false" outlineLevel="0" collapsed="false">
      <c r="A52" s="5" t="s">
        <v>29</v>
      </c>
      <c r="B52" s="6" t="n">
        <f aca="false">SUMIFS('South Korea'!$H:$H,'South Korea'!$E:$E,B$47)</f>
        <v>0</v>
      </c>
      <c r="C52" s="6" t="n">
        <f aca="false">SUMIFS('South Korea'!$H:$H,'South Korea'!$E:$E,C$47)</f>
        <v>357000</v>
      </c>
      <c r="D52" s="6" t="n">
        <f aca="false">SUMIFS('South Korea'!$H:$H,'South Korea'!$E:$E,D$47)</f>
        <v>0</v>
      </c>
      <c r="E52" s="6" t="n">
        <f aca="false">SUMIFS('South Korea'!$H:$H,'South Korea'!$E:$E,E$47)</f>
        <v>444000</v>
      </c>
      <c r="F52" s="6" t="n">
        <f aca="false">SUMIFS('South Korea'!$H:$H,'South Korea'!$E:$E,F$47)</f>
        <v>0</v>
      </c>
      <c r="G52" s="6" t="n">
        <f aca="false">SUMIFS('South Korea'!$H:$H,'South Korea'!$E:$E,G$47)</f>
        <v>197000</v>
      </c>
      <c r="H52" s="6" t="n">
        <f aca="false">SUMIFS('South Korea'!$H:$H,'South Korea'!$E:$E,H$47)</f>
        <v>1081000</v>
      </c>
      <c r="I52" s="6" t="n">
        <f aca="false">SUMIFS('South Korea'!$H:$H,'South Korea'!$E:$E,I$47)</f>
        <v>613000</v>
      </c>
      <c r="J52" s="6" t="n">
        <f aca="false">SUMIFS('South Korea'!$H:$H,'South Korea'!$E:$E,J$47)</f>
        <v>1087000</v>
      </c>
      <c r="K52" s="6" t="n">
        <f aca="false">SUMIFS('South Korea'!$H:$H,'South Korea'!$E:$E,K$47)</f>
        <v>530000</v>
      </c>
      <c r="L52" s="6" t="n">
        <f aca="false">SUMIFS('South Korea'!$H:$H,'South Korea'!$E:$E,L$47)</f>
        <v>337000</v>
      </c>
      <c r="M52" s="6" t="n">
        <f aca="false">SUMIFS('South Korea'!$H:$H,'South Korea'!$E:$E,M$47)</f>
        <v>0</v>
      </c>
      <c r="N52" s="6" t="n">
        <f aca="false">SUMIFS('South Korea'!$H:$H,'South Korea'!$E:$E,N$47)</f>
        <v>0</v>
      </c>
      <c r="O52" s="6" t="n">
        <f aca="false">SUMIFS('South Korea'!$H:$H,'South Korea'!$E:$E,O$47)</f>
        <v>0</v>
      </c>
      <c r="P52" s="6" t="n">
        <f aca="false">SUMIFS('South Korea'!$H:$H,'South Korea'!$E:$E,P$47)</f>
        <v>394000</v>
      </c>
      <c r="Q52" s="6" t="n">
        <f aca="false">SUMIFS('South Korea'!$H:$H,'South Korea'!$E:$E,Q$47)</f>
        <v>1631000</v>
      </c>
      <c r="R52" s="6" t="n">
        <f aca="false">SUMIFS('South Korea'!$H:$H,'South Korea'!$E:$E,R$47)</f>
        <v>0</v>
      </c>
      <c r="S52" s="6" t="n">
        <f aca="false">SUMIFS('South Korea'!$H:$H,'South Korea'!$E:$E,S$47)</f>
        <v>0</v>
      </c>
      <c r="T52" s="6" t="n">
        <f aca="false">SUMIFS('South Korea'!$H:$H,'South Korea'!$E:$E,T$47)</f>
        <v>0</v>
      </c>
      <c r="U52" s="7" t="n">
        <f aca="false">SUM(B52:T52)</f>
        <v>6671000</v>
      </c>
    </row>
    <row r="53" customFormat="false" ht="15" hidden="false" customHeight="false" outlineLevel="0" collapsed="false">
      <c r="A53" s="5" t="s">
        <v>30</v>
      </c>
      <c r="B53" s="6" t="n">
        <f aca="false">SUMIFS(Colombia!$H:$H,Colombia!$E:$E,B$47)</f>
        <v>0</v>
      </c>
      <c r="C53" s="6" t="n">
        <f aca="false">SUMIFS(Colombia!$H:$H,Colombia!$E:$E,C$47)</f>
        <v>0</v>
      </c>
      <c r="D53" s="6" t="n">
        <f aca="false">SUMIFS(Colombia!$H:$H,Colombia!$E:$E,D$47)</f>
        <v>0</v>
      </c>
      <c r="E53" s="6" t="n">
        <f aca="false">SUMIFS(Colombia!$H:$H,Colombia!$E:$E,E$47)</f>
        <v>0</v>
      </c>
      <c r="F53" s="6" t="n">
        <f aca="false">SUMIFS(Colombia!$H:$H,Colombia!$E:$E,F$47)</f>
        <v>0</v>
      </c>
      <c r="G53" s="6" t="n">
        <f aca="false">SUMIFS(Colombia!$H:$H,Colombia!$E:$E,G$47)</f>
        <v>525000</v>
      </c>
      <c r="H53" s="6" t="n">
        <f aca="false">SUMIFS(Colombia!$H:$H,Colombia!$E:$E,H$47)</f>
        <v>105000</v>
      </c>
      <c r="I53" s="6" t="n">
        <f aca="false">SUMIFS(Colombia!$H:$H,Colombia!$E:$E,I$47)</f>
        <v>250000</v>
      </c>
      <c r="J53" s="6" t="n">
        <f aca="false">SUMIFS(Colombia!$H:$H,Colombia!$E:$E,J$47)</f>
        <v>207500</v>
      </c>
      <c r="K53" s="6" t="n">
        <f aca="false">SUMIFS(Colombia!$H:$H,Colombia!$E:$E,K$47)</f>
        <v>0</v>
      </c>
      <c r="L53" s="6" t="n">
        <f aca="false">SUMIFS(Colombia!$H:$H,Colombia!$E:$E,L$47)</f>
        <v>108500</v>
      </c>
      <c r="M53" s="6" t="n">
        <f aca="false">SUMIFS(Colombia!$H:$H,Colombia!$E:$E,M$47)</f>
        <v>650000</v>
      </c>
      <c r="N53" s="6" t="n">
        <f aca="false">SUMIFS(Colombia!$H:$H,Colombia!$E:$E,N$47)</f>
        <v>150000</v>
      </c>
      <c r="O53" s="6" t="n">
        <f aca="false">SUMIFS(Colombia!$H:$H,Colombia!$E:$E,O$47)</f>
        <v>400000</v>
      </c>
      <c r="P53" s="6" t="n">
        <f aca="false">SUMIFS(Colombia!$H:$H,Colombia!$E:$E,P$47)</f>
        <v>673000</v>
      </c>
      <c r="Q53" s="6" t="n">
        <f aca="false">SUMIFS(Colombia!$H:$H,Colombia!$E:$E,Q$47)</f>
        <v>675800</v>
      </c>
      <c r="R53" s="6" t="n">
        <f aca="false">SUMIFS(Colombia!$H:$H,Colombia!$E:$E,R$47)</f>
        <v>215000</v>
      </c>
      <c r="S53" s="6" t="n">
        <f aca="false">SUMIFS(Colombia!$H:$H,Colombia!$E:$E,S$47)</f>
        <v>0</v>
      </c>
      <c r="T53" s="6" t="n">
        <f aca="false">SUMIFS(Colombia!$H:$H,Colombia!$E:$E,T$47)</f>
        <v>0</v>
      </c>
      <c r="U53" s="7" t="n">
        <f aca="false">SUM(B53:T53)</f>
        <v>3959800</v>
      </c>
    </row>
    <row r="54" customFormat="false" ht="15" hidden="false" customHeight="false" outlineLevel="0" collapsed="false">
      <c r="A54" s="5" t="s">
        <v>31</v>
      </c>
      <c r="B54" s="6" t="n">
        <f aca="false">SUMIFS(Egypt!$H:$H,Egypt!$E:$E,B$47)</f>
        <v>120000</v>
      </c>
      <c r="C54" s="6" t="n">
        <f aca="false">SUMIFS(Egypt!$H:$H,Egypt!$E:$E,C$47)</f>
        <v>240000</v>
      </c>
      <c r="D54" s="6" t="n">
        <f aca="false">SUMIFS(Egypt!$H:$H,Egypt!$E:$E,D$47)</f>
        <v>0</v>
      </c>
      <c r="E54" s="6" t="n">
        <f aca="false">SUMIFS(Egypt!$H:$H,Egypt!$E:$E,E$47)</f>
        <v>778000</v>
      </c>
      <c r="F54" s="6" t="n">
        <f aca="false">SUMIFS(Egypt!$H:$H,Egypt!$E:$E,F$47)</f>
        <v>296000</v>
      </c>
      <c r="G54" s="6" t="n">
        <f aca="false">SUMIFS(Egypt!$H:$H,Egypt!$E:$E,G$47)</f>
        <v>0</v>
      </c>
      <c r="H54" s="6" t="n">
        <f aca="false">SUMIFS(Egypt!$H:$H,Egypt!$E:$E,H$47)</f>
        <v>0</v>
      </c>
      <c r="I54" s="6" t="n">
        <f aca="false">SUMIFS(Egypt!$H:$H,Egypt!$E:$E,I$47)</f>
        <v>680000</v>
      </c>
      <c r="J54" s="6" t="n">
        <f aca="false">SUMIFS(Egypt!$H:$H,Egypt!$E:$E,J$47)</f>
        <v>108000</v>
      </c>
      <c r="K54" s="6" t="n">
        <f aca="false">SUMIFS(Egypt!$H:$H,Egypt!$E:$E,K$47)</f>
        <v>185000</v>
      </c>
      <c r="L54" s="6" t="n">
        <f aca="false">SUMIFS(Egypt!$H:$H,Egypt!$E:$E,L$47)</f>
        <v>230000</v>
      </c>
      <c r="M54" s="6" t="n">
        <f aca="false">SUMIFS(Egypt!$H:$H,Egypt!$E:$E,M$47)</f>
        <v>230000</v>
      </c>
      <c r="N54" s="6" t="n">
        <f aca="false">SUMIFS(Egypt!$H:$H,Egypt!$E:$E,N$47)</f>
        <v>0</v>
      </c>
      <c r="O54" s="6" t="n">
        <f aca="false">SUMIFS(Egypt!$H:$H,Egypt!$E:$E,O$47)</f>
        <v>0</v>
      </c>
      <c r="P54" s="6" t="n">
        <f aca="false">SUMIFS(Egypt!$H:$H,Egypt!$E:$E,P$47)</f>
        <v>110000</v>
      </c>
      <c r="Q54" s="6" t="n">
        <f aca="false">SUMIFS(Egypt!$H:$H,Egypt!$E:$E,Q$47)</f>
        <v>338000</v>
      </c>
      <c r="R54" s="6" t="n">
        <f aca="false">SUMIFS(Egypt!$H:$H,Egypt!$E:$E,R$47)</f>
        <v>0</v>
      </c>
      <c r="S54" s="6" t="n">
        <f aca="false">SUMIFS(Egypt!$H:$H,Egypt!$E:$E,S$47)</f>
        <v>0</v>
      </c>
      <c r="T54" s="6" t="n">
        <f aca="false">SUMIFS(Egypt!$H:$H,Egypt!$E:$E,T$47)</f>
        <v>0</v>
      </c>
      <c r="U54" s="7" t="n">
        <f aca="false">SUM(B54:T54)</f>
        <v>3315000</v>
      </c>
    </row>
    <row r="55" customFormat="false" ht="15" hidden="false" customHeight="false" outlineLevel="0" collapsed="false">
      <c r="A55" s="5" t="s">
        <v>32</v>
      </c>
      <c r="B55" s="6" t="n">
        <f aca="false">SUMIFS(Spain!$H:$H,Spain!$E:$E,B$47)</f>
        <v>0</v>
      </c>
      <c r="C55" s="6" t="n">
        <f aca="false">SUMIFS(Spain!$H:$H,Spain!$E:$E,C$47)</f>
        <v>0</v>
      </c>
      <c r="D55" s="6" t="n">
        <f aca="false">SUMIFS(Spain!$H:$H,Spain!$E:$E,D$47)</f>
        <v>0</v>
      </c>
      <c r="E55" s="6" t="n">
        <f aca="false">SUMIFS(Spain!$H:$H,Spain!$E:$E,E$47)</f>
        <v>150000</v>
      </c>
      <c r="F55" s="6" t="n">
        <f aca="false">SUMIFS(Spain!$H:$H,Spain!$E:$E,F$47)</f>
        <v>0</v>
      </c>
      <c r="G55" s="6" t="n">
        <f aca="false">SUMIFS(Spain!$H:$H,Spain!$E:$E,G$47)</f>
        <v>0</v>
      </c>
      <c r="H55" s="6" t="n">
        <f aca="false">SUMIFS(Spain!$H:$H,Spain!$E:$E,H$47)</f>
        <v>0</v>
      </c>
      <c r="I55" s="6" t="n">
        <f aca="false">SUMIFS(Spain!$H:$H,Spain!$E:$E,I$47)</f>
        <v>384000</v>
      </c>
      <c r="J55" s="6" t="n">
        <f aca="false">SUMIFS(Spain!$H:$H,Spain!$E:$E,J$47)</f>
        <v>0</v>
      </c>
      <c r="K55" s="6" t="n">
        <f aca="false">SUMIFS(Spain!$H:$H,Spain!$E:$E,K$47)</f>
        <v>0</v>
      </c>
      <c r="L55" s="6" t="n">
        <f aca="false">SUMIFS(Spain!$H:$H,Spain!$E:$E,L$47)</f>
        <v>0</v>
      </c>
      <c r="M55" s="6" t="n">
        <f aca="false">SUMIFS(Spain!$H:$H,Spain!$E:$E,M$47)</f>
        <v>0</v>
      </c>
      <c r="N55" s="6" t="n">
        <f aca="false">SUMIFS(Spain!$H:$H,Spain!$E:$E,N$47)</f>
        <v>363000</v>
      </c>
      <c r="O55" s="6" t="n">
        <f aca="false">SUMIFS(Spain!$H:$H,Spain!$E:$E,O$47)</f>
        <v>220000</v>
      </c>
      <c r="P55" s="6" t="n">
        <f aca="false">SUMIFS(Spain!$H:$H,Spain!$E:$E,P$47)</f>
        <v>547000</v>
      </c>
      <c r="Q55" s="6" t="n">
        <f aca="false">SUMIFS(Spain!$H:$H,Spain!$E:$E,Q$47)</f>
        <v>272452</v>
      </c>
      <c r="R55" s="6" t="n">
        <f aca="false">SUMIFS(Spain!$H:$H,Spain!$E:$E,R$47)</f>
        <v>0</v>
      </c>
      <c r="S55" s="6" t="n">
        <f aca="false">SUMIFS(Spain!$H:$H,Spain!$E:$E,S$47)</f>
        <v>0</v>
      </c>
      <c r="T55" s="6" t="n">
        <f aca="false">SUMIFS(Spain!$H:$H,Spain!$E:$E,T$47)</f>
        <v>0</v>
      </c>
      <c r="U55" s="7" t="n">
        <f aca="false">SUM(B55:T55)</f>
        <v>1936452</v>
      </c>
    </row>
    <row r="56" customFormat="false" ht="15" hidden="false" customHeight="false" outlineLevel="0" collapsed="false">
      <c r="A56" s="5" t="s">
        <v>33</v>
      </c>
      <c r="B56" s="6" t="n">
        <f aca="false">SUMIFS(Taiwan!$H:$H,Taiwan!$E:$E,B$47)</f>
        <v>0</v>
      </c>
      <c r="C56" s="6" t="n">
        <f aca="false">SUMIFS(Taiwan!$H:$H,Taiwan!$E:$E,C$47)</f>
        <v>0</v>
      </c>
      <c r="D56" s="6" t="n">
        <f aca="false">SUMIFS(Taiwan!$H:$H,Taiwan!$E:$E,D$47)</f>
        <v>0</v>
      </c>
      <c r="E56" s="6" t="n">
        <f aca="false">SUMIFS(Taiwan!$H:$H,Taiwan!$E:$E,E$47)</f>
        <v>120000</v>
      </c>
      <c r="F56" s="6" t="n">
        <f aca="false">SUMIFS(Taiwan!$H:$H,Taiwan!$E:$E,F$47)</f>
        <v>0</v>
      </c>
      <c r="G56" s="6" t="n">
        <f aca="false">SUMIFS(Taiwan!$H:$H,Taiwan!$E:$E,G$47)</f>
        <v>445000</v>
      </c>
      <c r="H56" s="6" t="n">
        <f aca="false">SUMIFS(Taiwan!$H:$H,Taiwan!$E:$E,H$47)</f>
        <v>313000</v>
      </c>
      <c r="I56" s="6" t="n">
        <f aca="false">SUMIFS(Taiwan!$H:$H,Taiwan!$E:$E,I$47)</f>
        <v>0</v>
      </c>
      <c r="J56" s="6" t="n">
        <f aca="false">SUMIFS(Taiwan!$H:$H,Taiwan!$E:$E,J$47)</f>
        <v>0</v>
      </c>
      <c r="K56" s="6" t="n">
        <f aca="false">SUMIFS(Taiwan!$H:$H,Taiwan!$E:$E,K$47)</f>
        <v>0</v>
      </c>
      <c r="L56" s="6" t="n">
        <f aca="false">SUMIFS(Taiwan!$H:$H,Taiwan!$E:$E,L$47)</f>
        <v>0</v>
      </c>
      <c r="M56" s="6" t="n">
        <f aca="false">SUMIFS(Taiwan!$H:$H,Taiwan!$E:$E,M$47)</f>
        <v>0</v>
      </c>
      <c r="N56" s="6" t="n">
        <f aca="false">SUMIFS(Taiwan!$H:$H,Taiwan!$E:$E,N$47)</f>
        <v>104000</v>
      </c>
      <c r="O56" s="6" t="n">
        <f aca="false">SUMIFS(Taiwan!$H:$H,Taiwan!$E:$E,O$47)</f>
        <v>110000</v>
      </c>
      <c r="P56" s="6" t="n">
        <f aca="false">SUMIFS(Taiwan!$H:$H,Taiwan!$E:$E,P$47)</f>
        <v>135000</v>
      </c>
      <c r="Q56" s="6" t="n">
        <f aca="false">SUMIFS(Taiwan!$H:$H,Taiwan!$E:$E,Q$47)</f>
        <v>0</v>
      </c>
      <c r="R56" s="6" t="n">
        <f aca="false">SUMIFS(Taiwan!$H:$H,Taiwan!$E:$E,R$47)</f>
        <v>0</v>
      </c>
      <c r="S56" s="6" t="n">
        <f aca="false">SUMIFS(Taiwan!$H:$H,Taiwan!$E:$E,S$47)</f>
        <v>0</v>
      </c>
      <c r="T56" s="6" t="n">
        <f aca="false">SUMIFS(Taiwan!$H:$H,Taiwan!$E:$E,T$47)</f>
        <v>0</v>
      </c>
      <c r="U56" s="7" t="n">
        <f aca="false">SUM(B56:T56)</f>
        <v>1227000</v>
      </c>
    </row>
    <row r="57" customFormat="false" ht="15" hidden="false" customHeight="false" outlineLevel="0" collapsed="false">
      <c r="A57" s="5" t="s">
        <v>34</v>
      </c>
      <c r="B57" s="6" t="n">
        <f aca="false">SUMIFS('Costa Rica'!$H:$H,'Costa Rica'!$E:$E,B$47)</f>
        <v>0</v>
      </c>
      <c r="C57" s="6" t="n">
        <f aca="false">SUMIFS('Costa Rica'!$H:$H,'Costa Rica'!$E:$E,C$47)</f>
        <v>0</v>
      </c>
      <c r="D57" s="6" t="n">
        <f aca="false">SUMIFS('Costa Rica'!$H:$H,'Costa Rica'!$E:$E,D$47)</f>
        <v>0</v>
      </c>
      <c r="E57" s="6" t="n">
        <f aca="false">SUMIFS('Costa Rica'!$H:$H,'Costa Rica'!$E:$E,E$47)</f>
        <v>0</v>
      </c>
      <c r="F57" s="6" t="n">
        <f aca="false">SUMIFS('Costa Rica'!$H:$H,'Costa Rica'!$E:$E,F$47)</f>
        <v>0</v>
      </c>
      <c r="G57" s="6" t="n">
        <f aca="false">SUMIFS('Costa Rica'!$H:$H,'Costa Rica'!$E:$E,G$47)</f>
        <v>106162</v>
      </c>
      <c r="H57" s="6" t="n">
        <f aca="false">SUMIFS('Costa Rica'!$H:$H,'Costa Rica'!$E:$E,H$47)</f>
        <v>0</v>
      </c>
      <c r="I57" s="6" t="n">
        <f aca="false">SUMIFS('Costa Rica'!$H:$H,'Costa Rica'!$E:$E,I$47)</f>
        <v>134503</v>
      </c>
      <c r="J57" s="6" t="n">
        <f aca="false">SUMIFS('Costa Rica'!$H:$H,'Costa Rica'!$E:$E,J$47)</f>
        <v>142876</v>
      </c>
      <c r="K57" s="6" t="n">
        <f aca="false">SUMIFS('Costa Rica'!$H:$H,'Costa Rica'!$E:$E,K$47)</f>
        <v>0</v>
      </c>
      <c r="L57" s="6" t="n">
        <f aca="false">SUMIFS('Costa Rica'!$H:$H,'Costa Rica'!$E:$E,L$47)</f>
        <v>135644</v>
      </c>
      <c r="M57" s="6" t="n">
        <f aca="false">SUMIFS('Costa Rica'!$H:$H,'Costa Rica'!$E:$E,M$47)</f>
        <v>59694</v>
      </c>
      <c r="N57" s="6" t="n">
        <f aca="false">SUMIFS('Costa Rica'!$H:$H,'Costa Rica'!$E:$E,N$47)</f>
        <v>144907</v>
      </c>
      <c r="O57" s="6" t="n">
        <f aca="false">SUMIFS('Costa Rica'!$H:$H,'Costa Rica'!$E:$E,O$47)</f>
        <v>0</v>
      </c>
      <c r="P57" s="6" t="n">
        <f aca="false">SUMIFS('Costa Rica'!$H:$H,'Costa Rica'!$E:$E,P$47)</f>
        <v>0</v>
      </c>
      <c r="Q57" s="6" t="n">
        <f aca="false">SUMIFS('Costa Rica'!$H:$H,'Costa Rica'!$E:$E,Q$47)</f>
        <v>119769</v>
      </c>
      <c r="R57" s="6" t="n">
        <f aca="false">SUMIFS('Costa Rica'!$H:$H,'Costa Rica'!$E:$E,R$47)</f>
        <v>0</v>
      </c>
      <c r="S57" s="6" t="n">
        <f aca="false">SUMIFS('Costa Rica'!$H:$H,'Costa Rica'!$E:$E,S$47)</f>
        <v>0</v>
      </c>
      <c r="T57" s="6" t="n">
        <f aca="false">SUMIFS('Costa Rica'!$H:$H,'Costa Rica'!$E:$E,T$47)</f>
        <v>0</v>
      </c>
      <c r="U57" s="7" t="n">
        <f aca="false">SUM(B57:T57)</f>
        <v>843555</v>
      </c>
    </row>
    <row r="58" customFormat="false" ht="15" hidden="false" customHeight="false" outlineLevel="0" collapsed="false">
      <c r="A58" s="5" t="s">
        <v>35</v>
      </c>
      <c r="B58" s="6" t="n">
        <f aca="false">SUMIFS(Guatemala!$H:$H,Guatemala!$E:$E,B$47)</f>
        <v>0</v>
      </c>
      <c r="C58" s="6" t="n">
        <f aca="false">SUMIFS(Guatemala!$H:$H,Guatemala!$E:$E,C$47)</f>
        <v>0</v>
      </c>
      <c r="D58" s="6" t="n">
        <f aca="false">SUMIFS(Guatemala!$H:$H,Guatemala!$E:$E,D$47)</f>
        <v>0</v>
      </c>
      <c r="E58" s="6" t="n">
        <f aca="false">SUMIFS(Guatemala!$H:$H,Guatemala!$E:$E,E$47)</f>
        <v>0</v>
      </c>
      <c r="F58" s="6" t="n">
        <f aca="false">SUMIFS(Guatemala!$H:$H,Guatemala!$E:$E,F$47)</f>
        <v>0</v>
      </c>
      <c r="G58" s="6" t="n">
        <f aca="false">SUMIFS(Guatemala!$H:$H,Guatemala!$E:$E,G$47)</f>
        <v>0</v>
      </c>
      <c r="H58" s="6" t="n">
        <f aca="false">SUMIFS(Guatemala!$H:$H,Guatemala!$E:$E,H$47)</f>
        <v>0</v>
      </c>
      <c r="I58" s="6" t="n">
        <f aca="false">SUMIFS(Guatemala!$H:$H,Guatemala!$E:$E,I$47)</f>
        <v>0</v>
      </c>
      <c r="J58" s="6" t="n">
        <f aca="false">SUMIFS(Guatemala!$H:$H,Guatemala!$E:$E,J$47)</f>
        <v>0</v>
      </c>
      <c r="K58" s="6" t="n">
        <f aca="false">SUMIFS(Guatemala!$H:$H,Guatemala!$E:$E,K$47)</f>
        <v>114224</v>
      </c>
      <c r="L58" s="6" t="n">
        <f aca="false">SUMIFS(Guatemala!$H:$H,Guatemala!$E:$E,L$47)</f>
        <v>145301</v>
      </c>
      <c r="M58" s="6" t="n">
        <f aca="false">SUMIFS(Guatemala!$H:$H,Guatemala!$E:$E,M$47)</f>
        <v>275083</v>
      </c>
      <c r="N58" s="6" t="n">
        <f aca="false">SUMIFS(Guatemala!$H:$H,Guatemala!$E:$E,N$47)</f>
        <v>0</v>
      </c>
      <c r="O58" s="6" t="n">
        <f aca="false">SUMIFS(Guatemala!$H:$H,Guatemala!$E:$E,O$47)</f>
        <v>124545</v>
      </c>
      <c r="P58" s="6" t="n">
        <f aca="false">SUMIFS(Guatemala!$H:$H,Guatemala!$E:$E,P$47)</f>
        <v>0</v>
      </c>
      <c r="Q58" s="6" t="n">
        <f aca="false">SUMIFS(Guatemala!$H:$H,Guatemala!$E:$E,Q$47)</f>
        <v>105000</v>
      </c>
      <c r="R58" s="6" t="n">
        <f aca="false">SUMIFS(Guatemala!$H:$H,Guatemala!$E:$E,R$47)</f>
        <v>0</v>
      </c>
      <c r="S58" s="6" t="n">
        <f aca="false">SUMIFS(Guatemala!$H:$H,Guatemala!$E:$E,S$47)</f>
        <v>0</v>
      </c>
      <c r="T58" s="6" t="n">
        <f aca="false">SUMIFS(Guatemala!$H:$H,Guatemala!$E:$E,T$47)</f>
        <v>0</v>
      </c>
      <c r="U58" s="7" t="n">
        <f aca="false">SUM(B58:T58)</f>
        <v>764153</v>
      </c>
    </row>
    <row r="59" customFormat="false" ht="15" hidden="false" customHeight="false" outlineLevel="0" collapsed="false">
      <c r="A59" s="5" t="s">
        <v>36</v>
      </c>
      <c r="B59" s="6" t="n">
        <f aca="false">SUMIFS('Saudi Arabia'!$H:$H,'Saudi Arabia'!$E:$E,B$47)</f>
        <v>0</v>
      </c>
      <c r="C59" s="6" t="n">
        <f aca="false">SUMIFS('Saudi Arabia'!$H:$H,'Saudi Arabia'!$E:$E,C$47)</f>
        <v>0</v>
      </c>
      <c r="D59" s="6" t="n">
        <f aca="false">SUMIFS('Saudi Arabia'!$H:$H,'Saudi Arabia'!$E:$E,D$47)</f>
        <v>0</v>
      </c>
      <c r="E59" s="6" t="n">
        <f aca="false">SUMIFS('Saudi Arabia'!$H:$H,'Saudi Arabia'!$E:$E,E$47)</f>
        <v>0</v>
      </c>
      <c r="F59" s="6" t="n">
        <f aca="false">SUMIFS('Saudi Arabia'!$H:$H,'Saudi Arabia'!$E:$E,F$47)</f>
        <v>140000</v>
      </c>
      <c r="G59" s="6" t="n">
        <f aca="false">SUMIFS('Saudi Arabia'!$H:$H,'Saudi Arabia'!$E:$E,G$47)</f>
        <v>210000</v>
      </c>
      <c r="H59" s="6" t="n">
        <f aca="false">SUMIFS('Saudi Arabia'!$H:$H,'Saudi Arabia'!$E:$E,H$47)</f>
        <v>140000</v>
      </c>
      <c r="I59" s="6" t="n">
        <f aca="false">SUMIFS('Saudi Arabia'!$H:$H,'Saudi Arabia'!$E:$E,I$47)</f>
        <v>70000</v>
      </c>
      <c r="J59" s="6" t="n">
        <f aca="false">SUMIFS('Saudi Arabia'!$H:$H,'Saudi Arabia'!$E:$E,J$47)</f>
        <v>70000</v>
      </c>
      <c r="K59" s="6" t="n">
        <f aca="false">SUMIFS('Saudi Arabia'!$H:$H,'Saudi Arabia'!$E:$E,K$47)</f>
        <v>66000</v>
      </c>
      <c r="L59" s="6" t="n">
        <f aca="false">SUMIFS('Saudi Arabia'!$H:$H,'Saudi Arabia'!$E:$E,L$47)</f>
        <v>0</v>
      </c>
      <c r="M59" s="6" t="n">
        <f aca="false">SUMIFS('Saudi Arabia'!$H:$H,'Saudi Arabia'!$E:$E,M$47)</f>
        <v>0</v>
      </c>
      <c r="N59" s="6" t="n">
        <f aca="false">SUMIFS('Saudi Arabia'!$H:$H,'Saudi Arabia'!$E:$E,N$47)</f>
        <v>0</v>
      </c>
      <c r="O59" s="6" t="n">
        <f aca="false">SUMIFS('Saudi Arabia'!$H:$H,'Saudi Arabia'!$E:$E,O$47)</f>
        <v>0</v>
      </c>
      <c r="P59" s="6" t="n">
        <f aca="false">SUMIFS('Saudi Arabia'!$H:$H,'Saudi Arabia'!$E:$E,P$47)</f>
        <v>0</v>
      </c>
      <c r="Q59" s="6" t="n">
        <f aca="false">SUMIFS('Saudi Arabia'!$H:$H,'Saudi Arabia'!$E:$E,Q$47)</f>
        <v>0</v>
      </c>
      <c r="R59" s="6" t="n">
        <f aca="false">SUMIFS('Saudi Arabia'!$H:$H,'Saudi Arabia'!$E:$E,R$47)</f>
        <v>0</v>
      </c>
      <c r="S59" s="6" t="n">
        <f aca="false">SUMIFS('Saudi Arabia'!$H:$H,'Saudi Arabia'!$E:$E,S$47)</f>
        <v>0</v>
      </c>
      <c r="T59" s="6" t="n">
        <f aca="false">SUMIFS('Saudi Arabia'!$H:$H,'Saudi Arabia'!$E:$E,T$47)</f>
        <v>0</v>
      </c>
      <c r="U59" s="7" t="n">
        <f aca="false">SUM(B59:T59)</f>
        <v>696000</v>
      </c>
    </row>
    <row r="60" customFormat="false" ht="15" hidden="false" customHeight="false" outlineLevel="0" collapsed="false">
      <c r="A60" s="5" t="s">
        <v>37</v>
      </c>
      <c r="B60" s="6" t="n">
        <f aca="false">SUMIFS(Argentina!$H:$H,Argentina!$E:$E,B$47)</f>
        <v>0</v>
      </c>
      <c r="C60" s="6" t="n">
        <f aca="false">SUMIFS(Argentina!$H:$H,Argentina!$E:$E,C$47)</f>
        <v>0</v>
      </c>
      <c r="D60" s="6" t="n">
        <f aca="false">SUMIFS(Argentina!$H:$H,Argentina!$E:$E,D$47)</f>
        <v>0</v>
      </c>
      <c r="E60" s="6" t="n">
        <f aca="false">SUMIFS(Argentina!$H:$H,Argentina!$E:$E,E$47)</f>
        <v>0</v>
      </c>
      <c r="F60" s="6" t="n">
        <f aca="false">SUMIFS(Argentina!$H:$H,Argentina!$E:$E,F$47)</f>
        <v>0</v>
      </c>
      <c r="G60" s="6" t="n">
        <f aca="false">SUMIFS(Argentina!$H:$H,Argentina!$E:$E,G$47)</f>
        <v>0</v>
      </c>
      <c r="H60" s="6" t="n">
        <f aca="false">SUMIFS(Argentina!$H:$H,Argentina!$E:$E,H$47)</f>
        <v>0</v>
      </c>
      <c r="I60" s="6" t="n">
        <f aca="false">SUMIFS(Argentina!$H:$H,Argentina!$E:$E,I$47)</f>
        <v>140000</v>
      </c>
      <c r="J60" s="6" t="n">
        <f aca="false">SUMIFS(Argentina!$H:$H,Argentina!$E:$E,J$47)</f>
        <v>430000</v>
      </c>
      <c r="K60" s="6" t="n">
        <f aca="false">SUMIFS(Argentina!$H:$H,Argentina!$E:$E,K$47)</f>
        <v>0</v>
      </c>
      <c r="L60" s="6" t="n">
        <f aca="false">SUMIFS(Argentina!$H:$H,Argentina!$E:$E,L$47)</f>
        <v>0</v>
      </c>
      <c r="M60" s="6" t="n">
        <f aca="false">SUMIFS(Argentina!$H:$H,Argentina!$E:$E,M$47)</f>
        <v>0</v>
      </c>
      <c r="N60" s="6" t="n">
        <f aca="false">SUMIFS(Argentina!$H:$H,Argentina!$E:$E,N$47)</f>
        <v>0</v>
      </c>
      <c r="O60" s="6" t="n">
        <f aca="false">SUMIFS(Argentina!$H:$H,Argentina!$E:$E,O$47)</f>
        <v>0</v>
      </c>
      <c r="P60" s="6" t="n">
        <f aca="false">SUMIFS(Argentina!$H:$H,Argentina!$E:$E,P$47)</f>
        <v>0</v>
      </c>
      <c r="Q60" s="6" t="n">
        <f aca="false">SUMIFS(Argentina!$H:$H,Argentina!$E:$E,Q$47)</f>
        <v>0</v>
      </c>
      <c r="R60" s="6" t="n">
        <f aca="false">SUMIFS(Argentina!$H:$H,Argentina!$E:$E,R$47)</f>
        <v>0</v>
      </c>
      <c r="S60" s="6" t="n">
        <f aca="false">SUMIFS(Argentina!$H:$H,Argentina!$E:$E,S$47)</f>
        <v>0</v>
      </c>
      <c r="T60" s="6" t="n">
        <f aca="false">SUMIFS(Argentina!$H:$H,Argentina!$E:$E,T$47)</f>
        <v>0</v>
      </c>
      <c r="U60" s="7" t="n">
        <f aca="false">SUM(B60:T60)</f>
        <v>570000</v>
      </c>
    </row>
    <row r="61" customFormat="false" ht="15" hidden="false" customHeight="false" outlineLevel="0" collapsed="false">
      <c r="A61" s="5" t="s">
        <v>38</v>
      </c>
      <c r="B61" s="6" t="n">
        <f aca="false">SUMIFS(Pakistan!$H:$H,Pakistan!$E:$E,B$47)</f>
        <v>0</v>
      </c>
      <c r="C61" s="6" t="n">
        <f aca="false">SUMIFS(Pakistan!$H:$H,Pakistan!$E:$E,C$47)</f>
        <v>0</v>
      </c>
      <c r="D61" s="6" t="n">
        <f aca="false">SUMIFS(Pakistan!$H:$H,Pakistan!$E:$E,D$47)</f>
        <v>0</v>
      </c>
      <c r="E61" s="6" t="n">
        <f aca="false">SUMIFS(Pakistan!$H:$H,Pakistan!$E:$E,E$47)</f>
        <v>0</v>
      </c>
      <c r="F61" s="6" t="n">
        <f aca="false">SUMIFS(Pakistan!$H:$H,Pakistan!$E:$E,F$47)</f>
        <v>0</v>
      </c>
      <c r="G61" s="6" t="n">
        <f aca="false">SUMIFS(Pakistan!$H:$H,Pakistan!$E:$E,G$47)</f>
        <v>0</v>
      </c>
      <c r="H61" s="6" t="n">
        <f aca="false">SUMIFS(Pakistan!$H:$H,Pakistan!$E:$E,H$47)</f>
        <v>0</v>
      </c>
      <c r="I61" s="6" t="n">
        <f aca="false">SUMIFS(Pakistan!$H:$H,Pakistan!$E:$E,I$47)</f>
        <v>0</v>
      </c>
      <c r="J61" s="6" t="n">
        <f aca="false">SUMIFS(Pakistan!$H:$H,Pakistan!$E:$E,J$47)</f>
        <v>199500</v>
      </c>
      <c r="K61" s="6" t="n">
        <f aca="false">SUMIFS(Pakistan!$H:$H,Pakistan!$E:$E,K$47)</f>
        <v>0</v>
      </c>
      <c r="L61" s="6" t="n">
        <f aca="false">SUMIFS(Pakistan!$H:$H,Pakistan!$E:$E,L$47)</f>
        <v>132000</v>
      </c>
      <c r="M61" s="6" t="n">
        <f aca="false">SUMIFS(Pakistan!$H:$H,Pakistan!$E:$E,M$47)</f>
        <v>55000</v>
      </c>
      <c r="N61" s="6" t="n">
        <f aca="false">SUMIFS(Pakistan!$H:$H,Pakistan!$E:$E,N$47)</f>
        <v>297000</v>
      </c>
      <c r="O61" s="6" t="n">
        <f aca="false">SUMIFS(Pakistan!$H:$H,Pakistan!$E:$E,O$47)</f>
        <v>0</v>
      </c>
      <c r="P61" s="6" t="n">
        <f aca="false">SUMIFS(Pakistan!$H:$H,Pakistan!$E:$E,P$47)</f>
        <v>0</v>
      </c>
      <c r="Q61" s="6" t="n">
        <f aca="false">SUMIFS(Pakistan!$H:$H,Pakistan!$E:$E,Q$47)</f>
        <v>345000</v>
      </c>
      <c r="R61" s="6" t="n">
        <f aca="false">SUMIFS(Pakistan!$H:$H,Pakistan!$E:$E,R$47)</f>
        <v>0</v>
      </c>
      <c r="S61" s="6" t="n">
        <f aca="false">SUMIFS(Pakistan!$H:$H,Pakistan!$E:$E,S$47)</f>
        <v>0</v>
      </c>
      <c r="T61" s="6" t="n">
        <f aca="false">SUMIFS(Pakistan!$H:$H,Pakistan!$E:$E,T$47)</f>
        <v>0</v>
      </c>
      <c r="U61" s="7" t="n">
        <f aca="false">SUM(B61:T61)</f>
        <v>1028500</v>
      </c>
    </row>
    <row r="62" customFormat="false" ht="15" hidden="false" customHeight="false" outlineLevel="0" collapsed="false">
      <c r="A62" s="5" t="s">
        <v>39</v>
      </c>
      <c r="B62" s="6" t="n">
        <f aca="false">SUMIFS(Other!$H:$H,Other!$E:$E,B$47)</f>
        <v>0</v>
      </c>
      <c r="C62" s="6" t="n">
        <f aca="false">SUMIFS(Other!$H:$H,Other!$E:$E,C$47)</f>
        <v>0</v>
      </c>
      <c r="D62" s="6" t="n">
        <f aca="false">SUMIFS(Other!$H:$H,Other!$E:$E,D$47)</f>
        <v>0</v>
      </c>
      <c r="E62" s="6" t="n">
        <f aca="false">SUMIFS(Other!$H:$H,Other!$E:$E,E$47)</f>
        <v>120000</v>
      </c>
      <c r="F62" s="6" t="n">
        <f aca="false">SUMIFS(Other!$H:$H,Other!$E:$E,F$47)</f>
        <v>0</v>
      </c>
      <c r="G62" s="6" t="n">
        <f aca="false">SUMIFS(Other!$H:$H,Other!$E:$E,G$47)</f>
        <v>349000</v>
      </c>
      <c r="H62" s="6" t="n">
        <f aca="false">SUMIFS(Other!$H:$H,Other!$E:$E,H$47)</f>
        <v>210973</v>
      </c>
      <c r="I62" s="6" t="n">
        <f aca="false">SUMIFS(Other!$H:$H,Other!$E:$E,I$47)</f>
        <v>110000</v>
      </c>
      <c r="J62" s="6" t="n">
        <f aca="false">SUMIFS(Other!$H:$H,Other!$E:$E,J$47)</f>
        <v>247000</v>
      </c>
      <c r="K62" s="6" t="n">
        <f aca="false">SUMIFS(Other!$H:$H,Other!$E:$E,K$47)</f>
        <v>258600</v>
      </c>
      <c r="L62" s="6" t="n">
        <f aca="false">SUMIFS(Other!$H:$H,Other!$E:$E,L$47)</f>
        <v>155000</v>
      </c>
      <c r="M62" s="6" t="n">
        <f aca="false">SUMIFS(Other!$H:$H,Other!$E:$E,M$47)</f>
        <v>55000</v>
      </c>
      <c r="N62" s="6" t="n">
        <f aca="false">SUMIFS(Other!$H:$H,Other!$E:$E,N$47)</f>
        <v>105000</v>
      </c>
      <c r="O62" s="6" t="n">
        <f aca="false">SUMIFS(Other!$H:$H,Other!$E:$E,O$47)</f>
        <v>0</v>
      </c>
      <c r="P62" s="6" t="n">
        <f aca="false">SUMIFS(Other!$H:$H,Other!$E:$E,P$47)</f>
        <v>110000</v>
      </c>
      <c r="Q62" s="6" t="n">
        <f aca="false">SUMIFS(Other!$H:$H,Other!$E:$E,Q$47)</f>
        <v>0</v>
      </c>
      <c r="R62" s="6" t="n">
        <f aca="false">SUMIFS(Other!$H:$H,Other!$E:$E,R$47)</f>
        <v>0</v>
      </c>
      <c r="S62" s="6" t="n">
        <f aca="false">SUMIFS(Other!$H:$H,Other!$E:$E,S$47)</f>
        <v>0</v>
      </c>
      <c r="T62" s="6" t="n">
        <f aca="false">SUMIFS(Other!$H:$H,Other!$E:$E,T$47)</f>
        <v>0</v>
      </c>
      <c r="U62" s="7" t="n">
        <f aca="false">SUM(B62:T62)</f>
        <v>1720573</v>
      </c>
    </row>
    <row r="63" customFormat="false" ht="15" hidden="false" customHeight="false" outlineLevel="0" collapsed="false">
      <c r="A63" s="8" t="s">
        <v>24</v>
      </c>
      <c r="B63" s="9" t="n">
        <f aca="false">SUM(B48:B62)</f>
        <v>382000</v>
      </c>
      <c r="C63" s="9" t="n">
        <f aca="false">SUM(C48:C62)</f>
        <v>1470000</v>
      </c>
      <c r="D63" s="9" t="n">
        <f aca="false">SUM(D48:D62)</f>
        <v>2895378</v>
      </c>
      <c r="E63" s="9" t="n">
        <f aca="false">SUM(E48:E62)</f>
        <v>12959323</v>
      </c>
      <c r="F63" s="9" t="n">
        <f aca="false">SUM(F48:F62)</f>
        <v>2065790</v>
      </c>
      <c r="G63" s="9" t="n">
        <f aca="false">SUM(G48:G62)</f>
        <v>9107176</v>
      </c>
      <c r="H63" s="9" t="n">
        <f aca="false">SUM(H48:H62)</f>
        <v>31255869</v>
      </c>
      <c r="I63" s="9" t="n">
        <f aca="false">SUM(I48:I62)</f>
        <v>31452446</v>
      </c>
      <c r="J63" s="9" t="n">
        <f aca="false">SUM(J48:J62)</f>
        <v>32958217</v>
      </c>
      <c r="K63" s="9" t="n">
        <f aca="false">SUM(K48:K62)</f>
        <v>22914216</v>
      </c>
      <c r="L63" s="9" t="n">
        <f aca="false">SUM(L48:L62)</f>
        <v>55759641</v>
      </c>
      <c r="M63" s="9" t="n">
        <f aca="false">SUM(M48:M62)</f>
        <v>42775642</v>
      </c>
      <c r="N63" s="9" t="n">
        <f aca="false">SUM(N48:N62)</f>
        <v>31384932</v>
      </c>
      <c r="O63" s="9" t="n">
        <f aca="false">SUM(O48:O62)</f>
        <v>24328833</v>
      </c>
      <c r="P63" s="9" t="n">
        <f aca="false">SUM(P48:P62)</f>
        <v>30518952</v>
      </c>
      <c r="Q63" s="9" t="n">
        <f aca="false">SUM(Q48:Q62)</f>
        <v>29584023</v>
      </c>
      <c r="R63" s="9" t="n">
        <f aca="false">SUM(R48:R62)</f>
        <v>13935133</v>
      </c>
      <c r="S63" s="9" t="n">
        <f aca="false">SUM(S48:S62)</f>
        <v>504689</v>
      </c>
      <c r="T63" s="9" t="n">
        <f aca="false">SUM(T48:T62)</f>
        <v>22400</v>
      </c>
      <c r="U63" s="9" t="n">
        <f aca="false">SUM(U48:U62)</f>
        <v>376274660</v>
      </c>
    </row>
    <row r="66" customFormat="false" ht="17.35" hidden="false" customHeight="false" outlineLevel="0" collapsed="false">
      <c r="A66" s="3" t="s">
        <v>42</v>
      </c>
    </row>
    <row r="68" customFormat="false" ht="16.15" hidden="false" customHeight="false" outlineLevel="0" collapsed="false">
      <c r="A68" s="1" t="s">
        <v>3</v>
      </c>
    </row>
    <row r="69" customFormat="false" ht="15" hidden="false" customHeight="false" outlineLevel="0" collapsed="false">
      <c r="A69" s="4" t="s">
        <v>4</v>
      </c>
      <c r="B69" s="4" t="s">
        <v>5</v>
      </c>
      <c r="C69" s="4" t="s">
        <v>6</v>
      </c>
      <c r="D69" s="4" t="s">
        <v>7</v>
      </c>
      <c r="E69" s="4" t="s">
        <v>8</v>
      </c>
      <c r="F69" s="4" t="s">
        <v>9</v>
      </c>
      <c r="G69" s="4" t="s">
        <v>10</v>
      </c>
      <c r="H69" s="4" t="s">
        <v>11</v>
      </c>
      <c r="I69" s="4" t="s">
        <v>12</v>
      </c>
      <c r="J69" s="4" t="s">
        <v>13</v>
      </c>
      <c r="K69" s="4" t="s">
        <v>14</v>
      </c>
      <c r="L69" s="4" t="s">
        <v>15</v>
      </c>
      <c r="M69" s="4" t="s">
        <v>16</v>
      </c>
      <c r="N69" s="4" t="s">
        <v>17</v>
      </c>
      <c r="O69" s="4" t="s">
        <v>18</v>
      </c>
      <c r="P69" s="4" t="s">
        <v>19</v>
      </c>
      <c r="Q69" s="4" t="s">
        <v>20</v>
      </c>
      <c r="R69" s="4" t="s">
        <v>21</v>
      </c>
      <c r="S69" s="4" t="s">
        <v>24</v>
      </c>
    </row>
    <row r="70" customFormat="false" ht="15" hidden="false" customHeight="false" outlineLevel="0" collapsed="false">
      <c r="A70" s="5" t="s">
        <v>25</v>
      </c>
      <c r="B70" s="6" t="n">
        <f aca="false">SUMIFS('Not Available'!$H:$H,'Not Available'!$F:$F,B$69,'Not Available'!$G:$G,"Corn")</f>
        <v>230000</v>
      </c>
      <c r="C70" s="6" t="n">
        <f aca="false">SUMIFS('Not Available'!$H:$H,'Not Available'!$F:$F,C$69,'Not Available'!$G:$G,"Corn")</f>
        <v>0</v>
      </c>
      <c r="D70" s="6" t="n">
        <f aca="false">SUMIFS('Not Available'!$H:$H,'Not Available'!$F:$F,D$69,'Not Available'!$G:$G,"Corn")</f>
        <v>458328</v>
      </c>
      <c r="E70" s="6" t="n">
        <f aca="false">SUMIFS('Not Available'!$H:$H,'Not Available'!$F:$F,E$69,'Not Available'!$G:$G,"Corn")</f>
        <v>595136</v>
      </c>
      <c r="F70" s="6" t="n">
        <f aca="false">SUMIFS('Not Available'!$H:$H,'Not Available'!$F:$F,F$69,'Not Available'!$G:$G,"Corn")</f>
        <v>0</v>
      </c>
      <c r="G70" s="6" t="n">
        <f aca="false">SUMIFS('Not Available'!$H:$H,'Not Available'!$F:$F,G$69,'Not Available'!$G:$G,"Corn")</f>
        <v>2616488</v>
      </c>
      <c r="H70" s="6" t="n">
        <f aca="false">SUMIFS('Not Available'!$H:$H,'Not Available'!$F:$F,H$69,'Not Available'!$G:$G,"Corn")</f>
        <v>2919785</v>
      </c>
      <c r="I70" s="6" t="n">
        <f aca="false">SUMIFS('Not Available'!$H:$H,'Not Available'!$F:$F,I$69,'Not Available'!$G:$G,"Corn")</f>
        <v>5088936</v>
      </c>
      <c r="J70" s="6" t="n">
        <f aca="false">SUMIFS('Not Available'!$H:$H,'Not Available'!$F:$F,J$69,'Not Available'!$G:$G,"Corn")</f>
        <v>1138525</v>
      </c>
      <c r="K70" s="6" t="n">
        <f aca="false">SUMIFS('Not Available'!$H:$H,'Not Available'!$F:$F,K$69,'Not Available'!$G:$G,"Corn")</f>
        <v>2969908</v>
      </c>
      <c r="L70" s="6" t="n">
        <f aca="false">SUMIFS('Not Available'!$H:$H,'Not Available'!$F:$F,L$69,'Not Available'!$G:$G,"Corn")</f>
        <v>5132332</v>
      </c>
      <c r="M70" s="6" t="n">
        <f aca="false">SUMIFS('Not Available'!$H:$H,'Not Available'!$F:$F,M$69,'Not Available'!$G:$G,"Corn")</f>
        <v>2121668</v>
      </c>
      <c r="N70" s="6" t="n">
        <f aca="false">SUMIFS('Not Available'!$H:$H,'Not Available'!$F:$F,N$69,'Not Available'!$G:$G,"Corn")</f>
        <v>872600</v>
      </c>
      <c r="O70" s="6" t="n">
        <f aca="false">SUMIFS('Not Available'!$H:$H,'Not Available'!$F:$F,O$69,'Not Available'!$G:$G,"Corn")</f>
        <v>1307208</v>
      </c>
      <c r="P70" s="6" t="n">
        <f aca="false">SUMIFS('Not Available'!$H:$H,'Not Available'!$F:$F,P$69,'Not Available'!$G:$G,"Corn")</f>
        <v>6543030</v>
      </c>
      <c r="Q70" s="6" t="n">
        <f aca="false">SUMIFS('Not Available'!$H:$H,'Not Available'!$F:$F,Q$69,'Not Available'!$G:$G,"Corn")</f>
        <v>6076245</v>
      </c>
      <c r="R70" s="6" t="n">
        <f aca="false">SUMIFS('Not Available'!$H:$H,'Not Available'!$F:$F,R$69,'Not Available'!$G:$G,"Corn")</f>
        <v>0</v>
      </c>
      <c r="S70" s="7" t="n">
        <f aca="false">SUM(B70:R70)</f>
        <v>38070189</v>
      </c>
    </row>
    <row r="71" customFormat="false" ht="15" hidden="false" customHeight="false" outlineLevel="0" collapsed="false">
      <c r="A71" s="5" t="s">
        <v>26</v>
      </c>
      <c r="B71" s="6" t="n">
        <f aca="false">SUMIFS(China!$H:$H,China!$F:$F,B$69,China!$G:$G,"Corn")</f>
        <v>0</v>
      </c>
      <c r="C71" s="6" t="n">
        <f aca="false">SUMIFS(China!$H:$H,China!$F:$F,C$69,China!$G:$G,"Corn")</f>
        <v>0</v>
      </c>
      <c r="D71" s="6" t="n">
        <f aca="false">SUMIFS(China!$H:$H,China!$F:$F,D$69,China!$G:$G,"Corn")</f>
        <v>1080000</v>
      </c>
      <c r="E71" s="6" t="n">
        <f aca="false">SUMIFS(China!$H:$H,China!$F:$F,E$69,China!$G:$G,"Corn")</f>
        <v>0</v>
      </c>
      <c r="F71" s="6" t="n">
        <f aca="false">SUMIFS(China!$H:$H,China!$F:$F,F$69,China!$G:$G,"Corn")</f>
        <v>0</v>
      </c>
      <c r="G71" s="6" t="n">
        <f aca="false">SUMIFS(China!$H:$H,China!$F:$F,G$69,China!$G:$G,"Corn")</f>
        <v>0</v>
      </c>
      <c r="H71" s="6" t="n">
        <f aca="false">SUMIFS(China!$H:$H,China!$F:$F,H$69,China!$G:$G,"Corn")</f>
        <v>0</v>
      </c>
      <c r="I71" s="6" t="n">
        <f aca="false">SUMIFS(China!$H:$H,China!$F:$F,I$69,China!$G:$G,"Corn")</f>
        <v>0</v>
      </c>
      <c r="J71" s="6" t="n">
        <f aca="false">SUMIFS(China!$H:$H,China!$F:$F,J$69,China!$G:$G,"Corn")</f>
        <v>300000</v>
      </c>
      <c r="K71" s="6" t="n">
        <f aca="false">SUMIFS(China!$H:$H,China!$F:$F,K$69,China!$G:$G,"Corn")</f>
        <v>9960000</v>
      </c>
      <c r="L71" s="6" t="n">
        <f aca="false">SUMIFS(China!$H:$H,China!$F:$F,L$69,China!$G:$G,"Corn")</f>
        <v>22744000</v>
      </c>
      <c r="M71" s="6" t="n">
        <f aca="false">SUMIFS(China!$H:$H,China!$F:$F,M$69,China!$G:$G,"Corn")</f>
        <v>5797000</v>
      </c>
      <c r="N71" s="6" t="n">
        <f aca="false">SUMIFS(China!$H:$H,China!$F:$F,N$69,China!$G:$G,"Corn")</f>
        <v>5083000</v>
      </c>
      <c r="O71" s="6" t="n">
        <f aca="false">SUMIFS(China!$H:$H,China!$F:$F,O$69,China!$G:$G,"Corn")</f>
        <v>0</v>
      </c>
      <c r="P71" s="6" t="n">
        <f aca="false">SUMIFS(China!$H:$H,China!$F:$F,P$69,China!$G:$G,"Corn")</f>
        <v>0</v>
      </c>
      <c r="Q71" s="6" t="n">
        <f aca="false">SUMIFS(China!$H:$H,China!$F:$F,Q$69,China!$G:$G,"Corn")</f>
        <v>0</v>
      </c>
      <c r="R71" s="6" t="n">
        <f aca="false">SUMIFS(China!$H:$H,China!$F:$F,R$69,China!$G:$G,"Corn")</f>
        <v>0</v>
      </c>
      <c r="S71" s="7" t="n">
        <f aca="false">SUM(B71:R71)</f>
        <v>44964000</v>
      </c>
    </row>
    <row r="72" customFormat="false" ht="15" hidden="false" customHeight="false" outlineLevel="0" collapsed="false">
      <c r="A72" s="5" t="s">
        <v>27</v>
      </c>
      <c r="B72" s="6" t="n">
        <f aca="false">SUMIFS(Mexico!$H:$H,Mexico!$F:$F,B$69,Mexico!$G:$G,"Corn")</f>
        <v>0</v>
      </c>
      <c r="C72" s="6" t="n">
        <f aca="false">SUMIFS(Mexico!$H:$H,Mexico!$F:$F,C$69,Mexico!$G:$G,"Corn")</f>
        <v>0</v>
      </c>
      <c r="D72" s="6" t="n">
        <f aca="false">SUMIFS(Mexico!$H:$H,Mexico!$F:$F,D$69,Mexico!$G:$G,"Corn")</f>
        <v>358553</v>
      </c>
      <c r="E72" s="6" t="n">
        <f aca="false">SUMIFS(Mexico!$H:$H,Mexico!$F:$F,E$69,Mexico!$G:$G,"Corn")</f>
        <v>572950</v>
      </c>
      <c r="F72" s="6" t="n">
        <f aca="false">SUMIFS(Mexico!$H:$H,Mexico!$F:$F,F$69,Mexico!$G:$G,"Corn")</f>
        <v>0</v>
      </c>
      <c r="G72" s="6" t="n">
        <f aca="false">SUMIFS(Mexico!$H:$H,Mexico!$F:$F,G$69,Mexico!$G:$G,"Corn")</f>
        <v>1283979</v>
      </c>
      <c r="H72" s="6" t="n">
        <f aca="false">SUMIFS(Mexico!$H:$H,Mexico!$F:$F,H$69,Mexico!$G:$G,"Corn")</f>
        <v>3706744</v>
      </c>
      <c r="I72" s="6" t="n">
        <f aca="false">SUMIFS(Mexico!$H:$H,Mexico!$F:$F,I$69,Mexico!$G:$G,"Corn")</f>
        <v>3933705</v>
      </c>
      <c r="J72" s="6" t="n">
        <f aca="false">SUMIFS(Mexico!$H:$H,Mexico!$F:$F,J$69,Mexico!$G:$G,"Corn")</f>
        <v>6118191</v>
      </c>
      <c r="K72" s="6" t="n">
        <f aca="false">SUMIFS(Mexico!$H:$H,Mexico!$F:$F,K$69,Mexico!$G:$G,"Corn")</f>
        <v>4557643</v>
      </c>
      <c r="L72" s="6" t="n">
        <f aca="false">SUMIFS(Mexico!$H:$H,Mexico!$F:$F,L$69,Mexico!$G:$G,"Corn")</f>
        <v>5036443</v>
      </c>
      <c r="M72" s="6" t="n">
        <f aca="false">SUMIFS(Mexico!$H:$H,Mexico!$F:$F,M$69,Mexico!$G:$G,"Corn")</f>
        <v>4884495</v>
      </c>
      <c r="N72" s="6" t="n">
        <f aca="false">SUMIFS(Mexico!$H:$H,Mexico!$F:$F,N$69,Mexico!$G:$G,"Corn")</f>
        <v>5701859</v>
      </c>
      <c r="O72" s="6" t="n">
        <f aca="false">SUMIFS(Mexico!$H:$H,Mexico!$F:$F,O$69,Mexico!$G:$G,"Corn")</f>
        <v>6872074</v>
      </c>
      <c r="P72" s="6" t="n">
        <f aca="false">SUMIFS(Mexico!$H:$H,Mexico!$F:$F,P$69,Mexico!$G:$G,"Corn")</f>
        <v>8478400</v>
      </c>
      <c r="Q72" s="6" t="n">
        <f aca="false">SUMIFS(Mexico!$H:$H,Mexico!$F:$F,Q$69,Mexico!$G:$G,"Corn")</f>
        <v>6800624</v>
      </c>
      <c r="R72" s="6" t="n">
        <f aca="false">SUMIFS(Mexico!$H:$H,Mexico!$F:$F,R$69,Mexico!$G:$G,"Corn")</f>
        <v>895020</v>
      </c>
      <c r="S72" s="7" t="n">
        <f aca="false">SUM(B72:R72)</f>
        <v>59200680</v>
      </c>
    </row>
    <row r="73" customFormat="false" ht="15" hidden="false" customHeight="false" outlineLevel="0" collapsed="false">
      <c r="A73" s="5" t="s">
        <v>28</v>
      </c>
      <c r="B73" s="6" t="n">
        <f aca="false">SUMIFS(Japan!$H:$H,Japan!$F:$F,B$69,Japan!$G:$G,"Corn")</f>
        <v>0</v>
      </c>
      <c r="C73" s="6" t="n">
        <f aca="false">SUMIFS(Japan!$H:$H,Japan!$F:$F,C$69,Japan!$G:$G,"Corn")</f>
        <v>0</v>
      </c>
      <c r="D73" s="6" t="n">
        <f aca="false">SUMIFS(Japan!$H:$H,Japan!$F:$F,D$69,Japan!$G:$G,"Corn")</f>
        <v>0</v>
      </c>
      <c r="E73" s="6" t="n">
        <f aca="false">SUMIFS(Japan!$H:$H,Japan!$F:$F,E$69,Japan!$G:$G,"Corn")</f>
        <v>681424</v>
      </c>
      <c r="F73" s="6" t="n">
        <f aca="false">SUMIFS(Japan!$H:$H,Japan!$F:$F,F$69,Japan!$G:$G,"Corn")</f>
        <v>0</v>
      </c>
      <c r="G73" s="6" t="n">
        <f aca="false">SUMIFS(Japan!$H:$H,Japan!$F:$F,G$69,Japan!$G:$G,"Corn")</f>
        <v>1525884</v>
      </c>
      <c r="H73" s="6" t="n">
        <f aca="false">SUMIFS(Japan!$H:$H,Japan!$F:$F,H$69,Japan!$G:$G,"Corn")</f>
        <v>1288408</v>
      </c>
      <c r="I73" s="6" t="n">
        <f aca="false">SUMIFS(Japan!$H:$H,Japan!$F:$F,I$69,Japan!$G:$G,"Corn")</f>
        <v>659752</v>
      </c>
      <c r="J73" s="6" t="n">
        <f aca="false">SUMIFS(Japan!$H:$H,Japan!$F:$F,J$69,Japan!$G:$G,"Corn")</f>
        <v>355000</v>
      </c>
      <c r="K73" s="6" t="n">
        <f aca="false">SUMIFS(Japan!$H:$H,Japan!$F:$F,K$69,Japan!$G:$G,"Corn")</f>
        <v>558940</v>
      </c>
      <c r="L73" s="6" t="n">
        <f aca="false">SUMIFS(Japan!$H:$H,Japan!$F:$F,L$69,Japan!$G:$G,"Corn")</f>
        <v>740800</v>
      </c>
      <c r="M73" s="6" t="n">
        <f aca="false">SUMIFS(Japan!$H:$H,Japan!$F:$F,M$69,Japan!$G:$G,"Corn")</f>
        <v>128000</v>
      </c>
      <c r="N73" s="6" t="n">
        <f aca="false">SUMIFS(Japan!$H:$H,Japan!$F:$F,N$69,Japan!$G:$G,"Corn")</f>
        <v>511300</v>
      </c>
      <c r="O73" s="6" t="n">
        <f aca="false">SUMIFS(Japan!$H:$H,Japan!$F:$F,O$69,Japan!$G:$G,"Corn")</f>
        <v>279000</v>
      </c>
      <c r="P73" s="6" t="n">
        <f aca="false">SUMIFS(Japan!$H:$H,Japan!$F:$F,P$69,Japan!$G:$G,"Corn")</f>
        <v>597600</v>
      </c>
      <c r="Q73" s="6" t="n">
        <f aca="false">SUMIFS(Japan!$H:$H,Japan!$F:$F,Q$69,Japan!$G:$G,"Corn")</f>
        <v>558000</v>
      </c>
      <c r="R73" s="6" t="n">
        <f aca="false">SUMIFS(Japan!$H:$H,Japan!$F:$F,R$69,Japan!$G:$G,"Corn")</f>
        <v>0</v>
      </c>
      <c r="S73" s="7" t="n">
        <f aca="false">SUM(B73:R73)</f>
        <v>7884108</v>
      </c>
    </row>
    <row r="74" customFormat="false" ht="15" hidden="false" customHeight="false" outlineLevel="0" collapsed="false">
      <c r="A74" s="5" t="s">
        <v>29</v>
      </c>
      <c r="B74" s="6" t="n">
        <f aca="false">SUMIFS('South Korea'!$H:$H,'South Korea'!$F:$F,B$69,'South Korea'!$G:$G,"Corn")</f>
        <v>225000</v>
      </c>
      <c r="C74" s="6" t="n">
        <f aca="false">SUMIFS('South Korea'!$H:$H,'South Korea'!$F:$F,C$69,'South Korea'!$G:$G,"Corn")</f>
        <v>132000</v>
      </c>
      <c r="D74" s="6" t="n">
        <f aca="false">SUMIFS('South Korea'!$H:$H,'South Korea'!$F:$F,D$69,'South Korea'!$G:$G,"Corn")</f>
        <v>0</v>
      </c>
      <c r="E74" s="6" t="n">
        <f aca="false">SUMIFS('South Korea'!$H:$H,'South Korea'!$F:$F,E$69,'South Korea'!$G:$G,"Corn")</f>
        <v>444000</v>
      </c>
      <c r="F74" s="6" t="n">
        <f aca="false">SUMIFS('South Korea'!$H:$H,'South Korea'!$F:$F,F$69,'South Korea'!$G:$G,"Corn")</f>
        <v>0</v>
      </c>
      <c r="G74" s="6" t="n">
        <f aca="false">SUMIFS('South Korea'!$H:$H,'South Korea'!$F:$F,G$69,'South Korea'!$G:$G,"Corn")</f>
        <v>266000</v>
      </c>
      <c r="H74" s="6" t="n">
        <f aca="false">SUMIFS('South Korea'!$H:$H,'South Korea'!$F:$F,H$69,'South Korea'!$G:$G,"Corn")</f>
        <v>1012000</v>
      </c>
      <c r="I74" s="6" t="n">
        <f aca="false">SUMIFS('South Korea'!$H:$H,'South Korea'!$F:$F,I$69,'South Korea'!$G:$G,"Corn")</f>
        <v>750000</v>
      </c>
      <c r="J74" s="6" t="n">
        <f aca="false">SUMIFS('South Korea'!$H:$H,'South Korea'!$F:$F,J$69,'South Korea'!$G:$G,"Corn")</f>
        <v>950000</v>
      </c>
      <c r="K74" s="6" t="n">
        <f aca="false">SUMIFS('South Korea'!$H:$H,'South Korea'!$F:$F,K$69,'South Korea'!$G:$G,"Corn")</f>
        <v>530000</v>
      </c>
      <c r="L74" s="6" t="n">
        <f aca="false">SUMIFS('South Korea'!$H:$H,'South Korea'!$F:$F,L$69,'South Korea'!$G:$G,"Corn")</f>
        <v>337000</v>
      </c>
      <c r="M74" s="6" t="n">
        <f aca="false">SUMIFS('South Korea'!$H:$H,'South Korea'!$F:$F,M$69,'South Korea'!$G:$G,"Corn")</f>
        <v>0</v>
      </c>
      <c r="N74" s="6" t="n">
        <f aca="false">SUMIFS('South Korea'!$H:$H,'South Korea'!$F:$F,N$69,'South Korea'!$G:$G,"Corn")</f>
        <v>0</v>
      </c>
      <c r="O74" s="6" t="n">
        <f aca="false">SUMIFS('South Korea'!$H:$H,'South Korea'!$F:$F,O$69,'South Korea'!$G:$G,"Corn")</f>
        <v>0</v>
      </c>
      <c r="P74" s="6" t="n">
        <f aca="false">SUMIFS('South Korea'!$H:$H,'South Korea'!$F:$F,P$69,'South Korea'!$G:$G,"Corn")</f>
        <v>945000</v>
      </c>
      <c r="Q74" s="6" t="n">
        <f aca="false">SUMIFS('South Korea'!$H:$H,'South Korea'!$F:$F,Q$69,'South Korea'!$G:$G,"Corn")</f>
        <v>1080000</v>
      </c>
      <c r="R74" s="6" t="n">
        <f aca="false">SUMIFS('South Korea'!$H:$H,'South Korea'!$F:$F,R$69,'South Korea'!$G:$G,"Corn")</f>
        <v>0</v>
      </c>
      <c r="S74" s="7" t="n">
        <f aca="false">SUM(B74:R74)</f>
        <v>6671000</v>
      </c>
    </row>
    <row r="75" customFormat="false" ht="15" hidden="false" customHeight="false" outlineLevel="0" collapsed="false">
      <c r="A75" s="5" t="s">
        <v>30</v>
      </c>
      <c r="B75" s="6" t="n">
        <f aca="false">SUMIFS(Colombia!$H:$H,Colombia!$F:$F,B$69,Colombia!$G:$G,"Corn")</f>
        <v>0</v>
      </c>
      <c r="C75" s="6" t="n">
        <f aca="false">SUMIFS(Colombia!$H:$H,Colombia!$F:$F,C$69,Colombia!$G:$G,"Corn")</f>
        <v>0</v>
      </c>
      <c r="D75" s="6" t="n">
        <f aca="false">SUMIFS(Colombia!$H:$H,Colombia!$F:$F,D$69,Colombia!$G:$G,"Corn")</f>
        <v>0</v>
      </c>
      <c r="E75" s="6" t="n">
        <f aca="false">SUMIFS(Colombia!$H:$H,Colombia!$F:$F,E$69,Colombia!$G:$G,"Corn")</f>
        <v>0</v>
      </c>
      <c r="F75" s="6" t="n">
        <f aca="false">SUMIFS(Colombia!$H:$H,Colombia!$F:$F,F$69,Colombia!$G:$G,"Corn")</f>
        <v>0</v>
      </c>
      <c r="G75" s="6" t="n">
        <f aca="false">SUMIFS(Colombia!$H:$H,Colombia!$F:$F,G$69,Colombia!$G:$G,"Corn")</f>
        <v>525000</v>
      </c>
      <c r="H75" s="6" t="n">
        <f aca="false">SUMIFS(Colombia!$H:$H,Colombia!$F:$F,H$69,Colombia!$G:$G,"Corn")</f>
        <v>355000</v>
      </c>
      <c r="I75" s="6" t="n">
        <f aca="false">SUMIFS(Colombia!$H:$H,Colombia!$F:$F,I$69,Colombia!$G:$G,"Corn")</f>
        <v>0</v>
      </c>
      <c r="J75" s="6" t="n">
        <f aca="false">SUMIFS(Colombia!$H:$H,Colombia!$F:$F,J$69,Colombia!$G:$G,"Corn")</f>
        <v>207500</v>
      </c>
      <c r="K75" s="6" t="n">
        <f aca="false">SUMIFS(Colombia!$H:$H,Colombia!$F:$F,K$69,Colombia!$G:$G,"Corn")</f>
        <v>0</v>
      </c>
      <c r="L75" s="6" t="n">
        <f aca="false">SUMIFS(Colombia!$H:$H,Colombia!$F:$F,L$69,Colombia!$G:$G,"Corn")</f>
        <v>358500</v>
      </c>
      <c r="M75" s="6" t="n">
        <f aca="false">SUMIFS(Colombia!$H:$H,Colombia!$F:$F,M$69,Colombia!$G:$G,"Corn")</f>
        <v>400000</v>
      </c>
      <c r="N75" s="6" t="n">
        <f aca="false">SUMIFS(Colombia!$H:$H,Colombia!$F:$F,N$69,Colombia!$G:$G,"Corn")</f>
        <v>150000</v>
      </c>
      <c r="O75" s="6" t="n">
        <f aca="false">SUMIFS(Colombia!$H:$H,Colombia!$F:$F,O$69,Colombia!$G:$G,"Corn")</f>
        <v>400000</v>
      </c>
      <c r="P75" s="6" t="n">
        <f aca="false">SUMIFS(Colombia!$H:$H,Colombia!$F:$F,P$69,Colombia!$G:$G,"Corn")</f>
        <v>685000</v>
      </c>
      <c r="Q75" s="6" t="n">
        <f aca="false">SUMIFS(Colombia!$H:$H,Colombia!$F:$F,Q$69,Colombia!$G:$G,"Corn")</f>
        <v>690800</v>
      </c>
      <c r="R75" s="6" t="n">
        <f aca="false">SUMIFS(Colombia!$H:$H,Colombia!$F:$F,R$69,Colombia!$G:$G,"Corn")</f>
        <v>0</v>
      </c>
      <c r="S75" s="7" t="n">
        <f aca="false">SUM(B75:R75)</f>
        <v>3771800</v>
      </c>
    </row>
    <row r="76" customFormat="false" ht="15" hidden="false" customHeight="false" outlineLevel="0" collapsed="false">
      <c r="A76" s="5" t="s">
        <v>31</v>
      </c>
      <c r="B76" s="6" t="n">
        <f aca="false">SUMIFS(Egypt!$H:$H,Egypt!$F:$F,B$69,Egypt!$G:$G,"Corn")</f>
        <v>120000</v>
      </c>
      <c r="C76" s="6" t="n">
        <f aca="false">SUMIFS(Egypt!$H:$H,Egypt!$F:$F,C$69,Egypt!$G:$G,"Corn")</f>
        <v>240000</v>
      </c>
      <c r="D76" s="6" t="n">
        <f aca="false">SUMIFS(Egypt!$H:$H,Egypt!$F:$F,D$69,Egypt!$G:$G,"Corn")</f>
        <v>0</v>
      </c>
      <c r="E76" s="6" t="n">
        <f aca="false">SUMIFS(Egypt!$H:$H,Egypt!$F:$F,E$69,Egypt!$G:$G,"Corn")</f>
        <v>840000</v>
      </c>
      <c r="F76" s="6" t="n">
        <f aca="false">SUMIFS(Egypt!$H:$H,Egypt!$F:$F,F$69,Egypt!$G:$G,"Corn")</f>
        <v>0</v>
      </c>
      <c r="G76" s="6" t="n">
        <f aca="false">SUMIFS(Egypt!$H:$H,Egypt!$F:$F,G$69,Egypt!$G:$G,"Corn")</f>
        <v>0</v>
      </c>
      <c r="H76" s="6" t="n">
        <f aca="false">SUMIFS(Egypt!$H:$H,Egypt!$F:$F,H$69,Egypt!$G:$G,"Corn")</f>
        <v>0</v>
      </c>
      <c r="I76" s="6" t="n">
        <f aca="false">SUMIFS(Egypt!$H:$H,Egypt!$F:$F,I$69,Egypt!$G:$G,"Corn")</f>
        <v>613000</v>
      </c>
      <c r="J76" s="6" t="n">
        <f aca="false">SUMIFS(Egypt!$H:$H,Egypt!$F:$F,J$69,Egypt!$G:$G,"Corn")</f>
        <v>0</v>
      </c>
      <c r="K76" s="6" t="n">
        <f aca="false">SUMIFS(Egypt!$H:$H,Egypt!$F:$F,K$69,Egypt!$G:$G,"Corn")</f>
        <v>0</v>
      </c>
      <c r="L76" s="6" t="n">
        <f aca="false">SUMIFS(Egypt!$H:$H,Egypt!$F:$F,L$69,Egypt!$G:$G,"Corn")</f>
        <v>0</v>
      </c>
      <c r="M76" s="6" t="n">
        <f aca="false">SUMIFS(Egypt!$H:$H,Egypt!$F:$F,M$69,Egypt!$G:$G,"Corn")</f>
        <v>0</v>
      </c>
      <c r="N76" s="6" t="n">
        <f aca="false">SUMIFS(Egypt!$H:$H,Egypt!$F:$F,N$69,Egypt!$G:$G,"Corn")</f>
        <v>0</v>
      </c>
      <c r="O76" s="6" t="n">
        <f aca="false">SUMIFS(Egypt!$H:$H,Egypt!$F:$F,O$69,Egypt!$G:$G,"Corn")</f>
        <v>0</v>
      </c>
      <c r="P76" s="6" t="n">
        <f aca="false">SUMIFS(Egypt!$H:$H,Egypt!$F:$F,P$69,Egypt!$G:$G,"Corn")</f>
        <v>0</v>
      </c>
      <c r="Q76" s="6" t="n">
        <f aca="false">SUMIFS(Egypt!$H:$H,Egypt!$F:$F,Q$69,Egypt!$G:$G,"Corn")</f>
        <v>0</v>
      </c>
      <c r="R76" s="6" t="n">
        <f aca="false">SUMIFS(Egypt!$H:$H,Egypt!$F:$F,R$69,Egypt!$G:$G,"Corn")</f>
        <v>0</v>
      </c>
      <c r="S76" s="7" t="n">
        <f aca="false">SUM(B76:R76)</f>
        <v>1813000</v>
      </c>
    </row>
    <row r="77" customFormat="false" ht="15" hidden="false" customHeight="false" outlineLevel="0" collapsed="false">
      <c r="A77" s="5" t="s">
        <v>32</v>
      </c>
      <c r="B77" s="6" t="n">
        <f aca="false">SUMIFS(Spain!$H:$H,Spain!$F:$F,B$69,Spain!$G:$G,"Corn")</f>
        <v>0</v>
      </c>
      <c r="C77" s="6" t="n">
        <f aca="false">SUMIFS(Spain!$H:$H,Spain!$F:$F,C$69,Spain!$G:$G,"Corn")</f>
        <v>0</v>
      </c>
      <c r="D77" s="6" t="n">
        <f aca="false">SUMIFS(Spain!$H:$H,Spain!$F:$F,D$69,Spain!$G:$G,"Corn")</f>
        <v>0</v>
      </c>
      <c r="E77" s="6" t="n">
        <f aca="false">SUMIFS(Spain!$H:$H,Spain!$F:$F,E$69,Spain!$G:$G,"Corn")</f>
        <v>150000</v>
      </c>
      <c r="F77" s="6" t="n">
        <f aca="false">SUMIFS(Spain!$H:$H,Spain!$F:$F,F$69,Spain!$G:$G,"Corn")</f>
        <v>0</v>
      </c>
      <c r="G77" s="6" t="n">
        <f aca="false">SUMIFS(Spain!$H:$H,Spain!$F:$F,G$69,Spain!$G:$G,"Corn")</f>
        <v>0</v>
      </c>
      <c r="H77" s="6" t="n">
        <f aca="false">SUMIFS(Spain!$H:$H,Spain!$F:$F,H$69,Spain!$G:$G,"Corn")</f>
        <v>0</v>
      </c>
      <c r="I77" s="6" t="n">
        <f aca="false">SUMIFS(Spain!$H:$H,Spain!$F:$F,I$69,Spain!$G:$G,"Corn")</f>
        <v>384000</v>
      </c>
      <c r="J77" s="6" t="n">
        <f aca="false">SUMIFS(Spain!$H:$H,Spain!$F:$F,J$69,Spain!$G:$G,"Corn")</f>
        <v>0</v>
      </c>
      <c r="K77" s="6" t="n">
        <f aca="false">SUMIFS(Spain!$H:$H,Spain!$F:$F,K$69,Spain!$G:$G,"Corn")</f>
        <v>0</v>
      </c>
      <c r="L77" s="6" t="n">
        <f aca="false">SUMIFS(Spain!$H:$H,Spain!$F:$F,L$69,Spain!$G:$G,"Corn")</f>
        <v>0</v>
      </c>
      <c r="M77" s="6" t="n">
        <f aca="false">SUMIFS(Spain!$H:$H,Spain!$F:$F,M$69,Spain!$G:$G,"Corn")</f>
        <v>0</v>
      </c>
      <c r="N77" s="6" t="n">
        <f aca="false">SUMIFS(Spain!$H:$H,Spain!$F:$F,N$69,Spain!$G:$G,"Corn")</f>
        <v>0</v>
      </c>
      <c r="O77" s="6" t="n">
        <f aca="false">SUMIFS(Spain!$H:$H,Spain!$F:$F,O$69,Spain!$G:$G,"Corn")</f>
        <v>220000</v>
      </c>
      <c r="P77" s="6" t="n">
        <f aca="false">SUMIFS(Spain!$H:$H,Spain!$F:$F,P$69,Spain!$G:$G,"Corn")</f>
        <v>632452</v>
      </c>
      <c r="Q77" s="6" t="n">
        <f aca="false">SUMIFS(Spain!$H:$H,Spain!$F:$F,Q$69,Spain!$G:$G,"Corn")</f>
        <v>0</v>
      </c>
      <c r="R77" s="6" t="n">
        <f aca="false">SUMIFS(Spain!$H:$H,Spain!$F:$F,R$69,Spain!$G:$G,"Corn")</f>
        <v>0</v>
      </c>
      <c r="S77" s="7" t="n">
        <f aca="false">SUM(B77:R77)</f>
        <v>1386452</v>
      </c>
    </row>
    <row r="78" customFormat="false" ht="15" hidden="false" customHeight="false" outlineLevel="0" collapsed="false">
      <c r="A78" s="5" t="s">
        <v>33</v>
      </c>
      <c r="B78" s="6" t="n">
        <f aca="false">SUMIFS(Taiwan!$H:$H,Taiwan!$F:$F,B$69,Taiwan!$G:$G,"Corn")</f>
        <v>0</v>
      </c>
      <c r="C78" s="6" t="n">
        <f aca="false">SUMIFS(Taiwan!$H:$H,Taiwan!$F:$F,C$69,Taiwan!$G:$G,"Corn")</f>
        <v>0</v>
      </c>
      <c r="D78" s="6" t="n">
        <f aca="false">SUMIFS(Taiwan!$H:$H,Taiwan!$F:$F,D$69,Taiwan!$G:$G,"Corn")</f>
        <v>0</v>
      </c>
      <c r="E78" s="6" t="n">
        <f aca="false">SUMIFS(Taiwan!$H:$H,Taiwan!$F:$F,E$69,Taiwan!$G:$G,"Corn")</f>
        <v>0</v>
      </c>
      <c r="F78" s="6" t="n">
        <f aca="false">SUMIFS(Taiwan!$H:$H,Taiwan!$F:$F,F$69,Taiwan!$G:$G,"Corn")</f>
        <v>0</v>
      </c>
      <c r="G78" s="6" t="n">
        <f aca="false">SUMIFS(Taiwan!$H:$H,Taiwan!$F:$F,G$69,Taiwan!$G:$G,"Corn")</f>
        <v>510000</v>
      </c>
      <c r="H78" s="6" t="n">
        <f aca="false">SUMIFS(Taiwan!$H:$H,Taiwan!$F:$F,H$69,Taiwan!$G:$G,"Corn")</f>
        <v>130000</v>
      </c>
      <c r="I78" s="6" t="n">
        <f aca="false">SUMIFS(Taiwan!$H:$H,Taiwan!$F:$F,I$69,Taiwan!$G:$G,"Corn")</f>
        <v>0</v>
      </c>
      <c r="J78" s="6" t="n">
        <f aca="false">SUMIFS(Taiwan!$H:$H,Taiwan!$F:$F,J$69,Taiwan!$G:$G,"Corn")</f>
        <v>0</v>
      </c>
      <c r="K78" s="6" t="n">
        <f aca="false">SUMIFS(Taiwan!$H:$H,Taiwan!$F:$F,K$69,Taiwan!$G:$G,"Corn")</f>
        <v>0</v>
      </c>
      <c r="L78" s="6" t="n">
        <f aca="false">SUMIFS(Taiwan!$H:$H,Taiwan!$F:$F,L$69,Taiwan!$G:$G,"Corn")</f>
        <v>0</v>
      </c>
      <c r="M78" s="6" t="n">
        <f aca="false">SUMIFS(Taiwan!$H:$H,Taiwan!$F:$F,M$69,Taiwan!$G:$G,"Corn")</f>
        <v>0</v>
      </c>
      <c r="N78" s="6" t="n">
        <f aca="false">SUMIFS(Taiwan!$H:$H,Taiwan!$F:$F,N$69,Taiwan!$G:$G,"Corn")</f>
        <v>0</v>
      </c>
      <c r="O78" s="6" t="n">
        <f aca="false">SUMIFS(Taiwan!$H:$H,Taiwan!$F:$F,O$69,Taiwan!$G:$G,"Corn")</f>
        <v>110000</v>
      </c>
      <c r="P78" s="6" t="n">
        <f aca="false">SUMIFS(Taiwan!$H:$H,Taiwan!$F:$F,P$69,Taiwan!$G:$G,"Corn")</f>
        <v>135000</v>
      </c>
      <c r="Q78" s="6" t="n">
        <f aca="false">SUMIFS(Taiwan!$H:$H,Taiwan!$F:$F,Q$69,Taiwan!$G:$G,"Corn")</f>
        <v>0</v>
      </c>
      <c r="R78" s="6" t="n">
        <f aca="false">SUMIFS(Taiwan!$H:$H,Taiwan!$F:$F,R$69,Taiwan!$G:$G,"Corn")</f>
        <v>0</v>
      </c>
      <c r="S78" s="7" t="n">
        <f aca="false">SUM(B78:R78)</f>
        <v>885000</v>
      </c>
    </row>
    <row r="79" customFormat="false" ht="15" hidden="false" customHeight="false" outlineLevel="0" collapsed="false">
      <c r="A79" s="5" t="s">
        <v>34</v>
      </c>
      <c r="B79" s="6" t="n">
        <f aca="false">SUMIFS('Costa Rica'!$H:$H,'Costa Rica'!$F:$F,B$69,'Costa Rica'!$G:$G,"Corn")</f>
        <v>0</v>
      </c>
      <c r="C79" s="6" t="n">
        <f aca="false">SUMIFS('Costa Rica'!$H:$H,'Costa Rica'!$F:$F,C$69,'Costa Rica'!$G:$G,"Corn")</f>
        <v>0</v>
      </c>
      <c r="D79" s="6" t="n">
        <f aca="false">SUMIFS('Costa Rica'!$H:$H,'Costa Rica'!$F:$F,D$69,'Costa Rica'!$G:$G,"Corn")</f>
        <v>0</v>
      </c>
      <c r="E79" s="6" t="n">
        <f aca="false">SUMIFS('Costa Rica'!$H:$H,'Costa Rica'!$F:$F,E$69,'Costa Rica'!$G:$G,"Corn")</f>
        <v>0</v>
      </c>
      <c r="F79" s="6" t="n">
        <f aca="false">SUMIFS('Costa Rica'!$H:$H,'Costa Rica'!$F:$F,F$69,'Costa Rica'!$G:$G,"Corn")</f>
        <v>0</v>
      </c>
      <c r="G79" s="6" t="n">
        <f aca="false">SUMIFS('Costa Rica'!$H:$H,'Costa Rica'!$F:$F,G$69,'Costa Rica'!$G:$G,"Corn")</f>
        <v>106162</v>
      </c>
      <c r="H79" s="6" t="n">
        <f aca="false">SUMIFS('Costa Rica'!$H:$H,'Costa Rica'!$F:$F,H$69,'Costa Rica'!$G:$G,"Corn")</f>
        <v>0</v>
      </c>
      <c r="I79" s="6" t="n">
        <f aca="false">SUMIFS('Costa Rica'!$H:$H,'Costa Rica'!$F:$F,I$69,'Costa Rica'!$G:$G,"Corn")</f>
        <v>134503</v>
      </c>
      <c r="J79" s="6" t="n">
        <f aca="false">SUMIFS('Costa Rica'!$H:$H,'Costa Rica'!$F:$F,J$69,'Costa Rica'!$G:$G,"Corn")</f>
        <v>142876</v>
      </c>
      <c r="K79" s="6" t="n">
        <f aca="false">SUMIFS('Costa Rica'!$H:$H,'Costa Rica'!$F:$F,K$69,'Costa Rica'!$G:$G,"Corn")</f>
        <v>0</v>
      </c>
      <c r="L79" s="6" t="n">
        <f aca="false">SUMIFS('Costa Rica'!$H:$H,'Costa Rica'!$F:$F,L$69,'Costa Rica'!$G:$G,"Corn")</f>
        <v>195338</v>
      </c>
      <c r="M79" s="6" t="n">
        <f aca="false">SUMIFS('Costa Rica'!$H:$H,'Costa Rica'!$F:$F,M$69,'Costa Rica'!$G:$G,"Corn")</f>
        <v>144907</v>
      </c>
      <c r="N79" s="6" t="n">
        <f aca="false">SUMIFS('Costa Rica'!$H:$H,'Costa Rica'!$F:$F,N$69,'Costa Rica'!$G:$G,"Corn")</f>
        <v>0</v>
      </c>
      <c r="O79" s="6" t="n">
        <f aca="false">SUMIFS('Costa Rica'!$H:$H,'Costa Rica'!$F:$F,O$69,'Costa Rica'!$G:$G,"Corn")</f>
        <v>0</v>
      </c>
      <c r="P79" s="6" t="n">
        <f aca="false">SUMIFS('Costa Rica'!$H:$H,'Costa Rica'!$F:$F,P$69,'Costa Rica'!$G:$G,"Corn")</f>
        <v>119769</v>
      </c>
      <c r="Q79" s="6" t="n">
        <f aca="false">SUMIFS('Costa Rica'!$H:$H,'Costa Rica'!$F:$F,Q$69,'Costa Rica'!$G:$G,"Corn")</f>
        <v>0</v>
      </c>
      <c r="R79" s="6" t="n">
        <f aca="false">SUMIFS('Costa Rica'!$H:$H,'Costa Rica'!$F:$F,R$69,'Costa Rica'!$G:$G,"Corn")</f>
        <v>0</v>
      </c>
      <c r="S79" s="7" t="n">
        <f aca="false">SUM(B79:R79)</f>
        <v>843555</v>
      </c>
    </row>
    <row r="80" customFormat="false" ht="15" hidden="false" customHeight="false" outlineLevel="0" collapsed="false">
      <c r="A80" s="5" t="s">
        <v>35</v>
      </c>
      <c r="B80" s="6" t="n">
        <f aca="false">SUMIFS(Guatemala!$H:$H,Guatemala!$F:$F,B$69,Guatemala!$G:$G,"Corn")</f>
        <v>0</v>
      </c>
      <c r="C80" s="6" t="n">
        <f aca="false">SUMIFS(Guatemala!$H:$H,Guatemala!$F:$F,C$69,Guatemala!$G:$G,"Corn")</f>
        <v>0</v>
      </c>
      <c r="D80" s="6" t="n">
        <f aca="false">SUMIFS(Guatemala!$H:$H,Guatemala!$F:$F,D$69,Guatemala!$G:$G,"Corn")</f>
        <v>0</v>
      </c>
      <c r="E80" s="6" t="n">
        <f aca="false">SUMIFS(Guatemala!$H:$H,Guatemala!$F:$F,E$69,Guatemala!$G:$G,"Corn")</f>
        <v>0</v>
      </c>
      <c r="F80" s="6" t="n">
        <f aca="false">SUMIFS(Guatemala!$H:$H,Guatemala!$F:$F,F$69,Guatemala!$G:$G,"Corn")</f>
        <v>0</v>
      </c>
      <c r="G80" s="6" t="n">
        <f aca="false">SUMIFS(Guatemala!$H:$H,Guatemala!$F:$F,G$69,Guatemala!$G:$G,"Corn")</f>
        <v>0</v>
      </c>
      <c r="H80" s="6" t="n">
        <f aca="false">SUMIFS(Guatemala!$H:$H,Guatemala!$F:$F,H$69,Guatemala!$G:$G,"Corn")</f>
        <v>0</v>
      </c>
      <c r="I80" s="6" t="n">
        <f aca="false">SUMIFS(Guatemala!$H:$H,Guatemala!$F:$F,I$69,Guatemala!$G:$G,"Corn")</f>
        <v>0</v>
      </c>
      <c r="J80" s="6" t="n">
        <f aca="false">SUMIFS(Guatemala!$H:$H,Guatemala!$F:$F,J$69,Guatemala!$G:$G,"Corn")</f>
        <v>0</v>
      </c>
      <c r="K80" s="6" t="n">
        <f aca="false">SUMIFS(Guatemala!$H:$H,Guatemala!$F:$F,K$69,Guatemala!$G:$G,"Corn")</f>
        <v>143948</v>
      </c>
      <c r="L80" s="6" t="n">
        <f aca="false">SUMIFS(Guatemala!$H:$H,Guatemala!$F:$F,L$69,Guatemala!$G:$G,"Corn")</f>
        <v>252257</v>
      </c>
      <c r="M80" s="6" t="n">
        <f aca="false">SUMIFS(Guatemala!$H:$H,Guatemala!$F:$F,M$69,Guatemala!$G:$G,"Corn")</f>
        <v>138403</v>
      </c>
      <c r="N80" s="6" t="n">
        <f aca="false">SUMIFS(Guatemala!$H:$H,Guatemala!$F:$F,N$69,Guatemala!$G:$G,"Corn")</f>
        <v>0</v>
      </c>
      <c r="O80" s="6" t="n">
        <f aca="false">SUMIFS(Guatemala!$H:$H,Guatemala!$F:$F,O$69,Guatemala!$G:$G,"Corn")</f>
        <v>124545</v>
      </c>
      <c r="P80" s="6" t="n">
        <f aca="false">SUMIFS(Guatemala!$H:$H,Guatemala!$F:$F,P$69,Guatemala!$G:$G,"Corn")</f>
        <v>105000</v>
      </c>
      <c r="Q80" s="6" t="n">
        <f aca="false">SUMIFS(Guatemala!$H:$H,Guatemala!$F:$F,Q$69,Guatemala!$G:$G,"Corn")</f>
        <v>0</v>
      </c>
      <c r="R80" s="6" t="n">
        <f aca="false">SUMIFS(Guatemala!$H:$H,Guatemala!$F:$F,R$69,Guatemala!$G:$G,"Corn")</f>
        <v>0</v>
      </c>
      <c r="S80" s="7" t="n">
        <f aca="false">SUM(B80:R80)</f>
        <v>764153</v>
      </c>
    </row>
    <row r="81" customFormat="false" ht="15" hidden="false" customHeight="false" outlineLevel="0" collapsed="false">
      <c r="A81" s="5" t="s">
        <v>36</v>
      </c>
      <c r="B81" s="6" t="n">
        <f aca="false">SUMIFS('Saudi Arabia'!$H:$H,'Saudi Arabia'!$F:$F,B$69,'Saudi Arabia'!$G:$G,"Corn")</f>
        <v>0</v>
      </c>
      <c r="C81" s="6" t="n">
        <f aca="false">SUMIFS('Saudi Arabia'!$H:$H,'Saudi Arabia'!$F:$F,C$69,'Saudi Arabia'!$G:$G,"Corn")</f>
        <v>0</v>
      </c>
      <c r="D81" s="6" t="n">
        <f aca="false">SUMIFS('Saudi Arabia'!$H:$H,'Saudi Arabia'!$F:$F,D$69,'Saudi Arabia'!$G:$G,"Corn")</f>
        <v>0</v>
      </c>
      <c r="E81" s="6" t="n">
        <f aca="false">SUMIFS('Saudi Arabia'!$H:$H,'Saudi Arabia'!$F:$F,E$69,'Saudi Arabia'!$G:$G,"Corn")</f>
        <v>0</v>
      </c>
      <c r="F81" s="6" t="n">
        <f aca="false">SUMIFS('Saudi Arabia'!$H:$H,'Saudi Arabia'!$F:$F,F$69,'Saudi Arabia'!$G:$G,"Corn")</f>
        <v>140000</v>
      </c>
      <c r="G81" s="6" t="n">
        <f aca="false">SUMIFS('Saudi Arabia'!$H:$H,'Saudi Arabia'!$F:$F,G$69,'Saudi Arabia'!$G:$G,"Corn")</f>
        <v>210000</v>
      </c>
      <c r="H81" s="6" t="n">
        <f aca="false">SUMIFS('Saudi Arabia'!$H:$H,'Saudi Arabia'!$F:$F,H$69,'Saudi Arabia'!$G:$G,"Corn")</f>
        <v>140000</v>
      </c>
      <c r="I81" s="6" t="n">
        <f aca="false">SUMIFS('Saudi Arabia'!$H:$H,'Saudi Arabia'!$F:$F,I$69,'Saudi Arabia'!$G:$G,"Corn")</f>
        <v>140000</v>
      </c>
      <c r="J81" s="6" t="n">
        <f aca="false">SUMIFS('Saudi Arabia'!$H:$H,'Saudi Arabia'!$F:$F,J$69,'Saudi Arabia'!$G:$G,"Corn")</f>
        <v>0</v>
      </c>
      <c r="K81" s="6" t="n">
        <f aca="false">SUMIFS('Saudi Arabia'!$H:$H,'Saudi Arabia'!$F:$F,K$69,'Saudi Arabia'!$G:$G,"Corn")</f>
        <v>0</v>
      </c>
      <c r="L81" s="6" t="n">
        <f aca="false">SUMIFS('Saudi Arabia'!$H:$H,'Saudi Arabia'!$F:$F,L$69,'Saudi Arabia'!$G:$G,"Corn")</f>
        <v>0</v>
      </c>
      <c r="M81" s="6" t="n">
        <f aca="false">SUMIFS('Saudi Arabia'!$H:$H,'Saudi Arabia'!$F:$F,M$69,'Saudi Arabia'!$G:$G,"Corn")</f>
        <v>0</v>
      </c>
      <c r="N81" s="6" t="n">
        <f aca="false">SUMIFS('Saudi Arabia'!$H:$H,'Saudi Arabia'!$F:$F,N$69,'Saudi Arabia'!$G:$G,"Corn")</f>
        <v>0</v>
      </c>
      <c r="O81" s="6" t="n">
        <f aca="false">SUMIFS('Saudi Arabia'!$H:$H,'Saudi Arabia'!$F:$F,O$69,'Saudi Arabia'!$G:$G,"Corn")</f>
        <v>0</v>
      </c>
      <c r="P81" s="6" t="n">
        <f aca="false">SUMIFS('Saudi Arabia'!$H:$H,'Saudi Arabia'!$F:$F,P$69,'Saudi Arabia'!$G:$G,"Corn")</f>
        <v>0</v>
      </c>
      <c r="Q81" s="6" t="n">
        <f aca="false">SUMIFS('Saudi Arabia'!$H:$H,'Saudi Arabia'!$F:$F,Q$69,'Saudi Arabia'!$G:$G,"Corn")</f>
        <v>0</v>
      </c>
      <c r="R81" s="6" t="n">
        <f aca="false">SUMIFS('Saudi Arabia'!$H:$H,'Saudi Arabia'!$F:$F,R$69,'Saudi Arabia'!$G:$G,"Corn")</f>
        <v>0</v>
      </c>
      <c r="S81" s="7" t="n">
        <f aca="false">SUM(B81:R81)</f>
        <v>630000</v>
      </c>
    </row>
    <row r="82" customFormat="false" ht="15" hidden="false" customHeight="false" outlineLevel="0" collapsed="false">
      <c r="A82" s="5" t="s">
        <v>37</v>
      </c>
      <c r="B82" s="6" t="n">
        <f aca="false">SUMIFS(Argentina!$H:$H,Argentina!$F:$F,B$69,Argentina!$G:$G,"Corn")</f>
        <v>0</v>
      </c>
      <c r="C82" s="6" t="n">
        <f aca="false">SUMIFS(Argentina!$H:$H,Argentina!$F:$F,C$69,Argentina!$G:$G,"Corn")</f>
        <v>0</v>
      </c>
      <c r="D82" s="6" t="n">
        <f aca="false">SUMIFS(Argentina!$H:$H,Argentina!$F:$F,D$69,Argentina!$G:$G,"Corn")</f>
        <v>0</v>
      </c>
      <c r="E82" s="6" t="n">
        <f aca="false">SUMIFS(Argentina!$H:$H,Argentina!$F:$F,E$69,Argentina!$G:$G,"Corn")</f>
        <v>0</v>
      </c>
      <c r="F82" s="6" t="n">
        <f aca="false">SUMIFS(Argentina!$H:$H,Argentina!$F:$F,F$69,Argentina!$G:$G,"Corn")</f>
        <v>0</v>
      </c>
      <c r="G82" s="6" t="n">
        <f aca="false">SUMIFS(Argentina!$H:$H,Argentina!$F:$F,G$69,Argentina!$G:$G,"Corn")</f>
        <v>0</v>
      </c>
      <c r="H82" s="6" t="n">
        <f aca="false">SUMIFS(Argentina!$H:$H,Argentina!$F:$F,H$69,Argentina!$G:$G,"Corn")</f>
        <v>0</v>
      </c>
      <c r="I82" s="6" t="n">
        <f aca="false">SUMIFS(Argentina!$H:$H,Argentina!$F:$F,I$69,Argentina!$G:$G,"Corn")</f>
        <v>80000</v>
      </c>
      <c r="J82" s="6" t="n">
        <f aca="false">SUMIFS(Argentina!$H:$H,Argentina!$F:$F,J$69,Argentina!$G:$G,"Corn")</f>
        <v>0</v>
      </c>
      <c r="K82" s="6" t="n">
        <f aca="false">SUMIFS(Argentina!$H:$H,Argentina!$F:$F,K$69,Argentina!$G:$G,"Corn")</f>
        <v>0</v>
      </c>
      <c r="L82" s="6" t="n">
        <f aca="false">SUMIFS(Argentina!$H:$H,Argentina!$F:$F,L$69,Argentina!$G:$G,"Corn")</f>
        <v>0</v>
      </c>
      <c r="M82" s="6" t="n">
        <f aca="false">SUMIFS(Argentina!$H:$H,Argentina!$F:$F,M$69,Argentina!$G:$G,"Corn")</f>
        <v>0</v>
      </c>
      <c r="N82" s="6" t="n">
        <f aca="false">SUMIFS(Argentina!$H:$H,Argentina!$F:$F,N$69,Argentina!$G:$G,"Corn")</f>
        <v>0</v>
      </c>
      <c r="O82" s="6" t="n">
        <f aca="false">SUMIFS(Argentina!$H:$H,Argentina!$F:$F,O$69,Argentina!$G:$G,"Corn")</f>
        <v>0</v>
      </c>
      <c r="P82" s="6" t="n">
        <f aca="false">SUMIFS(Argentina!$H:$H,Argentina!$F:$F,P$69,Argentina!$G:$G,"Corn")</f>
        <v>0</v>
      </c>
      <c r="Q82" s="6" t="n">
        <f aca="false">SUMIFS(Argentina!$H:$H,Argentina!$F:$F,Q$69,Argentina!$G:$G,"Corn")</f>
        <v>0</v>
      </c>
      <c r="R82" s="6" t="n">
        <f aca="false">SUMIFS(Argentina!$H:$H,Argentina!$F:$F,R$69,Argentina!$G:$G,"Corn")</f>
        <v>0</v>
      </c>
      <c r="S82" s="7" t="n">
        <f aca="false">SUM(B82:R82)</f>
        <v>80000</v>
      </c>
    </row>
    <row r="83" customFormat="false" ht="15" hidden="false" customHeight="false" outlineLevel="0" collapsed="false">
      <c r="A83" s="5" t="s">
        <v>38</v>
      </c>
      <c r="B83" s="6" t="n">
        <f aca="false">SUMIFS(Pakistan!$H:$H,Pakistan!$F:$F,B$69,Pakistan!$G:$G,"Corn")</f>
        <v>0</v>
      </c>
      <c r="C83" s="6" t="n">
        <f aca="false">SUMIFS(Pakistan!$H:$H,Pakistan!$F:$F,C$69,Pakistan!$G:$G,"Corn")</f>
        <v>0</v>
      </c>
      <c r="D83" s="6" t="n">
        <f aca="false">SUMIFS(Pakistan!$H:$H,Pakistan!$F:$F,D$69,Pakistan!$G:$G,"Corn")</f>
        <v>0</v>
      </c>
      <c r="E83" s="6" t="n">
        <f aca="false">SUMIFS(Pakistan!$H:$H,Pakistan!$F:$F,E$69,Pakistan!$G:$G,"Corn")</f>
        <v>0</v>
      </c>
      <c r="F83" s="6" t="n">
        <f aca="false">SUMIFS(Pakistan!$H:$H,Pakistan!$F:$F,F$69,Pakistan!$G:$G,"Corn")</f>
        <v>0</v>
      </c>
      <c r="G83" s="6" t="n">
        <f aca="false">SUMIFS(Pakistan!$H:$H,Pakistan!$F:$F,G$69,Pakistan!$G:$G,"Corn")</f>
        <v>0</v>
      </c>
      <c r="H83" s="6" t="n">
        <f aca="false">SUMIFS(Pakistan!$H:$H,Pakistan!$F:$F,H$69,Pakistan!$G:$G,"Corn")</f>
        <v>0</v>
      </c>
      <c r="I83" s="6" t="n">
        <f aca="false">SUMIFS(Pakistan!$H:$H,Pakistan!$F:$F,I$69,Pakistan!$G:$G,"Corn")</f>
        <v>0</v>
      </c>
      <c r="J83" s="6" t="n">
        <f aca="false">SUMIFS(Pakistan!$H:$H,Pakistan!$F:$F,J$69,Pakistan!$G:$G,"Corn")</f>
        <v>0</v>
      </c>
      <c r="K83" s="6" t="n">
        <f aca="false">SUMIFS(Pakistan!$H:$H,Pakistan!$F:$F,K$69,Pakistan!$G:$G,"Corn")</f>
        <v>0</v>
      </c>
      <c r="L83" s="6" t="n">
        <f aca="false">SUMIFS(Pakistan!$H:$H,Pakistan!$F:$F,L$69,Pakistan!$G:$G,"Corn")</f>
        <v>0</v>
      </c>
      <c r="M83" s="6" t="n">
        <f aca="false">SUMIFS(Pakistan!$H:$H,Pakistan!$F:$F,M$69,Pakistan!$G:$G,"Corn")</f>
        <v>0</v>
      </c>
      <c r="N83" s="6" t="n">
        <f aca="false">SUMIFS(Pakistan!$H:$H,Pakistan!$F:$F,N$69,Pakistan!$G:$G,"Corn")</f>
        <v>0</v>
      </c>
      <c r="O83" s="6" t="n">
        <f aca="false">SUMIFS(Pakistan!$H:$H,Pakistan!$F:$F,O$69,Pakistan!$G:$G,"Corn")</f>
        <v>0</v>
      </c>
      <c r="P83" s="6" t="n">
        <f aca="false">SUMIFS(Pakistan!$H:$H,Pakistan!$F:$F,P$69,Pakistan!$G:$G,"Corn")</f>
        <v>0</v>
      </c>
      <c r="Q83" s="6" t="n">
        <f aca="false">SUMIFS(Pakistan!$H:$H,Pakistan!$F:$F,Q$69,Pakistan!$G:$G,"Corn")</f>
        <v>0</v>
      </c>
      <c r="R83" s="6" t="n">
        <f aca="false">SUMIFS(Pakistan!$H:$H,Pakistan!$F:$F,R$69,Pakistan!$G:$G,"Corn")</f>
        <v>0</v>
      </c>
      <c r="S83" s="7" t="n">
        <f aca="false">SUM(B83:R83)</f>
        <v>0</v>
      </c>
    </row>
    <row r="84" customFormat="false" ht="15" hidden="false" customHeight="false" outlineLevel="0" collapsed="false">
      <c r="A84" s="5" t="s">
        <v>39</v>
      </c>
      <c r="B84" s="6" t="n">
        <f aca="false">SUMIFS(Other!$H:$H,Other!$F:$F,B$69,Other!$G:$G,"Corn")</f>
        <v>0</v>
      </c>
      <c r="C84" s="6" t="n">
        <f aca="false">SUMIFS(Other!$H:$H,Other!$F:$F,C$69,Other!$G:$G,"Corn")</f>
        <v>0</v>
      </c>
      <c r="D84" s="6" t="n">
        <f aca="false">SUMIFS(Other!$H:$H,Other!$F:$F,D$69,Other!$G:$G,"Corn")</f>
        <v>0</v>
      </c>
      <c r="E84" s="6" t="n">
        <f aca="false">SUMIFS(Other!$H:$H,Other!$F:$F,E$69,Other!$G:$G,"Corn")</f>
        <v>0</v>
      </c>
      <c r="F84" s="6" t="n">
        <f aca="false">SUMIFS(Other!$H:$H,Other!$F:$F,F$69,Other!$G:$G,"Corn")</f>
        <v>0</v>
      </c>
      <c r="G84" s="6" t="n">
        <f aca="false">SUMIFS(Other!$H:$H,Other!$F:$F,G$69,Other!$G:$G,"Corn")</f>
        <v>132000</v>
      </c>
      <c r="H84" s="6" t="n">
        <f aca="false">SUMIFS(Other!$H:$H,Other!$F:$F,H$69,Other!$G:$G,"Corn")</f>
        <v>100973</v>
      </c>
      <c r="I84" s="6" t="n">
        <f aca="false">SUMIFS(Other!$H:$H,Other!$F:$F,I$69,Other!$G:$G,"Corn")</f>
        <v>357000</v>
      </c>
      <c r="J84" s="6" t="n">
        <f aca="false">SUMIFS(Other!$H:$H,Other!$F:$F,J$69,Other!$G:$G,"Corn")</f>
        <v>104100</v>
      </c>
      <c r="K84" s="6" t="n">
        <f aca="false">SUMIFS(Other!$H:$H,Other!$F:$F,K$69,Other!$G:$G,"Corn")</f>
        <v>0</v>
      </c>
      <c r="L84" s="6" t="n">
        <f aca="false">SUMIFS(Other!$H:$H,Other!$F:$F,L$69,Other!$G:$G,"Corn")</f>
        <v>100000</v>
      </c>
      <c r="M84" s="6" t="n">
        <f aca="false">SUMIFS(Other!$H:$H,Other!$F:$F,M$69,Other!$G:$G,"Corn")</f>
        <v>105000</v>
      </c>
      <c r="N84" s="6" t="n">
        <f aca="false">SUMIFS(Other!$H:$H,Other!$F:$F,N$69,Other!$G:$G,"Corn")</f>
        <v>0</v>
      </c>
      <c r="O84" s="6" t="n">
        <f aca="false">SUMIFS(Other!$H:$H,Other!$F:$F,O$69,Other!$G:$G,"Corn")</f>
        <v>0</v>
      </c>
      <c r="P84" s="6" t="n">
        <f aca="false">SUMIFS(Other!$H:$H,Other!$F:$F,P$69,Other!$G:$G,"Corn")</f>
        <v>110000</v>
      </c>
      <c r="Q84" s="6" t="n">
        <f aca="false">SUMIFS(Other!$H:$H,Other!$F:$F,Q$69,Other!$G:$G,"Corn")</f>
        <v>0</v>
      </c>
      <c r="R84" s="6" t="n">
        <f aca="false">SUMIFS(Other!$H:$H,Other!$F:$F,R$69,Other!$G:$G,"Corn")</f>
        <v>0</v>
      </c>
      <c r="S84" s="7" t="n">
        <f aca="false">SUM(B84:R84)</f>
        <v>1009073</v>
      </c>
    </row>
    <row r="85" customFormat="false" ht="15" hidden="false" customHeight="false" outlineLevel="0" collapsed="false">
      <c r="A85" s="8" t="s">
        <v>24</v>
      </c>
      <c r="B85" s="9" t="n">
        <f aca="false">SUM(B70:B84)</f>
        <v>575000</v>
      </c>
      <c r="C85" s="9" t="n">
        <f aca="false">SUM(C70:C84)</f>
        <v>372000</v>
      </c>
      <c r="D85" s="9" t="n">
        <f aca="false">SUM(D70:D84)</f>
        <v>1896881</v>
      </c>
      <c r="E85" s="9" t="n">
        <f aca="false">SUM(E70:E84)</f>
        <v>3283510</v>
      </c>
      <c r="F85" s="9" t="n">
        <f aca="false">SUM(F70:F84)</f>
        <v>140000</v>
      </c>
      <c r="G85" s="9" t="n">
        <f aca="false">SUM(G70:G84)</f>
        <v>7175513</v>
      </c>
      <c r="H85" s="9" t="n">
        <f aca="false">SUM(H70:H84)</f>
        <v>9652910</v>
      </c>
      <c r="I85" s="9" t="n">
        <f aca="false">SUM(I70:I84)</f>
        <v>12140896</v>
      </c>
      <c r="J85" s="9" t="n">
        <f aca="false">SUM(J70:J84)</f>
        <v>9316192</v>
      </c>
      <c r="K85" s="9" t="n">
        <f aca="false">SUM(K70:K84)</f>
        <v>18720439</v>
      </c>
      <c r="L85" s="9" t="n">
        <f aca="false">SUM(L70:L84)</f>
        <v>34896670</v>
      </c>
      <c r="M85" s="9" t="n">
        <f aca="false">SUM(M70:M84)</f>
        <v>13719473</v>
      </c>
      <c r="N85" s="9" t="n">
        <f aca="false">SUM(N70:N84)</f>
        <v>12318759</v>
      </c>
      <c r="O85" s="9" t="n">
        <f aca="false">SUM(O70:O84)</f>
        <v>9312827</v>
      </c>
      <c r="P85" s="9" t="n">
        <f aca="false">SUM(P70:P84)</f>
        <v>18351251</v>
      </c>
      <c r="Q85" s="9" t="n">
        <f aca="false">SUM(Q70:Q84)</f>
        <v>15205669</v>
      </c>
      <c r="R85" s="9" t="n">
        <f aca="false">SUM(R70:R84)</f>
        <v>895020</v>
      </c>
      <c r="S85" s="9" t="n">
        <f aca="false">SUM(S70:S84)</f>
        <v>167973010</v>
      </c>
    </row>
    <row r="88" customFormat="false" ht="16.15" hidden="false" customHeight="false" outlineLevel="0" collapsed="false">
      <c r="A88" s="1" t="s">
        <v>40</v>
      </c>
    </row>
    <row r="89" customFormat="false" ht="15" hidden="false" customHeight="false" outlineLevel="0" collapsed="false">
      <c r="A89" s="4" t="s">
        <v>4</v>
      </c>
      <c r="B89" s="4" t="s">
        <v>5</v>
      </c>
      <c r="C89" s="4" t="s">
        <v>6</v>
      </c>
      <c r="D89" s="4" t="s">
        <v>7</v>
      </c>
      <c r="E89" s="4" t="s">
        <v>8</v>
      </c>
      <c r="F89" s="4" t="s">
        <v>9</v>
      </c>
      <c r="G89" s="4" t="s">
        <v>10</v>
      </c>
      <c r="H89" s="4" t="s">
        <v>11</v>
      </c>
      <c r="I89" s="4" t="s">
        <v>12</v>
      </c>
      <c r="J89" s="4" t="s">
        <v>13</v>
      </c>
      <c r="K89" s="4" t="s">
        <v>14</v>
      </c>
      <c r="L89" s="4" t="s">
        <v>15</v>
      </c>
      <c r="M89" s="4" t="s">
        <v>16</v>
      </c>
      <c r="N89" s="4" t="s">
        <v>17</v>
      </c>
      <c r="O89" s="4" t="s">
        <v>18</v>
      </c>
      <c r="P89" s="4" t="s">
        <v>19</v>
      </c>
      <c r="Q89" s="4" t="s">
        <v>20</v>
      </c>
      <c r="R89" s="4" t="s">
        <v>21</v>
      </c>
      <c r="S89" s="4" t="s">
        <v>24</v>
      </c>
    </row>
    <row r="90" customFormat="false" ht="15" hidden="false" customHeight="false" outlineLevel="0" collapsed="false">
      <c r="A90" s="5" t="s">
        <v>25</v>
      </c>
      <c r="B90" s="6" t="n">
        <f aca="false">SUMIFS('Not Available'!$H:$H,'Not Available'!$F:$F,B$89,'Not Available'!$G:$G,"Soybean")</f>
        <v>0</v>
      </c>
      <c r="C90" s="6" t="n">
        <f aca="false">SUMIFS('Not Available'!$H:$H,'Not Available'!$F:$F,C$89,'Not Available'!$G:$G,"Soybean")</f>
        <v>0</v>
      </c>
      <c r="D90" s="6" t="n">
        <f aca="false">SUMIFS('Not Available'!$H:$H,'Not Available'!$F:$F,D$89,'Not Available'!$G:$G,"Soybean")</f>
        <v>1338950</v>
      </c>
      <c r="E90" s="6" t="n">
        <f aca="false">SUMIFS('Not Available'!$H:$H,'Not Available'!$F:$F,E$89,'Not Available'!$G:$G,"Soybean")</f>
        <v>2555150</v>
      </c>
      <c r="F90" s="6" t="n">
        <f aca="false">SUMIFS('Not Available'!$H:$H,'Not Available'!$F:$F,F$89,'Not Available'!$G:$G,"Soybean")</f>
        <v>0</v>
      </c>
      <c r="G90" s="6" t="n">
        <f aca="false">SUMIFS('Not Available'!$H:$H,'Not Available'!$F:$F,G$89,'Not Available'!$G:$G,"Soybean")</f>
        <v>6800700</v>
      </c>
      <c r="H90" s="6" t="n">
        <f aca="false">SUMIFS('Not Available'!$H:$H,'Not Available'!$F:$F,H$89,'Not Available'!$G:$G,"Soybean")</f>
        <v>7836091</v>
      </c>
      <c r="I90" s="6" t="n">
        <f aca="false">SUMIFS('Not Available'!$H:$H,'Not Available'!$F:$F,I$89,'Not Available'!$G:$G,"Soybean")</f>
        <v>10284300</v>
      </c>
      <c r="J90" s="6" t="n">
        <f aca="false">SUMIFS('Not Available'!$H:$H,'Not Available'!$F:$F,J$89,'Not Available'!$G:$G,"Soybean")</f>
        <v>6477806</v>
      </c>
      <c r="K90" s="6" t="n">
        <f aca="false">SUMIFS('Not Available'!$H:$H,'Not Available'!$F:$F,K$89,'Not Available'!$G:$G,"Soybean")</f>
        <v>6224879</v>
      </c>
      <c r="L90" s="6" t="n">
        <f aca="false">SUMIFS('Not Available'!$H:$H,'Not Available'!$F:$F,L$89,'Not Available'!$G:$G,"Soybean")</f>
        <v>8496900</v>
      </c>
      <c r="M90" s="6" t="n">
        <f aca="false">SUMIFS('Not Available'!$H:$H,'Not Available'!$F:$F,M$89,'Not Available'!$G:$G,"Soybean")</f>
        <v>9141380</v>
      </c>
      <c r="N90" s="6" t="n">
        <f aca="false">SUMIFS('Not Available'!$H:$H,'Not Available'!$F:$F,N$89,'Not Available'!$G:$G,"Soybean")</f>
        <v>7701450</v>
      </c>
      <c r="O90" s="6" t="n">
        <f aca="false">SUMIFS('Not Available'!$H:$H,'Not Available'!$F:$F,O$89,'Not Available'!$G:$G,"Soybean")</f>
        <v>7918750</v>
      </c>
      <c r="P90" s="6" t="n">
        <f aca="false">SUMIFS('Not Available'!$H:$H,'Not Available'!$F:$F,P$89,'Not Available'!$G:$G,"Soybean")</f>
        <v>6640100</v>
      </c>
      <c r="Q90" s="6" t="n">
        <f aca="false">SUMIFS('Not Available'!$H:$H,'Not Available'!$F:$F,Q$89,'Not Available'!$G:$G,"Soybean")</f>
        <v>6437850</v>
      </c>
      <c r="R90" s="6" t="n">
        <f aca="false">SUMIFS('Not Available'!$H:$H,'Not Available'!$F:$F,R$89,'Not Available'!$G:$G,"Soybean")</f>
        <v>766100</v>
      </c>
      <c r="S90" s="7" t="n">
        <f aca="false">SUM(B90:R90)</f>
        <v>88620406</v>
      </c>
    </row>
    <row r="91" customFormat="false" ht="15" hidden="false" customHeight="false" outlineLevel="0" collapsed="false">
      <c r="A91" s="5" t="s">
        <v>26</v>
      </c>
      <c r="B91" s="6" t="n">
        <f aca="false">SUMIFS(China!$H:$H,China!$F:$F,B$89,China!$G:$G,"Soybean")</f>
        <v>132000</v>
      </c>
      <c r="C91" s="6" t="n">
        <f aca="false">SUMIFS(China!$H:$H,China!$F:$F,C$89,China!$G:$G,"Soybean")</f>
        <v>3523000</v>
      </c>
      <c r="D91" s="6" t="n">
        <f aca="false">SUMIFS(China!$H:$H,China!$F:$F,D$89,China!$G:$G,"Soybean")</f>
        <v>2082000</v>
      </c>
      <c r="E91" s="6" t="n">
        <f aca="false">SUMIFS(China!$H:$H,China!$F:$F,E$89,China!$G:$G,"Soybean")</f>
        <v>3400000</v>
      </c>
      <c r="F91" s="6" t="n">
        <f aca="false">SUMIFS(China!$H:$H,China!$F:$F,F$89,China!$G:$G,"Soybean")</f>
        <v>0</v>
      </c>
      <c r="G91" s="6" t="n">
        <f aca="false">SUMIFS(China!$H:$H,China!$F:$F,G$89,China!$G:$G,"Soybean")</f>
        <v>5189000</v>
      </c>
      <c r="H91" s="6" t="n">
        <f aca="false">SUMIFS(China!$H:$H,China!$F:$F,H$89,China!$G:$G,"Soybean")</f>
        <v>10029570</v>
      </c>
      <c r="I91" s="6" t="n">
        <f aca="false">SUMIFS(China!$H:$H,China!$F:$F,I$89,China!$G:$G,"Soybean")</f>
        <v>8408000</v>
      </c>
      <c r="J91" s="6" t="n">
        <f aca="false">SUMIFS(China!$H:$H,China!$F:$F,J$89,China!$G:$G,"Soybean")</f>
        <v>10858000</v>
      </c>
      <c r="K91" s="6" t="n">
        <f aca="false">SUMIFS(China!$H:$H,China!$F:$F,K$89,China!$G:$G,"Soybean")</f>
        <v>14696000</v>
      </c>
      <c r="L91" s="6" t="n">
        <f aca="false">SUMIFS(China!$H:$H,China!$F:$F,L$89,China!$G:$G,"Soybean")</f>
        <v>8711000</v>
      </c>
      <c r="M91" s="6" t="n">
        <f aca="false">SUMIFS(China!$H:$H,China!$F:$F,M$89,China!$G:$G,"Soybean")</f>
        <v>9875000</v>
      </c>
      <c r="N91" s="6" t="n">
        <f aca="false">SUMIFS(China!$H:$H,China!$F:$F,N$89,China!$G:$G,"Soybean")</f>
        <v>4390700</v>
      </c>
      <c r="O91" s="6" t="n">
        <f aca="false">SUMIFS(China!$H:$H,China!$F:$F,O$89,China!$G:$G,"Soybean")</f>
        <v>6247000</v>
      </c>
      <c r="P91" s="6" t="n">
        <f aca="false">SUMIFS(China!$H:$H,China!$F:$F,P$89,China!$G:$G,"Soybean")</f>
        <v>3350000</v>
      </c>
      <c r="Q91" s="6" t="n">
        <f aca="false">SUMIFS(China!$H:$H,China!$F:$F,Q$89,China!$G:$G,"Soybean")</f>
        <v>10807000</v>
      </c>
      <c r="R91" s="6" t="n">
        <f aca="false">SUMIFS(China!$H:$H,China!$F:$F,R$89,China!$G:$G,"Soybean")</f>
        <v>1253000</v>
      </c>
      <c r="S91" s="7" t="n">
        <f aca="false">SUM(B91:R91)</f>
        <v>102951270</v>
      </c>
    </row>
    <row r="92" customFormat="false" ht="15" hidden="false" customHeight="false" outlineLevel="0" collapsed="false">
      <c r="A92" s="5" t="s">
        <v>27</v>
      </c>
      <c r="B92" s="6" t="n">
        <f aca="false">SUMIFS(Mexico!$H:$H,Mexico!$F:$F,B$89,Mexico!$G:$G,"Soybean")</f>
        <v>0</v>
      </c>
      <c r="C92" s="6" t="n">
        <f aca="false">SUMIFS(Mexico!$H:$H,Mexico!$F:$F,C$89,Mexico!$G:$G,"Soybean")</f>
        <v>0</v>
      </c>
      <c r="D92" s="6" t="n">
        <f aca="false">SUMIFS(Mexico!$H:$H,Mexico!$F:$F,D$89,Mexico!$G:$G,"Soybean")</f>
        <v>0</v>
      </c>
      <c r="E92" s="6" t="n">
        <f aca="false">SUMIFS(Mexico!$H:$H,Mexico!$F:$F,E$89,Mexico!$G:$G,"Soybean")</f>
        <v>0</v>
      </c>
      <c r="F92" s="6" t="n">
        <f aca="false">SUMIFS(Mexico!$H:$H,Mexico!$F:$F,F$89,Mexico!$G:$G,"Soybean")</f>
        <v>0</v>
      </c>
      <c r="G92" s="6" t="n">
        <f aca="false">SUMIFS(Mexico!$H:$H,Mexico!$F:$F,G$89,Mexico!$G:$G,"Soybean")</f>
        <v>380000</v>
      </c>
      <c r="H92" s="6" t="n">
        <f aca="false">SUMIFS(Mexico!$H:$H,Mexico!$F:$F,H$89,Mexico!$G:$G,"Soybean")</f>
        <v>254500</v>
      </c>
      <c r="I92" s="6" t="n">
        <f aca="false">SUMIFS(Mexico!$H:$H,Mexico!$F:$F,I$89,Mexico!$G:$G,"Soybean")</f>
        <v>1280216</v>
      </c>
      <c r="J92" s="6" t="n">
        <f aca="false">SUMIFS(Mexico!$H:$H,Mexico!$F:$F,J$89,Mexico!$G:$G,"Soybean")</f>
        <v>1324498</v>
      </c>
      <c r="K92" s="6" t="n">
        <f aca="false">SUMIFS(Mexico!$H:$H,Mexico!$F:$F,K$89,Mexico!$G:$G,"Soybean")</f>
        <v>1685577</v>
      </c>
      <c r="L92" s="6" t="n">
        <f aca="false">SUMIFS(Mexico!$H:$H,Mexico!$F:$F,L$89,Mexico!$G:$G,"Soybean")</f>
        <v>1187788</v>
      </c>
      <c r="M92" s="6" t="n">
        <f aca="false">SUMIFS(Mexico!$H:$H,Mexico!$F:$F,M$89,Mexico!$G:$G,"Soybean")</f>
        <v>1780882</v>
      </c>
      <c r="N92" s="6" t="n">
        <f aca="false">SUMIFS(Mexico!$H:$H,Mexico!$F:$F,N$89,Mexico!$G:$G,"Soybean")</f>
        <v>1066617</v>
      </c>
      <c r="O92" s="6" t="n">
        <f aca="false">SUMIFS(Mexico!$H:$H,Mexico!$F:$F,O$89,Mexico!$G:$G,"Soybean")</f>
        <v>959722</v>
      </c>
      <c r="P92" s="6" t="n">
        <f aca="false">SUMIFS(Mexico!$H:$H,Mexico!$F:$F,P$89,Mexico!$G:$G,"Soybean")</f>
        <v>1092016</v>
      </c>
      <c r="Q92" s="6" t="n">
        <f aca="false">SUMIFS(Mexico!$H:$H,Mexico!$F:$F,Q$89,Mexico!$G:$G,"Soybean")</f>
        <v>840158</v>
      </c>
      <c r="R92" s="6" t="n">
        <f aca="false">SUMIFS(Mexico!$H:$H,Mexico!$F:$F,R$89,Mexico!$G:$G,"Soybean")</f>
        <v>0</v>
      </c>
      <c r="S92" s="7" t="n">
        <f aca="false">SUM(B92:R92)</f>
        <v>11851974</v>
      </c>
    </row>
    <row r="93" customFormat="false" ht="15" hidden="false" customHeight="false" outlineLevel="0" collapsed="false">
      <c r="A93" s="5" t="s">
        <v>28</v>
      </c>
      <c r="B93" s="6" t="n">
        <f aca="false">SUMIFS(Japan!$H:$H,Japan!$F:$F,B$89,Japan!$G:$G,"Soybean")</f>
        <v>0</v>
      </c>
      <c r="C93" s="6" t="n">
        <f aca="false">SUMIFS(Japan!$H:$H,Japan!$F:$F,C$89,Japan!$G:$G,"Soybean")</f>
        <v>0</v>
      </c>
      <c r="D93" s="6" t="n">
        <f aca="false">SUMIFS(Japan!$H:$H,Japan!$F:$F,D$89,Japan!$G:$G,"Soybean")</f>
        <v>0</v>
      </c>
      <c r="E93" s="6" t="n">
        <f aca="false">SUMIFS(Japan!$H:$H,Japan!$F:$F,E$89,Japan!$G:$G,"Soybean")</f>
        <v>0</v>
      </c>
      <c r="F93" s="6" t="n">
        <f aca="false">SUMIFS(Japan!$H:$H,Japan!$F:$F,F$89,Japan!$G:$G,"Soybean")</f>
        <v>0</v>
      </c>
      <c r="G93" s="6" t="n">
        <f aca="false">SUMIFS(Japan!$H:$H,Japan!$F:$F,G$89,Japan!$G:$G,"Soybean")</f>
        <v>0</v>
      </c>
      <c r="H93" s="6" t="n">
        <f aca="false">SUMIFS(Japan!$H:$H,Japan!$F:$F,H$89,Japan!$G:$G,"Soybean")</f>
        <v>0</v>
      </c>
      <c r="I93" s="6" t="n">
        <f aca="false">SUMIFS(Japan!$H:$H,Japan!$F:$F,I$89,Japan!$G:$G,"Soybean")</f>
        <v>0</v>
      </c>
      <c r="J93" s="6" t="n">
        <f aca="false">SUMIFS(Japan!$H:$H,Japan!$F:$F,J$89,Japan!$G:$G,"Soybean")</f>
        <v>0</v>
      </c>
      <c r="K93" s="6" t="n">
        <f aca="false">SUMIFS(Japan!$H:$H,Japan!$F:$F,K$89,Japan!$G:$G,"Soybean")</f>
        <v>0</v>
      </c>
      <c r="L93" s="6" t="n">
        <f aca="false">SUMIFS(Japan!$H:$H,Japan!$F:$F,L$89,Japan!$G:$G,"Soybean")</f>
        <v>0</v>
      </c>
      <c r="M93" s="6" t="n">
        <f aca="false">SUMIFS(Japan!$H:$H,Japan!$F:$F,M$89,Japan!$G:$G,"Soybean")</f>
        <v>0</v>
      </c>
      <c r="N93" s="6" t="n">
        <f aca="false">SUMIFS(Japan!$H:$H,Japan!$F:$F,N$89,Japan!$G:$G,"Soybean")</f>
        <v>0</v>
      </c>
      <c r="O93" s="6" t="n">
        <f aca="false">SUMIFS(Japan!$H:$H,Japan!$F:$F,O$89,Japan!$G:$G,"Soybean")</f>
        <v>0</v>
      </c>
      <c r="P93" s="6" t="n">
        <f aca="false">SUMIFS(Japan!$H:$H,Japan!$F:$F,P$89,Japan!$G:$G,"Soybean")</f>
        <v>0</v>
      </c>
      <c r="Q93" s="6" t="n">
        <f aca="false">SUMIFS(Japan!$H:$H,Japan!$F:$F,Q$89,Japan!$G:$G,"Soybean")</f>
        <v>0</v>
      </c>
      <c r="R93" s="6" t="n">
        <f aca="false">SUMIFS(Japan!$H:$H,Japan!$F:$F,R$89,Japan!$G:$G,"Soybean")</f>
        <v>0</v>
      </c>
      <c r="S93" s="7" t="n">
        <f aca="false">SUM(B93:R93)</f>
        <v>0</v>
      </c>
    </row>
    <row r="94" customFormat="false" ht="15" hidden="false" customHeight="false" outlineLevel="0" collapsed="false">
      <c r="A94" s="5" t="s">
        <v>29</v>
      </c>
      <c r="B94" s="6" t="n">
        <f aca="false">SUMIFS('South Korea'!$H:$H,'South Korea'!$F:$F,B$89,'South Korea'!$G:$G,"Soybean")</f>
        <v>0</v>
      </c>
      <c r="C94" s="6" t="n">
        <f aca="false">SUMIFS('South Korea'!$H:$H,'South Korea'!$F:$F,C$89,'South Korea'!$G:$G,"Soybean")</f>
        <v>0</v>
      </c>
      <c r="D94" s="6" t="n">
        <f aca="false">SUMIFS('South Korea'!$H:$H,'South Korea'!$F:$F,D$89,'South Korea'!$G:$G,"Soybean")</f>
        <v>0</v>
      </c>
      <c r="E94" s="6" t="n">
        <f aca="false">SUMIFS('South Korea'!$H:$H,'South Korea'!$F:$F,E$89,'South Korea'!$G:$G,"Soybean")</f>
        <v>0</v>
      </c>
      <c r="F94" s="6" t="n">
        <f aca="false">SUMIFS('South Korea'!$H:$H,'South Korea'!$F:$F,F$89,'South Korea'!$G:$G,"Soybean")</f>
        <v>0</v>
      </c>
      <c r="G94" s="6" t="n">
        <f aca="false">SUMIFS('South Korea'!$H:$H,'South Korea'!$F:$F,G$89,'South Korea'!$G:$G,"Soybean")</f>
        <v>0</v>
      </c>
      <c r="H94" s="6" t="n">
        <f aca="false">SUMIFS('South Korea'!$H:$H,'South Korea'!$F:$F,H$89,'South Korea'!$G:$G,"Soybean")</f>
        <v>0</v>
      </c>
      <c r="I94" s="6" t="n">
        <f aca="false">SUMIFS('South Korea'!$H:$H,'South Korea'!$F:$F,I$89,'South Korea'!$G:$G,"Soybean")</f>
        <v>0</v>
      </c>
      <c r="J94" s="6" t="n">
        <f aca="false">SUMIFS('South Korea'!$H:$H,'South Korea'!$F:$F,J$89,'South Korea'!$G:$G,"Soybean")</f>
        <v>0</v>
      </c>
      <c r="K94" s="6" t="n">
        <f aca="false">SUMIFS('South Korea'!$H:$H,'South Korea'!$F:$F,K$89,'South Korea'!$G:$G,"Soybean")</f>
        <v>0</v>
      </c>
      <c r="L94" s="6" t="n">
        <f aca="false">SUMIFS('South Korea'!$H:$H,'South Korea'!$F:$F,L$89,'South Korea'!$G:$G,"Soybean")</f>
        <v>0</v>
      </c>
      <c r="M94" s="6" t="n">
        <f aca="false">SUMIFS('South Korea'!$H:$H,'South Korea'!$F:$F,M$89,'South Korea'!$G:$G,"Soybean")</f>
        <v>0</v>
      </c>
      <c r="N94" s="6" t="n">
        <f aca="false">SUMIFS('South Korea'!$H:$H,'South Korea'!$F:$F,N$89,'South Korea'!$G:$G,"Soybean")</f>
        <v>0</v>
      </c>
      <c r="O94" s="6" t="n">
        <f aca="false">SUMIFS('South Korea'!$H:$H,'South Korea'!$F:$F,O$89,'South Korea'!$G:$G,"Soybean")</f>
        <v>0</v>
      </c>
      <c r="P94" s="6" t="n">
        <f aca="false">SUMIFS('South Korea'!$H:$H,'South Korea'!$F:$F,P$89,'South Korea'!$G:$G,"Soybean")</f>
        <v>0</v>
      </c>
      <c r="Q94" s="6" t="n">
        <f aca="false">SUMIFS('South Korea'!$H:$H,'South Korea'!$F:$F,Q$89,'South Korea'!$G:$G,"Soybean")</f>
        <v>0</v>
      </c>
      <c r="R94" s="6" t="n">
        <f aca="false">SUMIFS('South Korea'!$H:$H,'South Korea'!$F:$F,R$89,'South Korea'!$G:$G,"Soybean")</f>
        <v>0</v>
      </c>
      <c r="S94" s="7" t="n">
        <f aca="false">SUM(B94:R94)</f>
        <v>0</v>
      </c>
    </row>
    <row r="95" customFormat="false" ht="15" hidden="false" customHeight="false" outlineLevel="0" collapsed="false">
      <c r="A95" s="5" t="s">
        <v>30</v>
      </c>
      <c r="B95" s="6" t="n">
        <f aca="false">SUMIFS(Colombia!$H:$H,Colombia!$F:$F,B$89,Colombia!$G:$G,"Soybean")</f>
        <v>0</v>
      </c>
      <c r="C95" s="6" t="n">
        <f aca="false">SUMIFS(Colombia!$H:$H,Colombia!$F:$F,C$89,Colombia!$G:$G,"Soybean")</f>
        <v>0</v>
      </c>
      <c r="D95" s="6" t="n">
        <f aca="false">SUMIFS(Colombia!$H:$H,Colombia!$F:$F,D$89,Colombia!$G:$G,"Soybean")</f>
        <v>0</v>
      </c>
      <c r="E95" s="6" t="n">
        <f aca="false">SUMIFS(Colombia!$H:$H,Colombia!$F:$F,E$89,Colombia!$G:$G,"Soybean")</f>
        <v>0</v>
      </c>
      <c r="F95" s="6" t="n">
        <f aca="false">SUMIFS(Colombia!$H:$H,Colombia!$F:$F,F$89,Colombia!$G:$G,"Soybean")</f>
        <v>0</v>
      </c>
      <c r="G95" s="6" t="n">
        <f aca="false">SUMIFS(Colombia!$H:$H,Colombia!$F:$F,G$89,Colombia!$G:$G,"Soybean")</f>
        <v>0</v>
      </c>
      <c r="H95" s="6" t="n">
        <f aca="false">SUMIFS(Colombia!$H:$H,Colombia!$F:$F,H$89,Colombia!$G:$G,"Soybean")</f>
        <v>0</v>
      </c>
      <c r="I95" s="6" t="n">
        <f aca="false">SUMIFS(Colombia!$H:$H,Colombia!$F:$F,I$89,Colombia!$G:$G,"Soybean")</f>
        <v>0</v>
      </c>
      <c r="J95" s="6" t="n">
        <f aca="false">SUMIFS(Colombia!$H:$H,Colombia!$F:$F,J$89,Colombia!$G:$G,"Soybean")</f>
        <v>0</v>
      </c>
      <c r="K95" s="6" t="n">
        <f aca="false">SUMIFS(Colombia!$H:$H,Colombia!$F:$F,K$89,Colombia!$G:$G,"Soybean")</f>
        <v>0</v>
      </c>
      <c r="L95" s="6" t="n">
        <f aca="false">SUMIFS(Colombia!$H:$H,Colombia!$F:$F,L$89,Colombia!$G:$G,"Soybean")</f>
        <v>0</v>
      </c>
      <c r="M95" s="6" t="n">
        <f aca="false">SUMIFS(Colombia!$H:$H,Colombia!$F:$F,M$89,Colombia!$G:$G,"Soybean")</f>
        <v>0</v>
      </c>
      <c r="N95" s="6" t="n">
        <f aca="false">SUMIFS(Colombia!$H:$H,Colombia!$F:$F,N$89,Colombia!$G:$G,"Soybean")</f>
        <v>0</v>
      </c>
      <c r="O95" s="6" t="n">
        <f aca="false">SUMIFS(Colombia!$H:$H,Colombia!$F:$F,O$89,Colombia!$G:$G,"Soybean")</f>
        <v>188000</v>
      </c>
      <c r="P95" s="6" t="n">
        <f aca="false">SUMIFS(Colombia!$H:$H,Colombia!$F:$F,P$89,Colombia!$G:$G,"Soybean")</f>
        <v>0</v>
      </c>
      <c r="Q95" s="6" t="n">
        <f aca="false">SUMIFS(Colombia!$H:$H,Colombia!$F:$F,Q$89,Colombia!$G:$G,"Soybean")</f>
        <v>0</v>
      </c>
      <c r="R95" s="6" t="n">
        <f aca="false">SUMIFS(Colombia!$H:$H,Colombia!$F:$F,R$89,Colombia!$G:$G,"Soybean")</f>
        <v>0</v>
      </c>
      <c r="S95" s="7" t="n">
        <f aca="false">SUM(B95:R95)</f>
        <v>188000</v>
      </c>
    </row>
    <row r="96" customFormat="false" ht="15" hidden="false" customHeight="false" outlineLevel="0" collapsed="false">
      <c r="A96" s="5" t="s">
        <v>31</v>
      </c>
      <c r="B96" s="6" t="n">
        <f aca="false">SUMIFS(Egypt!$H:$H,Egypt!$F:$F,B$89,Egypt!$G:$G,"Soybean")</f>
        <v>0</v>
      </c>
      <c r="C96" s="6" t="n">
        <f aca="false">SUMIFS(Egypt!$H:$H,Egypt!$F:$F,C$89,Egypt!$G:$G,"Soybean")</f>
        <v>0</v>
      </c>
      <c r="D96" s="6" t="n">
        <f aca="false">SUMIFS(Egypt!$H:$H,Egypt!$F:$F,D$89,Egypt!$G:$G,"Soybean")</f>
        <v>0</v>
      </c>
      <c r="E96" s="6" t="n">
        <f aca="false">SUMIFS(Egypt!$H:$H,Egypt!$F:$F,E$89,Egypt!$G:$G,"Soybean")</f>
        <v>234000</v>
      </c>
      <c r="F96" s="6" t="n">
        <f aca="false">SUMIFS(Egypt!$H:$H,Egypt!$F:$F,F$89,Egypt!$G:$G,"Soybean")</f>
        <v>0</v>
      </c>
      <c r="G96" s="6" t="n">
        <f aca="false">SUMIFS(Egypt!$H:$H,Egypt!$F:$F,G$89,Egypt!$G:$G,"Soybean")</f>
        <v>0</v>
      </c>
      <c r="H96" s="6" t="n">
        <f aca="false">SUMIFS(Egypt!$H:$H,Egypt!$F:$F,H$89,Egypt!$G:$G,"Soybean")</f>
        <v>0</v>
      </c>
      <c r="I96" s="6" t="n">
        <f aca="false">SUMIFS(Egypt!$H:$H,Egypt!$F:$F,I$89,Egypt!$G:$G,"Soybean")</f>
        <v>120000</v>
      </c>
      <c r="J96" s="6" t="n">
        <f aca="false">SUMIFS(Egypt!$H:$H,Egypt!$F:$F,J$89,Egypt!$G:$G,"Soybean")</f>
        <v>110000</v>
      </c>
      <c r="K96" s="6" t="n">
        <f aca="false">SUMIFS(Egypt!$H:$H,Egypt!$F:$F,K$89,Egypt!$G:$G,"Soybean")</f>
        <v>130000</v>
      </c>
      <c r="L96" s="6" t="n">
        <f aca="false">SUMIFS(Egypt!$H:$H,Egypt!$F:$F,L$89,Egypt!$G:$G,"Soybean")</f>
        <v>230000</v>
      </c>
      <c r="M96" s="6" t="n">
        <f aca="false">SUMIFS(Egypt!$H:$H,Egypt!$F:$F,M$89,Egypt!$G:$G,"Soybean")</f>
        <v>230000</v>
      </c>
      <c r="N96" s="6" t="n">
        <f aca="false">SUMIFS(Egypt!$H:$H,Egypt!$F:$F,N$89,Egypt!$G:$G,"Soybean")</f>
        <v>0</v>
      </c>
      <c r="O96" s="6" t="n">
        <f aca="false">SUMIFS(Egypt!$H:$H,Egypt!$F:$F,O$89,Egypt!$G:$G,"Soybean")</f>
        <v>0</v>
      </c>
      <c r="P96" s="6" t="n">
        <f aca="false">SUMIFS(Egypt!$H:$H,Egypt!$F:$F,P$89,Egypt!$G:$G,"Soybean")</f>
        <v>110000</v>
      </c>
      <c r="Q96" s="6" t="n">
        <f aca="false">SUMIFS(Egypt!$H:$H,Egypt!$F:$F,Q$89,Egypt!$G:$G,"Soybean")</f>
        <v>338000</v>
      </c>
      <c r="R96" s="6" t="n">
        <f aca="false">SUMIFS(Egypt!$H:$H,Egypt!$F:$F,R$89,Egypt!$G:$G,"Soybean")</f>
        <v>0</v>
      </c>
      <c r="S96" s="7" t="n">
        <f aca="false">SUM(B96:R96)</f>
        <v>1502000</v>
      </c>
    </row>
    <row r="97" customFormat="false" ht="15" hidden="false" customHeight="false" outlineLevel="0" collapsed="false">
      <c r="A97" s="5" t="s">
        <v>32</v>
      </c>
      <c r="B97" s="6" t="n">
        <f aca="false">SUMIFS(Spain!$H:$H,Spain!$F:$F,B$89,Spain!$G:$G,"Soybean")</f>
        <v>0</v>
      </c>
      <c r="C97" s="6" t="n">
        <f aca="false">SUMIFS(Spain!$H:$H,Spain!$F:$F,C$89,Spain!$G:$G,"Soybean")</f>
        <v>0</v>
      </c>
      <c r="D97" s="6" t="n">
        <f aca="false">SUMIFS(Spain!$H:$H,Spain!$F:$F,D$89,Spain!$G:$G,"Soybean")</f>
        <v>0</v>
      </c>
      <c r="E97" s="6" t="n">
        <f aca="false">SUMIFS(Spain!$H:$H,Spain!$F:$F,E$89,Spain!$G:$G,"Soybean")</f>
        <v>0</v>
      </c>
      <c r="F97" s="6" t="n">
        <f aca="false">SUMIFS(Spain!$H:$H,Spain!$F:$F,F$89,Spain!$G:$G,"Soybean")</f>
        <v>0</v>
      </c>
      <c r="G97" s="6" t="n">
        <f aca="false">SUMIFS(Spain!$H:$H,Spain!$F:$F,G$89,Spain!$G:$G,"Soybean")</f>
        <v>0</v>
      </c>
      <c r="H97" s="6" t="n">
        <f aca="false">SUMIFS(Spain!$H:$H,Spain!$F:$F,H$89,Spain!$G:$G,"Soybean")</f>
        <v>0</v>
      </c>
      <c r="I97" s="6" t="n">
        <f aca="false">SUMIFS(Spain!$H:$H,Spain!$F:$F,I$89,Spain!$G:$G,"Soybean")</f>
        <v>0</v>
      </c>
      <c r="J97" s="6" t="n">
        <f aca="false">SUMIFS(Spain!$H:$H,Spain!$F:$F,J$89,Spain!$G:$G,"Soybean")</f>
        <v>0</v>
      </c>
      <c r="K97" s="6" t="n">
        <f aca="false">SUMIFS(Spain!$H:$H,Spain!$F:$F,K$89,Spain!$G:$G,"Soybean")</f>
        <v>0</v>
      </c>
      <c r="L97" s="6" t="n">
        <f aca="false">SUMIFS(Spain!$H:$H,Spain!$F:$F,L$89,Spain!$G:$G,"Soybean")</f>
        <v>0</v>
      </c>
      <c r="M97" s="6" t="n">
        <f aca="false">SUMIFS(Spain!$H:$H,Spain!$F:$F,M$89,Spain!$G:$G,"Soybean")</f>
        <v>0</v>
      </c>
      <c r="N97" s="6" t="n">
        <f aca="false">SUMIFS(Spain!$H:$H,Spain!$F:$F,N$89,Spain!$G:$G,"Soybean")</f>
        <v>363000</v>
      </c>
      <c r="O97" s="6" t="n">
        <f aca="false">SUMIFS(Spain!$H:$H,Spain!$F:$F,O$89,Spain!$G:$G,"Soybean")</f>
        <v>0</v>
      </c>
      <c r="P97" s="6" t="n">
        <f aca="false">SUMIFS(Spain!$H:$H,Spain!$F:$F,P$89,Spain!$G:$G,"Soybean")</f>
        <v>187000</v>
      </c>
      <c r="Q97" s="6" t="n">
        <f aca="false">SUMIFS(Spain!$H:$H,Spain!$F:$F,Q$89,Spain!$G:$G,"Soybean")</f>
        <v>0</v>
      </c>
      <c r="R97" s="6" t="n">
        <f aca="false">SUMIFS(Spain!$H:$H,Spain!$F:$F,R$89,Spain!$G:$G,"Soybean")</f>
        <v>0</v>
      </c>
      <c r="S97" s="7" t="n">
        <f aca="false">SUM(B97:R97)</f>
        <v>550000</v>
      </c>
    </row>
    <row r="98" customFormat="false" ht="15" hidden="false" customHeight="false" outlineLevel="0" collapsed="false">
      <c r="A98" s="5" t="s">
        <v>33</v>
      </c>
      <c r="B98" s="6" t="n">
        <f aca="false">SUMIFS(Taiwan!$H:$H,Taiwan!$F:$F,B$89,Taiwan!$G:$G,"Soybean")</f>
        <v>0</v>
      </c>
      <c r="C98" s="6" t="n">
        <f aca="false">SUMIFS(Taiwan!$H:$H,Taiwan!$F:$F,C$89,Taiwan!$G:$G,"Soybean")</f>
        <v>0</v>
      </c>
      <c r="D98" s="6" t="n">
        <f aca="false">SUMIFS(Taiwan!$H:$H,Taiwan!$F:$F,D$89,Taiwan!$G:$G,"Soybean")</f>
        <v>0</v>
      </c>
      <c r="E98" s="6" t="n">
        <f aca="false">SUMIFS(Taiwan!$H:$H,Taiwan!$F:$F,E$89,Taiwan!$G:$G,"Soybean")</f>
        <v>120000</v>
      </c>
      <c r="F98" s="6" t="n">
        <f aca="false">SUMIFS(Taiwan!$H:$H,Taiwan!$F:$F,F$89,Taiwan!$G:$G,"Soybean")</f>
        <v>0</v>
      </c>
      <c r="G98" s="6" t="n">
        <f aca="false">SUMIFS(Taiwan!$H:$H,Taiwan!$F:$F,G$89,Taiwan!$G:$G,"Soybean")</f>
        <v>0</v>
      </c>
      <c r="H98" s="6" t="n">
        <f aca="false">SUMIFS(Taiwan!$H:$H,Taiwan!$F:$F,H$89,Taiwan!$G:$G,"Soybean")</f>
        <v>118000</v>
      </c>
      <c r="I98" s="6" t="n">
        <f aca="false">SUMIFS(Taiwan!$H:$H,Taiwan!$F:$F,I$89,Taiwan!$G:$G,"Soybean")</f>
        <v>0</v>
      </c>
      <c r="J98" s="6" t="n">
        <f aca="false">SUMIFS(Taiwan!$H:$H,Taiwan!$F:$F,J$89,Taiwan!$G:$G,"Soybean")</f>
        <v>0</v>
      </c>
      <c r="K98" s="6" t="n">
        <f aca="false">SUMIFS(Taiwan!$H:$H,Taiwan!$F:$F,K$89,Taiwan!$G:$G,"Soybean")</f>
        <v>0</v>
      </c>
      <c r="L98" s="6" t="n">
        <f aca="false">SUMIFS(Taiwan!$H:$H,Taiwan!$F:$F,L$89,Taiwan!$G:$G,"Soybean")</f>
        <v>0</v>
      </c>
      <c r="M98" s="6" t="n">
        <f aca="false">SUMIFS(Taiwan!$H:$H,Taiwan!$F:$F,M$89,Taiwan!$G:$G,"Soybean")</f>
        <v>0</v>
      </c>
      <c r="N98" s="6" t="n">
        <f aca="false">SUMIFS(Taiwan!$H:$H,Taiwan!$F:$F,N$89,Taiwan!$G:$G,"Soybean")</f>
        <v>104000</v>
      </c>
      <c r="O98" s="6" t="n">
        <f aca="false">SUMIFS(Taiwan!$H:$H,Taiwan!$F:$F,O$89,Taiwan!$G:$G,"Soybean")</f>
        <v>0</v>
      </c>
      <c r="P98" s="6" t="n">
        <f aca="false">SUMIFS(Taiwan!$H:$H,Taiwan!$F:$F,P$89,Taiwan!$G:$G,"Soybean")</f>
        <v>0</v>
      </c>
      <c r="Q98" s="6" t="n">
        <f aca="false">SUMIFS(Taiwan!$H:$H,Taiwan!$F:$F,Q$89,Taiwan!$G:$G,"Soybean")</f>
        <v>0</v>
      </c>
      <c r="R98" s="6" t="n">
        <f aca="false">SUMIFS(Taiwan!$H:$H,Taiwan!$F:$F,R$89,Taiwan!$G:$G,"Soybean")</f>
        <v>0</v>
      </c>
      <c r="S98" s="7" t="n">
        <f aca="false">SUM(B98:R98)</f>
        <v>342000</v>
      </c>
    </row>
    <row r="99" customFormat="false" ht="15" hidden="false" customHeight="false" outlineLevel="0" collapsed="false">
      <c r="A99" s="5" t="s">
        <v>34</v>
      </c>
      <c r="B99" s="6" t="n">
        <f aca="false">SUMIFS('Costa Rica'!$H:$H,'Costa Rica'!$F:$F,B$89,'Costa Rica'!$G:$G,"Soybean")</f>
        <v>0</v>
      </c>
      <c r="C99" s="6" t="n">
        <f aca="false">SUMIFS('Costa Rica'!$H:$H,'Costa Rica'!$F:$F,C$89,'Costa Rica'!$G:$G,"Soybean")</f>
        <v>0</v>
      </c>
      <c r="D99" s="6" t="n">
        <f aca="false">SUMIFS('Costa Rica'!$H:$H,'Costa Rica'!$F:$F,D$89,'Costa Rica'!$G:$G,"Soybean")</f>
        <v>0</v>
      </c>
      <c r="E99" s="6" t="n">
        <f aca="false">SUMIFS('Costa Rica'!$H:$H,'Costa Rica'!$F:$F,E$89,'Costa Rica'!$G:$G,"Soybean")</f>
        <v>0</v>
      </c>
      <c r="F99" s="6" t="n">
        <f aca="false">SUMIFS('Costa Rica'!$H:$H,'Costa Rica'!$F:$F,F$89,'Costa Rica'!$G:$G,"Soybean")</f>
        <v>0</v>
      </c>
      <c r="G99" s="6" t="n">
        <f aca="false">SUMIFS('Costa Rica'!$H:$H,'Costa Rica'!$F:$F,G$89,'Costa Rica'!$G:$G,"Soybean")</f>
        <v>0</v>
      </c>
      <c r="H99" s="6" t="n">
        <f aca="false">SUMIFS('Costa Rica'!$H:$H,'Costa Rica'!$F:$F,H$89,'Costa Rica'!$G:$G,"Soybean")</f>
        <v>0</v>
      </c>
      <c r="I99" s="6" t="n">
        <f aca="false">SUMIFS('Costa Rica'!$H:$H,'Costa Rica'!$F:$F,I$89,'Costa Rica'!$G:$G,"Soybean")</f>
        <v>0</v>
      </c>
      <c r="J99" s="6" t="n">
        <f aca="false">SUMIFS('Costa Rica'!$H:$H,'Costa Rica'!$F:$F,J$89,'Costa Rica'!$G:$G,"Soybean")</f>
        <v>0</v>
      </c>
      <c r="K99" s="6" t="n">
        <f aca="false">SUMIFS('Costa Rica'!$H:$H,'Costa Rica'!$F:$F,K$89,'Costa Rica'!$G:$G,"Soybean")</f>
        <v>0</v>
      </c>
      <c r="L99" s="6" t="n">
        <f aca="false">SUMIFS('Costa Rica'!$H:$H,'Costa Rica'!$F:$F,L$89,'Costa Rica'!$G:$G,"Soybean")</f>
        <v>0</v>
      </c>
      <c r="M99" s="6" t="n">
        <f aca="false">SUMIFS('Costa Rica'!$H:$H,'Costa Rica'!$F:$F,M$89,'Costa Rica'!$G:$G,"Soybean")</f>
        <v>0</v>
      </c>
      <c r="N99" s="6" t="n">
        <f aca="false">SUMIFS('Costa Rica'!$H:$H,'Costa Rica'!$F:$F,N$89,'Costa Rica'!$G:$G,"Soybean")</f>
        <v>0</v>
      </c>
      <c r="O99" s="6" t="n">
        <f aca="false">SUMIFS('Costa Rica'!$H:$H,'Costa Rica'!$F:$F,O$89,'Costa Rica'!$G:$G,"Soybean")</f>
        <v>0</v>
      </c>
      <c r="P99" s="6" t="n">
        <f aca="false">SUMIFS('Costa Rica'!$H:$H,'Costa Rica'!$F:$F,P$89,'Costa Rica'!$G:$G,"Soybean")</f>
        <v>0</v>
      </c>
      <c r="Q99" s="6" t="n">
        <f aca="false">SUMIFS('Costa Rica'!$H:$H,'Costa Rica'!$F:$F,Q$89,'Costa Rica'!$G:$G,"Soybean")</f>
        <v>0</v>
      </c>
      <c r="R99" s="6" t="n">
        <f aca="false">SUMIFS('Costa Rica'!$H:$H,'Costa Rica'!$F:$F,R$89,'Costa Rica'!$G:$G,"Soybean")</f>
        <v>0</v>
      </c>
      <c r="S99" s="7" t="n">
        <f aca="false">SUM(B99:R99)</f>
        <v>0</v>
      </c>
    </row>
    <row r="100" customFormat="false" ht="15" hidden="false" customHeight="false" outlineLevel="0" collapsed="false">
      <c r="A100" s="5" t="s">
        <v>35</v>
      </c>
      <c r="B100" s="6" t="n">
        <f aca="false">SUMIFS(Guatemala!$H:$H,Guatemala!$F:$F,B$89,Guatemala!$G:$G,"Soybean")</f>
        <v>0</v>
      </c>
      <c r="C100" s="6" t="n">
        <f aca="false">SUMIFS(Guatemala!$H:$H,Guatemala!$F:$F,C$89,Guatemala!$G:$G,"Soybean")</f>
        <v>0</v>
      </c>
      <c r="D100" s="6" t="n">
        <f aca="false">SUMIFS(Guatemala!$H:$H,Guatemala!$F:$F,D$89,Guatemala!$G:$G,"Soybean")</f>
        <v>0</v>
      </c>
      <c r="E100" s="6" t="n">
        <f aca="false">SUMIFS(Guatemala!$H:$H,Guatemala!$F:$F,E$89,Guatemala!$G:$G,"Soybean")</f>
        <v>0</v>
      </c>
      <c r="F100" s="6" t="n">
        <f aca="false">SUMIFS(Guatemala!$H:$H,Guatemala!$F:$F,F$89,Guatemala!$G:$G,"Soybean")</f>
        <v>0</v>
      </c>
      <c r="G100" s="6" t="n">
        <f aca="false">SUMIFS(Guatemala!$H:$H,Guatemala!$F:$F,G$89,Guatemala!$G:$G,"Soybean")</f>
        <v>0</v>
      </c>
      <c r="H100" s="6" t="n">
        <f aca="false">SUMIFS(Guatemala!$H:$H,Guatemala!$F:$F,H$89,Guatemala!$G:$G,"Soybean")</f>
        <v>0</v>
      </c>
      <c r="I100" s="6" t="n">
        <f aca="false">SUMIFS(Guatemala!$H:$H,Guatemala!$F:$F,I$89,Guatemala!$G:$G,"Soybean")</f>
        <v>0</v>
      </c>
      <c r="J100" s="6" t="n">
        <f aca="false">SUMIFS(Guatemala!$H:$H,Guatemala!$F:$F,J$89,Guatemala!$G:$G,"Soybean")</f>
        <v>0</v>
      </c>
      <c r="K100" s="6" t="n">
        <f aca="false">SUMIFS(Guatemala!$H:$H,Guatemala!$F:$F,K$89,Guatemala!$G:$G,"Soybean")</f>
        <v>0</v>
      </c>
      <c r="L100" s="6" t="n">
        <f aca="false">SUMIFS(Guatemala!$H:$H,Guatemala!$F:$F,L$89,Guatemala!$G:$G,"Soybean")</f>
        <v>0</v>
      </c>
      <c r="M100" s="6" t="n">
        <f aca="false">SUMIFS(Guatemala!$H:$H,Guatemala!$F:$F,M$89,Guatemala!$G:$G,"Soybean")</f>
        <v>0</v>
      </c>
      <c r="N100" s="6" t="n">
        <f aca="false">SUMIFS(Guatemala!$H:$H,Guatemala!$F:$F,N$89,Guatemala!$G:$G,"Soybean")</f>
        <v>0</v>
      </c>
      <c r="O100" s="6" t="n">
        <f aca="false">SUMIFS(Guatemala!$H:$H,Guatemala!$F:$F,O$89,Guatemala!$G:$G,"Soybean")</f>
        <v>0</v>
      </c>
      <c r="P100" s="6" t="n">
        <f aca="false">SUMIFS(Guatemala!$H:$H,Guatemala!$F:$F,P$89,Guatemala!$G:$G,"Soybean")</f>
        <v>0</v>
      </c>
      <c r="Q100" s="6" t="n">
        <f aca="false">SUMIFS(Guatemala!$H:$H,Guatemala!$F:$F,Q$89,Guatemala!$G:$G,"Soybean")</f>
        <v>0</v>
      </c>
      <c r="R100" s="6" t="n">
        <f aca="false">SUMIFS(Guatemala!$H:$H,Guatemala!$F:$F,R$89,Guatemala!$G:$G,"Soybean")</f>
        <v>0</v>
      </c>
      <c r="S100" s="7" t="n">
        <f aca="false">SUM(B100:R100)</f>
        <v>0</v>
      </c>
    </row>
    <row r="101" customFormat="false" ht="15" hidden="false" customHeight="false" outlineLevel="0" collapsed="false">
      <c r="A101" s="5" t="s">
        <v>36</v>
      </c>
      <c r="B101" s="6" t="n">
        <f aca="false">SUMIFS('Saudi Arabia'!$H:$H,'Saudi Arabia'!$F:$F,B$89,'Saudi Arabia'!$G:$G,"Soybean")</f>
        <v>0</v>
      </c>
      <c r="C101" s="6" t="n">
        <f aca="false">SUMIFS('Saudi Arabia'!$H:$H,'Saudi Arabia'!$F:$F,C$89,'Saudi Arabia'!$G:$G,"Soybean")</f>
        <v>0</v>
      </c>
      <c r="D101" s="6" t="n">
        <f aca="false">SUMIFS('Saudi Arabia'!$H:$H,'Saudi Arabia'!$F:$F,D$89,'Saudi Arabia'!$G:$G,"Soybean")</f>
        <v>0</v>
      </c>
      <c r="E101" s="6" t="n">
        <f aca="false">SUMIFS('Saudi Arabia'!$H:$H,'Saudi Arabia'!$F:$F,E$89,'Saudi Arabia'!$G:$G,"Soybean")</f>
        <v>0</v>
      </c>
      <c r="F101" s="6" t="n">
        <f aca="false">SUMIFS('Saudi Arabia'!$H:$H,'Saudi Arabia'!$F:$F,F$89,'Saudi Arabia'!$G:$G,"Soybean")</f>
        <v>0</v>
      </c>
      <c r="G101" s="6" t="n">
        <f aca="false">SUMIFS('Saudi Arabia'!$H:$H,'Saudi Arabia'!$F:$F,G$89,'Saudi Arabia'!$G:$G,"Soybean")</f>
        <v>0</v>
      </c>
      <c r="H101" s="6" t="n">
        <f aca="false">SUMIFS('Saudi Arabia'!$H:$H,'Saudi Arabia'!$F:$F,H$89,'Saudi Arabia'!$G:$G,"Soybean")</f>
        <v>0</v>
      </c>
      <c r="I101" s="6" t="n">
        <f aca="false">SUMIFS('Saudi Arabia'!$H:$H,'Saudi Arabia'!$F:$F,I$89,'Saudi Arabia'!$G:$G,"Soybean")</f>
        <v>0</v>
      </c>
      <c r="J101" s="6" t="n">
        <f aca="false">SUMIFS('Saudi Arabia'!$H:$H,'Saudi Arabia'!$F:$F,J$89,'Saudi Arabia'!$G:$G,"Soybean")</f>
        <v>0</v>
      </c>
      <c r="K101" s="6" t="n">
        <f aca="false">SUMIFS('Saudi Arabia'!$H:$H,'Saudi Arabia'!$F:$F,K$89,'Saudi Arabia'!$G:$G,"Soybean")</f>
        <v>66000</v>
      </c>
      <c r="L101" s="6" t="n">
        <f aca="false">SUMIFS('Saudi Arabia'!$H:$H,'Saudi Arabia'!$F:$F,L$89,'Saudi Arabia'!$G:$G,"Soybean")</f>
        <v>0</v>
      </c>
      <c r="M101" s="6" t="n">
        <f aca="false">SUMIFS('Saudi Arabia'!$H:$H,'Saudi Arabia'!$F:$F,M$89,'Saudi Arabia'!$G:$G,"Soybean")</f>
        <v>0</v>
      </c>
      <c r="N101" s="6" t="n">
        <f aca="false">SUMIFS('Saudi Arabia'!$H:$H,'Saudi Arabia'!$F:$F,N$89,'Saudi Arabia'!$G:$G,"Soybean")</f>
        <v>0</v>
      </c>
      <c r="O101" s="6" t="n">
        <f aca="false">SUMIFS('Saudi Arabia'!$H:$H,'Saudi Arabia'!$F:$F,O$89,'Saudi Arabia'!$G:$G,"Soybean")</f>
        <v>0</v>
      </c>
      <c r="P101" s="6" t="n">
        <f aca="false">SUMIFS('Saudi Arabia'!$H:$H,'Saudi Arabia'!$F:$F,P$89,'Saudi Arabia'!$G:$G,"Soybean")</f>
        <v>0</v>
      </c>
      <c r="Q101" s="6" t="n">
        <f aca="false">SUMIFS('Saudi Arabia'!$H:$H,'Saudi Arabia'!$F:$F,Q$89,'Saudi Arabia'!$G:$G,"Soybean")</f>
        <v>0</v>
      </c>
      <c r="R101" s="6" t="n">
        <f aca="false">SUMIFS('Saudi Arabia'!$H:$H,'Saudi Arabia'!$F:$F,R$89,'Saudi Arabia'!$G:$G,"Soybean")</f>
        <v>0</v>
      </c>
      <c r="S101" s="7" t="n">
        <f aca="false">SUM(B101:R101)</f>
        <v>66000</v>
      </c>
    </row>
    <row r="102" customFormat="false" ht="15" hidden="false" customHeight="false" outlineLevel="0" collapsed="false">
      <c r="A102" s="5" t="s">
        <v>37</v>
      </c>
      <c r="B102" s="6" t="n">
        <f aca="false">SUMIFS(Argentina!$H:$H,Argentina!$F:$F,B$89,Argentina!$G:$G,"Soybean")</f>
        <v>0</v>
      </c>
      <c r="C102" s="6" t="n">
        <f aca="false">SUMIFS(Argentina!$H:$H,Argentina!$F:$F,C$89,Argentina!$G:$G,"Soybean")</f>
        <v>0</v>
      </c>
      <c r="D102" s="6" t="n">
        <f aca="false">SUMIFS(Argentina!$H:$H,Argentina!$F:$F,D$89,Argentina!$G:$G,"Soybean")</f>
        <v>0</v>
      </c>
      <c r="E102" s="6" t="n">
        <f aca="false">SUMIFS(Argentina!$H:$H,Argentina!$F:$F,E$89,Argentina!$G:$G,"Soybean")</f>
        <v>0</v>
      </c>
      <c r="F102" s="6" t="n">
        <f aca="false">SUMIFS(Argentina!$H:$H,Argentina!$F:$F,F$89,Argentina!$G:$G,"Soybean")</f>
        <v>0</v>
      </c>
      <c r="G102" s="6" t="n">
        <f aca="false">SUMIFS(Argentina!$H:$H,Argentina!$F:$F,G$89,Argentina!$G:$G,"Soybean")</f>
        <v>0</v>
      </c>
      <c r="H102" s="6" t="n">
        <f aca="false">SUMIFS(Argentina!$H:$H,Argentina!$F:$F,H$89,Argentina!$G:$G,"Soybean")</f>
        <v>0</v>
      </c>
      <c r="I102" s="6" t="n">
        <f aca="false">SUMIFS(Argentina!$H:$H,Argentina!$F:$F,I$89,Argentina!$G:$G,"Soybean")</f>
        <v>490000</v>
      </c>
      <c r="J102" s="6" t="n">
        <f aca="false">SUMIFS(Argentina!$H:$H,Argentina!$F:$F,J$89,Argentina!$G:$G,"Soybean")</f>
        <v>0</v>
      </c>
      <c r="K102" s="6" t="n">
        <f aca="false">SUMIFS(Argentina!$H:$H,Argentina!$F:$F,K$89,Argentina!$G:$G,"Soybean")</f>
        <v>0</v>
      </c>
      <c r="L102" s="6" t="n">
        <f aca="false">SUMIFS(Argentina!$H:$H,Argentina!$F:$F,L$89,Argentina!$G:$G,"Soybean")</f>
        <v>0</v>
      </c>
      <c r="M102" s="6" t="n">
        <f aca="false">SUMIFS(Argentina!$H:$H,Argentina!$F:$F,M$89,Argentina!$G:$G,"Soybean")</f>
        <v>0</v>
      </c>
      <c r="N102" s="6" t="n">
        <f aca="false">SUMIFS(Argentina!$H:$H,Argentina!$F:$F,N$89,Argentina!$G:$G,"Soybean")</f>
        <v>0</v>
      </c>
      <c r="O102" s="6" t="n">
        <f aca="false">SUMIFS(Argentina!$H:$H,Argentina!$F:$F,O$89,Argentina!$G:$G,"Soybean")</f>
        <v>0</v>
      </c>
      <c r="P102" s="6" t="n">
        <f aca="false">SUMIFS(Argentina!$H:$H,Argentina!$F:$F,P$89,Argentina!$G:$G,"Soybean")</f>
        <v>0</v>
      </c>
      <c r="Q102" s="6" t="n">
        <f aca="false">SUMIFS(Argentina!$H:$H,Argentina!$F:$F,Q$89,Argentina!$G:$G,"Soybean")</f>
        <v>0</v>
      </c>
      <c r="R102" s="6" t="n">
        <f aca="false">SUMIFS(Argentina!$H:$H,Argentina!$F:$F,R$89,Argentina!$G:$G,"Soybean")</f>
        <v>0</v>
      </c>
      <c r="S102" s="7" t="n">
        <f aca="false">SUM(B102:R102)</f>
        <v>490000</v>
      </c>
    </row>
    <row r="103" customFormat="false" ht="15" hidden="false" customHeight="false" outlineLevel="0" collapsed="false">
      <c r="A103" s="5" t="s">
        <v>38</v>
      </c>
      <c r="B103" s="6" t="n">
        <f aca="false">SUMIFS(Pakistan!$H:$H,Pakistan!$F:$F,B$89,Pakistan!$G:$G,"Soybean")</f>
        <v>0</v>
      </c>
      <c r="C103" s="6" t="n">
        <f aca="false">SUMIFS(Pakistan!$H:$H,Pakistan!$F:$F,C$89,Pakistan!$G:$G,"Soybean")</f>
        <v>0</v>
      </c>
      <c r="D103" s="6" t="n">
        <f aca="false">SUMIFS(Pakistan!$H:$H,Pakistan!$F:$F,D$89,Pakistan!$G:$G,"Soybean")</f>
        <v>0</v>
      </c>
      <c r="E103" s="6" t="n">
        <f aca="false">SUMIFS(Pakistan!$H:$H,Pakistan!$F:$F,E$89,Pakistan!$G:$G,"Soybean")</f>
        <v>0</v>
      </c>
      <c r="F103" s="6" t="n">
        <f aca="false">SUMIFS(Pakistan!$H:$H,Pakistan!$F:$F,F$89,Pakistan!$G:$G,"Soybean")</f>
        <v>0</v>
      </c>
      <c r="G103" s="6" t="n">
        <f aca="false">SUMIFS(Pakistan!$H:$H,Pakistan!$F:$F,G$89,Pakistan!$G:$G,"Soybean")</f>
        <v>0</v>
      </c>
      <c r="H103" s="6" t="n">
        <f aca="false">SUMIFS(Pakistan!$H:$H,Pakistan!$F:$F,H$89,Pakistan!$G:$G,"Soybean")</f>
        <v>0</v>
      </c>
      <c r="I103" s="6" t="n">
        <f aca="false">SUMIFS(Pakistan!$H:$H,Pakistan!$F:$F,I$89,Pakistan!$G:$G,"Soybean")</f>
        <v>199500</v>
      </c>
      <c r="J103" s="6" t="n">
        <f aca="false">SUMIFS(Pakistan!$H:$H,Pakistan!$F:$F,J$89,Pakistan!$G:$G,"Soybean")</f>
        <v>0</v>
      </c>
      <c r="K103" s="6" t="n">
        <f aca="false">SUMIFS(Pakistan!$H:$H,Pakistan!$F:$F,K$89,Pakistan!$G:$G,"Soybean")</f>
        <v>0</v>
      </c>
      <c r="L103" s="6" t="n">
        <f aca="false">SUMIFS(Pakistan!$H:$H,Pakistan!$F:$F,L$89,Pakistan!$G:$G,"Soybean")</f>
        <v>132000</v>
      </c>
      <c r="M103" s="6" t="n">
        <f aca="false">SUMIFS(Pakistan!$H:$H,Pakistan!$F:$F,M$89,Pakistan!$G:$G,"Soybean")</f>
        <v>352000</v>
      </c>
      <c r="N103" s="6" t="n">
        <f aca="false">SUMIFS(Pakistan!$H:$H,Pakistan!$F:$F,N$89,Pakistan!$G:$G,"Soybean")</f>
        <v>0</v>
      </c>
      <c r="O103" s="6" t="n">
        <f aca="false">SUMIFS(Pakistan!$H:$H,Pakistan!$F:$F,O$89,Pakistan!$G:$G,"Soybean")</f>
        <v>0</v>
      </c>
      <c r="P103" s="6" t="n">
        <f aca="false">SUMIFS(Pakistan!$H:$H,Pakistan!$F:$F,P$89,Pakistan!$G:$G,"Soybean")</f>
        <v>345000</v>
      </c>
      <c r="Q103" s="6" t="n">
        <f aca="false">SUMIFS(Pakistan!$H:$H,Pakistan!$F:$F,Q$89,Pakistan!$G:$G,"Soybean")</f>
        <v>0</v>
      </c>
      <c r="R103" s="6" t="n">
        <f aca="false">SUMIFS(Pakistan!$H:$H,Pakistan!$F:$F,R$89,Pakistan!$G:$G,"Soybean")</f>
        <v>0</v>
      </c>
      <c r="S103" s="7" t="n">
        <f aca="false">SUM(B103:R103)</f>
        <v>1028500</v>
      </c>
    </row>
    <row r="104" customFormat="false" ht="15" hidden="false" customHeight="false" outlineLevel="0" collapsed="false">
      <c r="A104" s="5" t="s">
        <v>39</v>
      </c>
      <c r="B104" s="6" t="n">
        <f aca="false">SUMIFS(Other!$H:$H,Other!$F:$F,B$89,Other!$G:$G,"Soybean")</f>
        <v>0</v>
      </c>
      <c r="C104" s="6" t="n">
        <f aca="false">SUMIFS(Other!$H:$H,Other!$F:$F,C$89,Other!$G:$G,"Soybean")</f>
        <v>0</v>
      </c>
      <c r="D104" s="6" t="n">
        <f aca="false">SUMIFS(Other!$H:$H,Other!$F:$F,D$89,Other!$G:$G,"Soybean")</f>
        <v>0</v>
      </c>
      <c r="E104" s="6" t="n">
        <f aca="false">SUMIFS(Other!$H:$H,Other!$F:$F,E$89,Other!$G:$G,"Soybean")</f>
        <v>120000</v>
      </c>
      <c r="F104" s="6" t="n">
        <f aca="false">SUMIFS(Other!$H:$H,Other!$F:$F,F$89,Other!$G:$G,"Soybean")</f>
        <v>0</v>
      </c>
      <c r="G104" s="6" t="n">
        <f aca="false">SUMIFS(Other!$H:$H,Other!$F:$F,G$89,Other!$G:$G,"Soybean")</f>
        <v>217000</v>
      </c>
      <c r="H104" s="6" t="n">
        <f aca="false">SUMIFS(Other!$H:$H,Other!$F:$F,H$89,Other!$G:$G,"Soybean")</f>
        <v>110000</v>
      </c>
      <c r="I104" s="6" t="n">
        <f aca="false">SUMIFS(Other!$H:$H,Other!$F:$F,I$89,Other!$G:$G,"Soybean")</f>
        <v>0</v>
      </c>
      <c r="J104" s="6" t="n">
        <f aca="false">SUMIFS(Other!$H:$H,Other!$F:$F,J$89,Other!$G:$G,"Soybean")</f>
        <v>0</v>
      </c>
      <c r="K104" s="6" t="n">
        <f aca="false">SUMIFS(Other!$H:$H,Other!$F:$F,K$89,Other!$G:$G,"Soybean")</f>
        <v>154500</v>
      </c>
      <c r="L104" s="6" t="n">
        <f aca="false">SUMIFS(Other!$H:$H,Other!$F:$F,L$89,Other!$G:$G,"Soybean")</f>
        <v>110000</v>
      </c>
      <c r="M104" s="6" t="n">
        <f aca="false">SUMIFS(Other!$H:$H,Other!$F:$F,M$89,Other!$G:$G,"Soybean")</f>
        <v>0</v>
      </c>
      <c r="N104" s="6" t="n">
        <f aca="false">SUMIFS(Other!$H:$H,Other!$F:$F,N$89,Other!$G:$G,"Soybean")</f>
        <v>0</v>
      </c>
      <c r="O104" s="6" t="n">
        <f aca="false">SUMIFS(Other!$H:$H,Other!$F:$F,O$89,Other!$G:$G,"Soybean")</f>
        <v>0</v>
      </c>
      <c r="P104" s="6" t="n">
        <f aca="false">SUMIFS(Other!$H:$H,Other!$F:$F,P$89,Other!$G:$G,"Soybean")</f>
        <v>0</v>
      </c>
      <c r="Q104" s="6" t="n">
        <f aca="false">SUMIFS(Other!$H:$H,Other!$F:$F,Q$89,Other!$G:$G,"Soybean")</f>
        <v>0</v>
      </c>
      <c r="R104" s="6" t="n">
        <f aca="false">SUMIFS(Other!$H:$H,Other!$F:$F,R$89,Other!$G:$G,"Soybean")</f>
        <v>0</v>
      </c>
      <c r="S104" s="7" t="n">
        <f aca="false">SUM(B104:R104)</f>
        <v>711500</v>
      </c>
    </row>
    <row r="105" customFormat="false" ht="15" hidden="false" customHeight="false" outlineLevel="0" collapsed="false">
      <c r="A105" s="8" t="s">
        <v>24</v>
      </c>
      <c r="B105" s="9" t="n">
        <f aca="false">SUM(B90:B104)</f>
        <v>132000</v>
      </c>
      <c r="C105" s="9" t="n">
        <f aca="false">SUM(C90:C104)</f>
        <v>3523000</v>
      </c>
      <c r="D105" s="9" t="n">
        <f aca="false">SUM(D90:D104)</f>
        <v>3420950</v>
      </c>
      <c r="E105" s="9" t="n">
        <f aca="false">SUM(E90:E104)</f>
        <v>6429150</v>
      </c>
      <c r="F105" s="9" t="n">
        <f aca="false">SUM(F90:F104)</f>
        <v>0</v>
      </c>
      <c r="G105" s="9" t="n">
        <f aca="false">SUM(G90:G104)</f>
        <v>12586700</v>
      </c>
      <c r="H105" s="9" t="n">
        <f aca="false">SUM(H90:H104)</f>
        <v>18348161</v>
      </c>
      <c r="I105" s="9" t="n">
        <f aca="false">SUM(I90:I104)</f>
        <v>20782016</v>
      </c>
      <c r="J105" s="9" t="n">
        <f aca="false">SUM(J90:J104)</f>
        <v>18770304</v>
      </c>
      <c r="K105" s="9" t="n">
        <f aca="false">SUM(K90:K104)</f>
        <v>22956956</v>
      </c>
      <c r="L105" s="9" t="n">
        <f aca="false">SUM(L90:L104)</f>
        <v>18867688</v>
      </c>
      <c r="M105" s="9" t="n">
        <f aca="false">SUM(M90:M104)</f>
        <v>21379262</v>
      </c>
      <c r="N105" s="9" t="n">
        <f aca="false">SUM(N90:N104)</f>
        <v>13625767</v>
      </c>
      <c r="O105" s="9" t="n">
        <f aca="false">SUM(O90:O104)</f>
        <v>15313472</v>
      </c>
      <c r="P105" s="9" t="n">
        <f aca="false">SUM(P90:P104)</f>
        <v>11724116</v>
      </c>
      <c r="Q105" s="9" t="n">
        <f aca="false">SUM(Q90:Q104)</f>
        <v>18423008</v>
      </c>
      <c r="R105" s="9" t="n">
        <f aca="false">SUM(R90:R104)</f>
        <v>2019100</v>
      </c>
      <c r="S105" s="9" t="n">
        <f aca="false">SUM(S90:S104)</f>
        <v>208301650</v>
      </c>
    </row>
    <row r="108" customFormat="false" ht="16.15" hidden="false" customHeight="false" outlineLevel="0" collapsed="false">
      <c r="A108" s="1" t="s">
        <v>41</v>
      </c>
    </row>
    <row r="109" customFormat="false" ht="15" hidden="false" customHeight="false" outlineLevel="0" collapsed="false">
      <c r="A109" s="4" t="s">
        <v>4</v>
      </c>
      <c r="B109" s="4" t="s">
        <v>5</v>
      </c>
      <c r="C109" s="4" t="s">
        <v>6</v>
      </c>
      <c r="D109" s="4" t="s">
        <v>7</v>
      </c>
      <c r="E109" s="4" t="s">
        <v>8</v>
      </c>
      <c r="F109" s="4" t="s">
        <v>9</v>
      </c>
      <c r="G109" s="4" t="s">
        <v>10</v>
      </c>
      <c r="H109" s="4" t="s">
        <v>11</v>
      </c>
      <c r="I109" s="4" t="s">
        <v>12</v>
      </c>
      <c r="J109" s="4" t="s">
        <v>13</v>
      </c>
      <c r="K109" s="4" t="s">
        <v>14</v>
      </c>
      <c r="L109" s="4" t="s">
        <v>15</v>
      </c>
      <c r="M109" s="4" t="s">
        <v>16</v>
      </c>
      <c r="N109" s="4" t="s">
        <v>17</v>
      </c>
      <c r="O109" s="4" t="s">
        <v>18</v>
      </c>
      <c r="P109" s="4" t="s">
        <v>19</v>
      </c>
      <c r="Q109" s="4" t="s">
        <v>20</v>
      </c>
      <c r="R109" s="4" t="s">
        <v>21</v>
      </c>
      <c r="S109" s="4" t="s">
        <v>24</v>
      </c>
    </row>
    <row r="110" customFormat="false" ht="15" hidden="false" customHeight="false" outlineLevel="0" collapsed="false">
      <c r="A110" s="5" t="s">
        <v>25</v>
      </c>
      <c r="B110" s="6" t="n">
        <f aca="false">SUMIFS('Not Available'!$H:$H,'Not Available'!$F:$F,B$109)</f>
        <v>230000</v>
      </c>
      <c r="C110" s="6" t="n">
        <f aca="false">SUMIFS('Not Available'!$H:$H,'Not Available'!$F:$F,C$109)</f>
        <v>0</v>
      </c>
      <c r="D110" s="6" t="n">
        <f aca="false">SUMIFS('Not Available'!$H:$H,'Not Available'!$F:$F,D$109)</f>
        <v>1797278</v>
      </c>
      <c r="E110" s="6" t="n">
        <f aca="false">SUMIFS('Not Available'!$H:$H,'Not Available'!$F:$F,E$109)</f>
        <v>3150286</v>
      </c>
      <c r="F110" s="6" t="n">
        <f aca="false">SUMIFS('Not Available'!$H:$H,'Not Available'!$F:$F,F$109)</f>
        <v>0</v>
      </c>
      <c r="G110" s="6" t="n">
        <f aca="false">SUMIFS('Not Available'!$H:$H,'Not Available'!$F:$F,G$109)</f>
        <v>9417188</v>
      </c>
      <c r="H110" s="6" t="n">
        <f aca="false">SUMIFS('Not Available'!$H:$H,'Not Available'!$F:$F,H$109)</f>
        <v>10755876</v>
      </c>
      <c r="I110" s="6" t="n">
        <f aca="false">SUMIFS('Not Available'!$H:$H,'Not Available'!$F:$F,I$109)</f>
        <v>15373236</v>
      </c>
      <c r="J110" s="6" t="n">
        <f aca="false">SUMIFS('Not Available'!$H:$H,'Not Available'!$F:$F,J$109)</f>
        <v>7616331</v>
      </c>
      <c r="K110" s="6" t="n">
        <f aca="false">SUMIFS('Not Available'!$H:$H,'Not Available'!$F:$F,K$109)</f>
        <v>9194787</v>
      </c>
      <c r="L110" s="6" t="n">
        <f aca="false">SUMIFS('Not Available'!$H:$H,'Not Available'!$F:$F,L$109)</f>
        <v>13629232</v>
      </c>
      <c r="M110" s="6" t="n">
        <f aca="false">SUMIFS('Not Available'!$H:$H,'Not Available'!$F:$F,M$109)</f>
        <v>11263048</v>
      </c>
      <c r="N110" s="6" t="n">
        <f aca="false">SUMIFS('Not Available'!$H:$H,'Not Available'!$F:$F,N$109)</f>
        <v>8574050</v>
      </c>
      <c r="O110" s="6" t="n">
        <f aca="false">SUMIFS('Not Available'!$H:$H,'Not Available'!$F:$F,O$109)</f>
        <v>9225958</v>
      </c>
      <c r="P110" s="6" t="n">
        <f aca="false">SUMIFS('Not Available'!$H:$H,'Not Available'!$F:$F,P$109)</f>
        <v>13183130</v>
      </c>
      <c r="Q110" s="6" t="n">
        <f aca="false">SUMIFS('Not Available'!$H:$H,'Not Available'!$F:$F,Q$109)</f>
        <v>12514095</v>
      </c>
      <c r="R110" s="6" t="n">
        <f aca="false">SUMIFS('Not Available'!$H:$H,'Not Available'!$F:$F,R$109)</f>
        <v>766100</v>
      </c>
      <c r="S110" s="7" t="n">
        <f aca="false">SUM(B110:R110)</f>
        <v>126690595</v>
      </c>
    </row>
    <row r="111" customFormat="false" ht="15" hidden="false" customHeight="false" outlineLevel="0" collapsed="false">
      <c r="A111" s="5" t="s">
        <v>26</v>
      </c>
      <c r="B111" s="6" t="n">
        <f aca="false">SUMIFS(China!$H:$H,China!$F:$F,B$109)</f>
        <v>132000</v>
      </c>
      <c r="C111" s="6" t="n">
        <f aca="false">SUMIFS(China!$H:$H,China!$F:$F,C$109)</f>
        <v>3523000</v>
      </c>
      <c r="D111" s="6" t="n">
        <f aca="false">SUMIFS(China!$H:$H,China!$F:$F,D$109)</f>
        <v>3162000</v>
      </c>
      <c r="E111" s="6" t="n">
        <f aca="false">SUMIFS(China!$H:$H,China!$F:$F,E$109)</f>
        <v>3400000</v>
      </c>
      <c r="F111" s="6" t="n">
        <f aca="false">SUMIFS(China!$H:$H,China!$F:$F,F$109)</f>
        <v>0</v>
      </c>
      <c r="G111" s="6" t="n">
        <f aca="false">SUMIFS(China!$H:$H,China!$F:$F,G$109)</f>
        <v>5189000</v>
      </c>
      <c r="H111" s="6" t="n">
        <f aca="false">SUMIFS(China!$H:$H,China!$F:$F,H$109)</f>
        <v>10029570</v>
      </c>
      <c r="I111" s="6" t="n">
        <f aca="false">SUMIFS(China!$H:$H,China!$F:$F,I$109)</f>
        <v>8408000</v>
      </c>
      <c r="J111" s="6" t="n">
        <f aca="false">SUMIFS(China!$H:$H,China!$F:$F,J$109)</f>
        <v>11158000</v>
      </c>
      <c r="K111" s="6" t="n">
        <f aca="false">SUMIFS(China!$H:$H,China!$F:$F,K$109)</f>
        <v>24656000</v>
      </c>
      <c r="L111" s="6" t="n">
        <f aca="false">SUMIFS(China!$H:$H,China!$F:$F,L$109)</f>
        <v>31455000</v>
      </c>
      <c r="M111" s="6" t="n">
        <f aca="false">SUMIFS(China!$H:$H,China!$F:$F,M$109)</f>
        <v>15672000</v>
      </c>
      <c r="N111" s="6" t="n">
        <f aca="false">SUMIFS(China!$H:$H,China!$F:$F,N$109)</f>
        <v>9473700</v>
      </c>
      <c r="O111" s="6" t="n">
        <f aca="false">SUMIFS(China!$H:$H,China!$F:$F,O$109)</f>
        <v>6247000</v>
      </c>
      <c r="P111" s="6" t="n">
        <f aca="false">SUMIFS(China!$H:$H,China!$F:$F,P$109)</f>
        <v>3350000</v>
      </c>
      <c r="Q111" s="6" t="n">
        <f aca="false">SUMIFS(China!$H:$H,China!$F:$F,Q$109)</f>
        <v>10807000</v>
      </c>
      <c r="R111" s="6" t="n">
        <f aca="false">SUMIFS(China!$H:$H,China!$F:$F,R$109)</f>
        <v>1253000</v>
      </c>
      <c r="S111" s="7" t="n">
        <f aca="false">SUM(B111:R111)</f>
        <v>147915270</v>
      </c>
    </row>
    <row r="112" customFormat="false" ht="15" hidden="false" customHeight="false" outlineLevel="0" collapsed="false">
      <c r="A112" s="5" t="s">
        <v>27</v>
      </c>
      <c r="B112" s="6" t="n">
        <f aca="false">SUMIFS(Mexico!$H:$H,Mexico!$F:$F,B$109)</f>
        <v>0</v>
      </c>
      <c r="C112" s="6" t="n">
        <f aca="false">SUMIFS(Mexico!$H:$H,Mexico!$F:$F,C$109)</f>
        <v>0</v>
      </c>
      <c r="D112" s="6" t="n">
        <f aca="false">SUMIFS(Mexico!$H:$H,Mexico!$F:$F,D$109)</f>
        <v>358553</v>
      </c>
      <c r="E112" s="6" t="n">
        <f aca="false">SUMIFS(Mexico!$H:$H,Mexico!$F:$F,E$109)</f>
        <v>572950</v>
      </c>
      <c r="F112" s="6" t="n">
        <f aca="false">SUMIFS(Mexico!$H:$H,Mexico!$F:$F,F$109)</f>
        <v>0</v>
      </c>
      <c r="G112" s="6" t="n">
        <f aca="false">SUMIFS(Mexico!$H:$H,Mexico!$F:$F,G$109)</f>
        <v>1663979</v>
      </c>
      <c r="H112" s="6" t="n">
        <f aca="false">SUMIFS(Mexico!$H:$H,Mexico!$F:$F,H$109)</f>
        <v>3961244</v>
      </c>
      <c r="I112" s="6" t="n">
        <f aca="false">SUMIFS(Mexico!$H:$H,Mexico!$F:$F,I$109)</f>
        <v>5213921</v>
      </c>
      <c r="J112" s="6" t="n">
        <f aca="false">SUMIFS(Mexico!$H:$H,Mexico!$F:$F,J$109)</f>
        <v>7442689</v>
      </c>
      <c r="K112" s="6" t="n">
        <f aca="false">SUMIFS(Mexico!$H:$H,Mexico!$F:$F,K$109)</f>
        <v>6243220</v>
      </c>
      <c r="L112" s="6" t="n">
        <f aca="false">SUMIFS(Mexico!$H:$H,Mexico!$F:$F,L$109)</f>
        <v>6224231</v>
      </c>
      <c r="M112" s="6" t="n">
        <f aca="false">SUMIFS(Mexico!$H:$H,Mexico!$F:$F,M$109)</f>
        <v>6665377</v>
      </c>
      <c r="N112" s="6" t="n">
        <f aca="false">SUMIFS(Mexico!$H:$H,Mexico!$F:$F,N$109)</f>
        <v>6768476</v>
      </c>
      <c r="O112" s="6" t="n">
        <f aca="false">SUMIFS(Mexico!$H:$H,Mexico!$F:$F,O$109)</f>
        <v>7831796</v>
      </c>
      <c r="P112" s="6" t="n">
        <f aca="false">SUMIFS(Mexico!$H:$H,Mexico!$F:$F,P$109)</f>
        <v>9570416</v>
      </c>
      <c r="Q112" s="6" t="n">
        <f aca="false">SUMIFS(Mexico!$H:$H,Mexico!$F:$F,Q$109)</f>
        <v>7640782</v>
      </c>
      <c r="R112" s="6" t="n">
        <f aca="false">SUMIFS(Mexico!$H:$H,Mexico!$F:$F,R$109)</f>
        <v>895020</v>
      </c>
      <c r="S112" s="7" t="n">
        <f aca="false">SUM(B112:R112)</f>
        <v>71052654</v>
      </c>
    </row>
    <row r="113" customFormat="false" ht="15" hidden="false" customHeight="false" outlineLevel="0" collapsed="false">
      <c r="A113" s="5" t="s">
        <v>28</v>
      </c>
      <c r="B113" s="6" t="n">
        <f aca="false">SUMIFS(Japan!$H:$H,Japan!$F:$F,B$109)</f>
        <v>0</v>
      </c>
      <c r="C113" s="6" t="n">
        <f aca="false">SUMIFS(Japan!$H:$H,Japan!$F:$F,C$109)</f>
        <v>0</v>
      </c>
      <c r="D113" s="6" t="n">
        <f aca="false">SUMIFS(Japan!$H:$H,Japan!$F:$F,D$109)</f>
        <v>0</v>
      </c>
      <c r="E113" s="6" t="n">
        <f aca="false">SUMIFS(Japan!$H:$H,Japan!$F:$F,E$109)</f>
        <v>681424</v>
      </c>
      <c r="F113" s="6" t="n">
        <f aca="false">SUMIFS(Japan!$H:$H,Japan!$F:$F,F$109)</f>
        <v>0</v>
      </c>
      <c r="G113" s="6" t="n">
        <f aca="false">SUMIFS(Japan!$H:$H,Japan!$F:$F,G$109)</f>
        <v>1525884</v>
      </c>
      <c r="H113" s="6" t="n">
        <f aca="false">SUMIFS(Japan!$H:$H,Japan!$F:$F,H$109)</f>
        <v>1288408</v>
      </c>
      <c r="I113" s="6" t="n">
        <f aca="false">SUMIFS(Japan!$H:$H,Japan!$F:$F,I$109)</f>
        <v>659752</v>
      </c>
      <c r="J113" s="6" t="n">
        <f aca="false">SUMIFS(Japan!$H:$H,Japan!$F:$F,J$109)</f>
        <v>355000</v>
      </c>
      <c r="K113" s="6" t="n">
        <f aca="false">SUMIFS(Japan!$H:$H,Japan!$F:$F,K$109)</f>
        <v>558940</v>
      </c>
      <c r="L113" s="6" t="n">
        <f aca="false">SUMIFS(Japan!$H:$H,Japan!$F:$F,L$109)</f>
        <v>740800</v>
      </c>
      <c r="M113" s="6" t="n">
        <f aca="false">SUMIFS(Japan!$H:$H,Japan!$F:$F,M$109)</f>
        <v>128000</v>
      </c>
      <c r="N113" s="6" t="n">
        <f aca="false">SUMIFS(Japan!$H:$H,Japan!$F:$F,N$109)</f>
        <v>511300</v>
      </c>
      <c r="O113" s="6" t="n">
        <f aca="false">SUMIFS(Japan!$H:$H,Japan!$F:$F,O$109)</f>
        <v>279000</v>
      </c>
      <c r="P113" s="6" t="n">
        <f aca="false">SUMIFS(Japan!$H:$H,Japan!$F:$F,P$109)</f>
        <v>597600</v>
      </c>
      <c r="Q113" s="6" t="n">
        <f aca="false">SUMIFS(Japan!$H:$H,Japan!$F:$F,Q$109)</f>
        <v>558000</v>
      </c>
      <c r="R113" s="6" t="n">
        <f aca="false">SUMIFS(Japan!$H:$H,Japan!$F:$F,R$109)</f>
        <v>0</v>
      </c>
      <c r="S113" s="7" t="n">
        <f aca="false">SUM(B113:R113)</f>
        <v>7884108</v>
      </c>
    </row>
    <row r="114" customFormat="false" ht="15" hidden="false" customHeight="false" outlineLevel="0" collapsed="false">
      <c r="A114" s="5" t="s">
        <v>29</v>
      </c>
      <c r="B114" s="6" t="n">
        <f aca="false">SUMIFS('South Korea'!$H:$H,'South Korea'!$F:$F,B$109)</f>
        <v>225000</v>
      </c>
      <c r="C114" s="6" t="n">
        <f aca="false">SUMIFS('South Korea'!$H:$H,'South Korea'!$F:$F,C$109)</f>
        <v>132000</v>
      </c>
      <c r="D114" s="6" t="n">
        <f aca="false">SUMIFS('South Korea'!$H:$H,'South Korea'!$F:$F,D$109)</f>
        <v>0</v>
      </c>
      <c r="E114" s="6" t="n">
        <f aca="false">SUMIFS('South Korea'!$H:$H,'South Korea'!$F:$F,E$109)</f>
        <v>444000</v>
      </c>
      <c r="F114" s="6" t="n">
        <f aca="false">SUMIFS('South Korea'!$H:$H,'South Korea'!$F:$F,F$109)</f>
        <v>0</v>
      </c>
      <c r="G114" s="6" t="n">
        <f aca="false">SUMIFS('South Korea'!$H:$H,'South Korea'!$F:$F,G$109)</f>
        <v>266000</v>
      </c>
      <c r="H114" s="6" t="n">
        <f aca="false">SUMIFS('South Korea'!$H:$H,'South Korea'!$F:$F,H$109)</f>
        <v>1012000</v>
      </c>
      <c r="I114" s="6" t="n">
        <f aca="false">SUMIFS('South Korea'!$H:$H,'South Korea'!$F:$F,I$109)</f>
        <v>750000</v>
      </c>
      <c r="J114" s="6" t="n">
        <f aca="false">SUMIFS('South Korea'!$H:$H,'South Korea'!$F:$F,J$109)</f>
        <v>950000</v>
      </c>
      <c r="K114" s="6" t="n">
        <f aca="false">SUMIFS('South Korea'!$H:$H,'South Korea'!$F:$F,K$109)</f>
        <v>530000</v>
      </c>
      <c r="L114" s="6" t="n">
        <f aca="false">SUMIFS('South Korea'!$H:$H,'South Korea'!$F:$F,L$109)</f>
        <v>337000</v>
      </c>
      <c r="M114" s="6" t="n">
        <f aca="false">SUMIFS('South Korea'!$H:$H,'South Korea'!$F:$F,M$109)</f>
        <v>0</v>
      </c>
      <c r="N114" s="6" t="n">
        <f aca="false">SUMIFS('South Korea'!$H:$H,'South Korea'!$F:$F,N$109)</f>
        <v>0</v>
      </c>
      <c r="O114" s="6" t="n">
        <f aca="false">SUMIFS('South Korea'!$H:$H,'South Korea'!$F:$F,O$109)</f>
        <v>0</v>
      </c>
      <c r="P114" s="6" t="n">
        <f aca="false">SUMIFS('South Korea'!$H:$H,'South Korea'!$F:$F,P$109)</f>
        <v>945000</v>
      </c>
      <c r="Q114" s="6" t="n">
        <f aca="false">SUMIFS('South Korea'!$H:$H,'South Korea'!$F:$F,Q$109)</f>
        <v>1080000</v>
      </c>
      <c r="R114" s="6" t="n">
        <f aca="false">SUMIFS('South Korea'!$H:$H,'South Korea'!$F:$F,R$109)</f>
        <v>0</v>
      </c>
      <c r="S114" s="7" t="n">
        <f aca="false">SUM(B114:R114)</f>
        <v>6671000</v>
      </c>
    </row>
    <row r="115" customFormat="false" ht="15" hidden="false" customHeight="false" outlineLevel="0" collapsed="false">
      <c r="A115" s="5" t="s">
        <v>30</v>
      </c>
      <c r="B115" s="6" t="n">
        <f aca="false">SUMIFS(Colombia!$H:$H,Colombia!$F:$F,B$109)</f>
        <v>0</v>
      </c>
      <c r="C115" s="6" t="n">
        <f aca="false">SUMIFS(Colombia!$H:$H,Colombia!$F:$F,C$109)</f>
        <v>0</v>
      </c>
      <c r="D115" s="6" t="n">
        <f aca="false">SUMIFS(Colombia!$H:$H,Colombia!$F:$F,D$109)</f>
        <v>0</v>
      </c>
      <c r="E115" s="6" t="n">
        <f aca="false">SUMIFS(Colombia!$H:$H,Colombia!$F:$F,E$109)</f>
        <v>0</v>
      </c>
      <c r="F115" s="6" t="n">
        <f aca="false">SUMIFS(Colombia!$H:$H,Colombia!$F:$F,F$109)</f>
        <v>0</v>
      </c>
      <c r="G115" s="6" t="n">
        <f aca="false">SUMIFS(Colombia!$H:$H,Colombia!$F:$F,G$109)</f>
        <v>525000</v>
      </c>
      <c r="H115" s="6" t="n">
        <f aca="false">SUMIFS(Colombia!$H:$H,Colombia!$F:$F,H$109)</f>
        <v>355000</v>
      </c>
      <c r="I115" s="6" t="n">
        <f aca="false">SUMIFS(Colombia!$H:$H,Colombia!$F:$F,I$109)</f>
        <v>0</v>
      </c>
      <c r="J115" s="6" t="n">
        <f aca="false">SUMIFS(Colombia!$H:$H,Colombia!$F:$F,J$109)</f>
        <v>207500</v>
      </c>
      <c r="K115" s="6" t="n">
        <f aca="false">SUMIFS(Colombia!$H:$H,Colombia!$F:$F,K$109)</f>
        <v>0</v>
      </c>
      <c r="L115" s="6" t="n">
        <f aca="false">SUMIFS(Colombia!$H:$H,Colombia!$F:$F,L$109)</f>
        <v>358500</v>
      </c>
      <c r="M115" s="6" t="n">
        <f aca="false">SUMIFS(Colombia!$H:$H,Colombia!$F:$F,M$109)</f>
        <v>400000</v>
      </c>
      <c r="N115" s="6" t="n">
        <f aca="false">SUMIFS(Colombia!$H:$H,Colombia!$F:$F,N$109)</f>
        <v>150000</v>
      </c>
      <c r="O115" s="6" t="n">
        <f aca="false">SUMIFS(Colombia!$H:$H,Colombia!$F:$F,O$109)</f>
        <v>588000</v>
      </c>
      <c r="P115" s="6" t="n">
        <f aca="false">SUMIFS(Colombia!$H:$H,Colombia!$F:$F,P$109)</f>
        <v>685000</v>
      </c>
      <c r="Q115" s="6" t="n">
        <f aca="false">SUMIFS(Colombia!$H:$H,Colombia!$F:$F,Q$109)</f>
        <v>690800</v>
      </c>
      <c r="R115" s="6" t="n">
        <f aca="false">SUMIFS(Colombia!$H:$H,Colombia!$F:$F,R$109)</f>
        <v>0</v>
      </c>
      <c r="S115" s="7" t="n">
        <f aca="false">SUM(B115:R115)</f>
        <v>3959800</v>
      </c>
    </row>
    <row r="116" customFormat="false" ht="15" hidden="false" customHeight="false" outlineLevel="0" collapsed="false">
      <c r="A116" s="5" t="s">
        <v>31</v>
      </c>
      <c r="B116" s="6" t="n">
        <f aca="false">SUMIFS(Egypt!$H:$H,Egypt!$F:$F,B$109)</f>
        <v>120000</v>
      </c>
      <c r="C116" s="6" t="n">
        <f aca="false">SUMIFS(Egypt!$H:$H,Egypt!$F:$F,C$109)</f>
        <v>240000</v>
      </c>
      <c r="D116" s="6" t="n">
        <f aca="false">SUMIFS(Egypt!$H:$H,Egypt!$F:$F,D$109)</f>
        <v>0</v>
      </c>
      <c r="E116" s="6" t="n">
        <f aca="false">SUMIFS(Egypt!$H:$H,Egypt!$F:$F,E$109)</f>
        <v>1074000</v>
      </c>
      <c r="F116" s="6" t="n">
        <f aca="false">SUMIFS(Egypt!$H:$H,Egypt!$F:$F,F$109)</f>
        <v>0</v>
      </c>
      <c r="G116" s="6" t="n">
        <f aca="false">SUMIFS(Egypt!$H:$H,Egypt!$F:$F,G$109)</f>
        <v>0</v>
      </c>
      <c r="H116" s="6" t="n">
        <f aca="false">SUMIFS(Egypt!$H:$H,Egypt!$F:$F,H$109)</f>
        <v>0</v>
      </c>
      <c r="I116" s="6" t="n">
        <f aca="false">SUMIFS(Egypt!$H:$H,Egypt!$F:$F,I$109)</f>
        <v>733000</v>
      </c>
      <c r="J116" s="6" t="n">
        <f aca="false">SUMIFS(Egypt!$H:$H,Egypt!$F:$F,J$109)</f>
        <v>110000</v>
      </c>
      <c r="K116" s="6" t="n">
        <f aca="false">SUMIFS(Egypt!$H:$H,Egypt!$F:$F,K$109)</f>
        <v>130000</v>
      </c>
      <c r="L116" s="6" t="n">
        <f aca="false">SUMIFS(Egypt!$H:$H,Egypt!$F:$F,L$109)</f>
        <v>230000</v>
      </c>
      <c r="M116" s="6" t="n">
        <f aca="false">SUMIFS(Egypt!$H:$H,Egypt!$F:$F,M$109)</f>
        <v>230000</v>
      </c>
      <c r="N116" s="6" t="n">
        <f aca="false">SUMIFS(Egypt!$H:$H,Egypt!$F:$F,N$109)</f>
        <v>0</v>
      </c>
      <c r="O116" s="6" t="n">
        <f aca="false">SUMIFS(Egypt!$H:$H,Egypt!$F:$F,O$109)</f>
        <v>0</v>
      </c>
      <c r="P116" s="6" t="n">
        <f aca="false">SUMIFS(Egypt!$H:$H,Egypt!$F:$F,P$109)</f>
        <v>110000</v>
      </c>
      <c r="Q116" s="6" t="n">
        <f aca="false">SUMIFS(Egypt!$H:$H,Egypt!$F:$F,Q$109)</f>
        <v>338000</v>
      </c>
      <c r="R116" s="6" t="n">
        <f aca="false">SUMIFS(Egypt!$H:$H,Egypt!$F:$F,R$109)</f>
        <v>0</v>
      </c>
      <c r="S116" s="7" t="n">
        <f aca="false">SUM(B116:R116)</f>
        <v>3315000</v>
      </c>
    </row>
    <row r="117" customFormat="false" ht="15" hidden="false" customHeight="false" outlineLevel="0" collapsed="false">
      <c r="A117" s="5" t="s">
        <v>32</v>
      </c>
      <c r="B117" s="6" t="n">
        <f aca="false">SUMIFS(Spain!$H:$H,Spain!$F:$F,B$109)</f>
        <v>0</v>
      </c>
      <c r="C117" s="6" t="n">
        <f aca="false">SUMIFS(Spain!$H:$H,Spain!$F:$F,C$109)</f>
        <v>0</v>
      </c>
      <c r="D117" s="6" t="n">
        <f aca="false">SUMIFS(Spain!$H:$H,Spain!$F:$F,D$109)</f>
        <v>0</v>
      </c>
      <c r="E117" s="6" t="n">
        <f aca="false">SUMIFS(Spain!$H:$H,Spain!$F:$F,E$109)</f>
        <v>150000</v>
      </c>
      <c r="F117" s="6" t="n">
        <f aca="false">SUMIFS(Spain!$H:$H,Spain!$F:$F,F$109)</f>
        <v>0</v>
      </c>
      <c r="G117" s="6" t="n">
        <f aca="false">SUMIFS(Spain!$H:$H,Spain!$F:$F,G$109)</f>
        <v>0</v>
      </c>
      <c r="H117" s="6" t="n">
        <f aca="false">SUMIFS(Spain!$H:$H,Spain!$F:$F,H$109)</f>
        <v>0</v>
      </c>
      <c r="I117" s="6" t="n">
        <f aca="false">SUMIFS(Spain!$H:$H,Spain!$F:$F,I$109)</f>
        <v>384000</v>
      </c>
      <c r="J117" s="6" t="n">
        <f aca="false">SUMIFS(Spain!$H:$H,Spain!$F:$F,J$109)</f>
        <v>0</v>
      </c>
      <c r="K117" s="6" t="n">
        <f aca="false">SUMIFS(Spain!$H:$H,Spain!$F:$F,K$109)</f>
        <v>0</v>
      </c>
      <c r="L117" s="6" t="n">
        <f aca="false">SUMIFS(Spain!$H:$H,Spain!$F:$F,L$109)</f>
        <v>0</v>
      </c>
      <c r="M117" s="6" t="n">
        <f aca="false">SUMIFS(Spain!$H:$H,Spain!$F:$F,M$109)</f>
        <v>0</v>
      </c>
      <c r="N117" s="6" t="n">
        <f aca="false">SUMIFS(Spain!$H:$H,Spain!$F:$F,N$109)</f>
        <v>363000</v>
      </c>
      <c r="O117" s="6" t="n">
        <f aca="false">SUMIFS(Spain!$H:$H,Spain!$F:$F,O$109)</f>
        <v>220000</v>
      </c>
      <c r="P117" s="6" t="n">
        <f aca="false">SUMIFS(Spain!$H:$H,Spain!$F:$F,P$109)</f>
        <v>819452</v>
      </c>
      <c r="Q117" s="6" t="n">
        <f aca="false">SUMIFS(Spain!$H:$H,Spain!$F:$F,Q$109)</f>
        <v>0</v>
      </c>
      <c r="R117" s="6" t="n">
        <f aca="false">SUMIFS(Spain!$H:$H,Spain!$F:$F,R$109)</f>
        <v>0</v>
      </c>
      <c r="S117" s="7" t="n">
        <f aca="false">SUM(B117:R117)</f>
        <v>1936452</v>
      </c>
    </row>
    <row r="118" customFormat="false" ht="15" hidden="false" customHeight="false" outlineLevel="0" collapsed="false">
      <c r="A118" s="5" t="s">
        <v>33</v>
      </c>
      <c r="B118" s="6" t="n">
        <f aca="false">SUMIFS(Taiwan!$H:$H,Taiwan!$F:$F,B$109)</f>
        <v>0</v>
      </c>
      <c r="C118" s="6" t="n">
        <f aca="false">SUMIFS(Taiwan!$H:$H,Taiwan!$F:$F,C$109)</f>
        <v>0</v>
      </c>
      <c r="D118" s="6" t="n">
        <f aca="false">SUMIFS(Taiwan!$H:$H,Taiwan!$F:$F,D$109)</f>
        <v>0</v>
      </c>
      <c r="E118" s="6" t="n">
        <f aca="false">SUMIFS(Taiwan!$H:$H,Taiwan!$F:$F,E$109)</f>
        <v>120000</v>
      </c>
      <c r="F118" s="6" t="n">
        <f aca="false">SUMIFS(Taiwan!$H:$H,Taiwan!$F:$F,F$109)</f>
        <v>0</v>
      </c>
      <c r="G118" s="6" t="n">
        <f aca="false">SUMIFS(Taiwan!$H:$H,Taiwan!$F:$F,G$109)</f>
        <v>510000</v>
      </c>
      <c r="H118" s="6" t="n">
        <f aca="false">SUMIFS(Taiwan!$H:$H,Taiwan!$F:$F,H$109)</f>
        <v>248000</v>
      </c>
      <c r="I118" s="6" t="n">
        <f aca="false">SUMIFS(Taiwan!$H:$H,Taiwan!$F:$F,I$109)</f>
        <v>0</v>
      </c>
      <c r="J118" s="6" t="n">
        <f aca="false">SUMIFS(Taiwan!$H:$H,Taiwan!$F:$F,J$109)</f>
        <v>0</v>
      </c>
      <c r="K118" s="6" t="n">
        <f aca="false">SUMIFS(Taiwan!$H:$H,Taiwan!$F:$F,K$109)</f>
        <v>0</v>
      </c>
      <c r="L118" s="6" t="n">
        <f aca="false">SUMIFS(Taiwan!$H:$H,Taiwan!$F:$F,L$109)</f>
        <v>0</v>
      </c>
      <c r="M118" s="6" t="n">
        <f aca="false">SUMIFS(Taiwan!$H:$H,Taiwan!$F:$F,M$109)</f>
        <v>0</v>
      </c>
      <c r="N118" s="6" t="n">
        <f aca="false">SUMIFS(Taiwan!$H:$H,Taiwan!$F:$F,N$109)</f>
        <v>104000</v>
      </c>
      <c r="O118" s="6" t="n">
        <f aca="false">SUMIFS(Taiwan!$H:$H,Taiwan!$F:$F,O$109)</f>
        <v>110000</v>
      </c>
      <c r="P118" s="6" t="n">
        <f aca="false">SUMIFS(Taiwan!$H:$H,Taiwan!$F:$F,P$109)</f>
        <v>135000</v>
      </c>
      <c r="Q118" s="6" t="n">
        <f aca="false">SUMIFS(Taiwan!$H:$H,Taiwan!$F:$F,Q$109)</f>
        <v>0</v>
      </c>
      <c r="R118" s="6" t="n">
        <f aca="false">SUMIFS(Taiwan!$H:$H,Taiwan!$F:$F,R$109)</f>
        <v>0</v>
      </c>
      <c r="S118" s="7" t="n">
        <f aca="false">SUM(B118:R118)</f>
        <v>1227000</v>
      </c>
    </row>
    <row r="119" customFormat="false" ht="15" hidden="false" customHeight="false" outlineLevel="0" collapsed="false">
      <c r="A119" s="5" t="s">
        <v>34</v>
      </c>
      <c r="B119" s="6" t="n">
        <f aca="false">SUMIFS('Costa Rica'!$H:$H,'Costa Rica'!$F:$F,B$109)</f>
        <v>0</v>
      </c>
      <c r="C119" s="6" t="n">
        <f aca="false">SUMIFS('Costa Rica'!$H:$H,'Costa Rica'!$F:$F,C$109)</f>
        <v>0</v>
      </c>
      <c r="D119" s="6" t="n">
        <f aca="false">SUMIFS('Costa Rica'!$H:$H,'Costa Rica'!$F:$F,D$109)</f>
        <v>0</v>
      </c>
      <c r="E119" s="6" t="n">
        <f aca="false">SUMIFS('Costa Rica'!$H:$H,'Costa Rica'!$F:$F,E$109)</f>
        <v>0</v>
      </c>
      <c r="F119" s="6" t="n">
        <f aca="false">SUMIFS('Costa Rica'!$H:$H,'Costa Rica'!$F:$F,F$109)</f>
        <v>0</v>
      </c>
      <c r="G119" s="6" t="n">
        <f aca="false">SUMIFS('Costa Rica'!$H:$H,'Costa Rica'!$F:$F,G$109)</f>
        <v>106162</v>
      </c>
      <c r="H119" s="6" t="n">
        <f aca="false">SUMIFS('Costa Rica'!$H:$H,'Costa Rica'!$F:$F,H$109)</f>
        <v>0</v>
      </c>
      <c r="I119" s="6" t="n">
        <f aca="false">SUMIFS('Costa Rica'!$H:$H,'Costa Rica'!$F:$F,I$109)</f>
        <v>134503</v>
      </c>
      <c r="J119" s="6" t="n">
        <f aca="false">SUMIFS('Costa Rica'!$H:$H,'Costa Rica'!$F:$F,J$109)</f>
        <v>142876</v>
      </c>
      <c r="K119" s="6" t="n">
        <f aca="false">SUMIFS('Costa Rica'!$H:$H,'Costa Rica'!$F:$F,K$109)</f>
        <v>0</v>
      </c>
      <c r="L119" s="6" t="n">
        <f aca="false">SUMIFS('Costa Rica'!$H:$H,'Costa Rica'!$F:$F,L$109)</f>
        <v>195338</v>
      </c>
      <c r="M119" s="6" t="n">
        <f aca="false">SUMIFS('Costa Rica'!$H:$H,'Costa Rica'!$F:$F,M$109)</f>
        <v>144907</v>
      </c>
      <c r="N119" s="6" t="n">
        <f aca="false">SUMIFS('Costa Rica'!$H:$H,'Costa Rica'!$F:$F,N$109)</f>
        <v>0</v>
      </c>
      <c r="O119" s="6" t="n">
        <f aca="false">SUMIFS('Costa Rica'!$H:$H,'Costa Rica'!$F:$F,O$109)</f>
        <v>0</v>
      </c>
      <c r="P119" s="6" t="n">
        <f aca="false">SUMIFS('Costa Rica'!$H:$H,'Costa Rica'!$F:$F,P$109)</f>
        <v>119769</v>
      </c>
      <c r="Q119" s="6" t="n">
        <f aca="false">SUMIFS('Costa Rica'!$H:$H,'Costa Rica'!$F:$F,Q$109)</f>
        <v>0</v>
      </c>
      <c r="R119" s="6" t="n">
        <f aca="false">SUMIFS('Costa Rica'!$H:$H,'Costa Rica'!$F:$F,R$109)</f>
        <v>0</v>
      </c>
      <c r="S119" s="7" t="n">
        <f aca="false">SUM(B119:R119)</f>
        <v>843555</v>
      </c>
    </row>
    <row r="120" customFormat="false" ht="15" hidden="false" customHeight="false" outlineLevel="0" collapsed="false">
      <c r="A120" s="5" t="s">
        <v>35</v>
      </c>
      <c r="B120" s="6" t="n">
        <f aca="false">SUMIFS(Guatemala!$H:$H,Guatemala!$F:$F,B$109)</f>
        <v>0</v>
      </c>
      <c r="C120" s="6" t="n">
        <f aca="false">SUMIFS(Guatemala!$H:$H,Guatemala!$F:$F,C$109)</f>
        <v>0</v>
      </c>
      <c r="D120" s="6" t="n">
        <f aca="false">SUMIFS(Guatemala!$H:$H,Guatemala!$F:$F,D$109)</f>
        <v>0</v>
      </c>
      <c r="E120" s="6" t="n">
        <f aca="false">SUMIFS(Guatemala!$H:$H,Guatemala!$F:$F,E$109)</f>
        <v>0</v>
      </c>
      <c r="F120" s="6" t="n">
        <f aca="false">SUMIFS(Guatemala!$H:$H,Guatemala!$F:$F,F$109)</f>
        <v>0</v>
      </c>
      <c r="G120" s="6" t="n">
        <f aca="false">SUMIFS(Guatemala!$H:$H,Guatemala!$F:$F,G$109)</f>
        <v>0</v>
      </c>
      <c r="H120" s="6" t="n">
        <f aca="false">SUMIFS(Guatemala!$H:$H,Guatemala!$F:$F,H$109)</f>
        <v>0</v>
      </c>
      <c r="I120" s="6" t="n">
        <f aca="false">SUMIFS(Guatemala!$H:$H,Guatemala!$F:$F,I$109)</f>
        <v>0</v>
      </c>
      <c r="J120" s="6" t="n">
        <f aca="false">SUMIFS(Guatemala!$H:$H,Guatemala!$F:$F,J$109)</f>
        <v>0</v>
      </c>
      <c r="K120" s="6" t="n">
        <f aca="false">SUMIFS(Guatemala!$H:$H,Guatemala!$F:$F,K$109)</f>
        <v>143948</v>
      </c>
      <c r="L120" s="6" t="n">
        <f aca="false">SUMIFS(Guatemala!$H:$H,Guatemala!$F:$F,L$109)</f>
        <v>252257</v>
      </c>
      <c r="M120" s="6" t="n">
        <f aca="false">SUMIFS(Guatemala!$H:$H,Guatemala!$F:$F,M$109)</f>
        <v>138403</v>
      </c>
      <c r="N120" s="6" t="n">
        <f aca="false">SUMIFS(Guatemala!$H:$H,Guatemala!$F:$F,N$109)</f>
        <v>0</v>
      </c>
      <c r="O120" s="6" t="n">
        <f aca="false">SUMIFS(Guatemala!$H:$H,Guatemala!$F:$F,O$109)</f>
        <v>124545</v>
      </c>
      <c r="P120" s="6" t="n">
        <f aca="false">SUMIFS(Guatemala!$H:$H,Guatemala!$F:$F,P$109)</f>
        <v>105000</v>
      </c>
      <c r="Q120" s="6" t="n">
        <f aca="false">SUMIFS(Guatemala!$H:$H,Guatemala!$F:$F,Q$109)</f>
        <v>0</v>
      </c>
      <c r="R120" s="6" t="n">
        <f aca="false">SUMIFS(Guatemala!$H:$H,Guatemala!$F:$F,R$109)</f>
        <v>0</v>
      </c>
      <c r="S120" s="7" t="n">
        <f aca="false">SUM(B120:R120)</f>
        <v>764153</v>
      </c>
    </row>
    <row r="121" customFormat="false" ht="15" hidden="false" customHeight="false" outlineLevel="0" collapsed="false">
      <c r="A121" s="5" t="s">
        <v>36</v>
      </c>
      <c r="B121" s="6" t="n">
        <f aca="false">SUMIFS('Saudi Arabia'!$H:$H,'Saudi Arabia'!$F:$F,B$109)</f>
        <v>0</v>
      </c>
      <c r="C121" s="6" t="n">
        <f aca="false">SUMIFS('Saudi Arabia'!$H:$H,'Saudi Arabia'!$F:$F,C$109)</f>
        <v>0</v>
      </c>
      <c r="D121" s="6" t="n">
        <f aca="false">SUMIFS('Saudi Arabia'!$H:$H,'Saudi Arabia'!$F:$F,D$109)</f>
        <v>0</v>
      </c>
      <c r="E121" s="6" t="n">
        <f aca="false">SUMIFS('Saudi Arabia'!$H:$H,'Saudi Arabia'!$F:$F,E$109)</f>
        <v>0</v>
      </c>
      <c r="F121" s="6" t="n">
        <f aca="false">SUMIFS('Saudi Arabia'!$H:$H,'Saudi Arabia'!$F:$F,F$109)</f>
        <v>140000</v>
      </c>
      <c r="G121" s="6" t="n">
        <f aca="false">SUMIFS('Saudi Arabia'!$H:$H,'Saudi Arabia'!$F:$F,G$109)</f>
        <v>210000</v>
      </c>
      <c r="H121" s="6" t="n">
        <f aca="false">SUMIFS('Saudi Arabia'!$H:$H,'Saudi Arabia'!$F:$F,H$109)</f>
        <v>140000</v>
      </c>
      <c r="I121" s="6" t="n">
        <f aca="false">SUMIFS('Saudi Arabia'!$H:$H,'Saudi Arabia'!$F:$F,I$109)</f>
        <v>140000</v>
      </c>
      <c r="J121" s="6" t="n">
        <f aca="false">SUMIFS('Saudi Arabia'!$H:$H,'Saudi Arabia'!$F:$F,J$109)</f>
        <v>0</v>
      </c>
      <c r="K121" s="6" t="n">
        <f aca="false">SUMIFS('Saudi Arabia'!$H:$H,'Saudi Arabia'!$F:$F,K$109)</f>
        <v>66000</v>
      </c>
      <c r="L121" s="6" t="n">
        <f aca="false">SUMIFS('Saudi Arabia'!$H:$H,'Saudi Arabia'!$F:$F,L$109)</f>
        <v>0</v>
      </c>
      <c r="M121" s="6" t="n">
        <f aca="false">SUMIFS('Saudi Arabia'!$H:$H,'Saudi Arabia'!$F:$F,M$109)</f>
        <v>0</v>
      </c>
      <c r="N121" s="6" t="n">
        <f aca="false">SUMIFS('Saudi Arabia'!$H:$H,'Saudi Arabia'!$F:$F,N$109)</f>
        <v>0</v>
      </c>
      <c r="O121" s="6" t="n">
        <f aca="false">SUMIFS('Saudi Arabia'!$H:$H,'Saudi Arabia'!$F:$F,O$109)</f>
        <v>0</v>
      </c>
      <c r="P121" s="6" t="n">
        <f aca="false">SUMIFS('Saudi Arabia'!$H:$H,'Saudi Arabia'!$F:$F,P$109)</f>
        <v>0</v>
      </c>
      <c r="Q121" s="6" t="n">
        <f aca="false">SUMIFS('Saudi Arabia'!$H:$H,'Saudi Arabia'!$F:$F,Q$109)</f>
        <v>0</v>
      </c>
      <c r="R121" s="6" t="n">
        <f aca="false">SUMIFS('Saudi Arabia'!$H:$H,'Saudi Arabia'!$F:$F,R$109)</f>
        <v>0</v>
      </c>
      <c r="S121" s="7" t="n">
        <f aca="false">SUM(B121:R121)</f>
        <v>696000</v>
      </c>
    </row>
    <row r="122" customFormat="false" ht="15" hidden="false" customHeight="false" outlineLevel="0" collapsed="false">
      <c r="A122" s="5" t="s">
        <v>37</v>
      </c>
      <c r="B122" s="6" t="n">
        <f aca="false">SUMIFS(Argentina!$H:$H,Argentina!$F:$F,B$109)</f>
        <v>0</v>
      </c>
      <c r="C122" s="6" t="n">
        <f aca="false">SUMIFS(Argentina!$H:$H,Argentina!$F:$F,C$109)</f>
        <v>0</v>
      </c>
      <c r="D122" s="6" t="n">
        <f aca="false">SUMIFS(Argentina!$H:$H,Argentina!$F:$F,D$109)</f>
        <v>0</v>
      </c>
      <c r="E122" s="6" t="n">
        <f aca="false">SUMIFS(Argentina!$H:$H,Argentina!$F:$F,E$109)</f>
        <v>0</v>
      </c>
      <c r="F122" s="6" t="n">
        <f aca="false">SUMIFS(Argentina!$H:$H,Argentina!$F:$F,F$109)</f>
        <v>0</v>
      </c>
      <c r="G122" s="6" t="n">
        <f aca="false">SUMIFS(Argentina!$H:$H,Argentina!$F:$F,G$109)</f>
        <v>0</v>
      </c>
      <c r="H122" s="6" t="n">
        <f aca="false">SUMIFS(Argentina!$H:$H,Argentina!$F:$F,H$109)</f>
        <v>0</v>
      </c>
      <c r="I122" s="6" t="n">
        <f aca="false">SUMIFS(Argentina!$H:$H,Argentina!$F:$F,I$109)</f>
        <v>570000</v>
      </c>
      <c r="J122" s="6" t="n">
        <f aca="false">SUMIFS(Argentina!$H:$H,Argentina!$F:$F,J$109)</f>
        <v>0</v>
      </c>
      <c r="K122" s="6" t="n">
        <f aca="false">SUMIFS(Argentina!$H:$H,Argentina!$F:$F,K$109)</f>
        <v>0</v>
      </c>
      <c r="L122" s="6" t="n">
        <f aca="false">SUMIFS(Argentina!$H:$H,Argentina!$F:$F,L$109)</f>
        <v>0</v>
      </c>
      <c r="M122" s="6" t="n">
        <f aca="false">SUMIFS(Argentina!$H:$H,Argentina!$F:$F,M$109)</f>
        <v>0</v>
      </c>
      <c r="N122" s="6" t="n">
        <f aca="false">SUMIFS(Argentina!$H:$H,Argentina!$F:$F,N$109)</f>
        <v>0</v>
      </c>
      <c r="O122" s="6" t="n">
        <f aca="false">SUMIFS(Argentina!$H:$H,Argentina!$F:$F,O$109)</f>
        <v>0</v>
      </c>
      <c r="P122" s="6" t="n">
        <f aca="false">SUMIFS(Argentina!$H:$H,Argentina!$F:$F,P$109)</f>
        <v>0</v>
      </c>
      <c r="Q122" s="6" t="n">
        <f aca="false">SUMIFS(Argentina!$H:$H,Argentina!$F:$F,Q$109)</f>
        <v>0</v>
      </c>
      <c r="R122" s="6" t="n">
        <f aca="false">SUMIFS(Argentina!$H:$H,Argentina!$F:$F,R$109)</f>
        <v>0</v>
      </c>
      <c r="S122" s="7" t="n">
        <f aca="false">SUM(B122:R122)</f>
        <v>570000</v>
      </c>
    </row>
    <row r="123" customFormat="false" ht="15" hidden="false" customHeight="false" outlineLevel="0" collapsed="false">
      <c r="A123" s="5" t="s">
        <v>38</v>
      </c>
      <c r="B123" s="6" t="n">
        <f aca="false">SUMIFS(Pakistan!$H:$H,Pakistan!$F:$F,B$109)</f>
        <v>0</v>
      </c>
      <c r="C123" s="6" t="n">
        <f aca="false">SUMIFS(Pakistan!$H:$H,Pakistan!$F:$F,C$109)</f>
        <v>0</v>
      </c>
      <c r="D123" s="6" t="n">
        <f aca="false">SUMIFS(Pakistan!$H:$H,Pakistan!$F:$F,D$109)</f>
        <v>0</v>
      </c>
      <c r="E123" s="6" t="n">
        <f aca="false">SUMIFS(Pakistan!$H:$H,Pakistan!$F:$F,E$109)</f>
        <v>0</v>
      </c>
      <c r="F123" s="6" t="n">
        <f aca="false">SUMIFS(Pakistan!$H:$H,Pakistan!$F:$F,F$109)</f>
        <v>0</v>
      </c>
      <c r="G123" s="6" t="n">
        <f aca="false">SUMIFS(Pakistan!$H:$H,Pakistan!$F:$F,G$109)</f>
        <v>0</v>
      </c>
      <c r="H123" s="6" t="n">
        <f aca="false">SUMIFS(Pakistan!$H:$H,Pakistan!$F:$F,H$109)</f>
        <v>0</v>
      </c>
      <c r="I123" s="6" t="n">
        <f aca="false">SUMIFS(Pakistan!$H:$H,Pakistan!$F:$F,I$109)</f>
        <v>199500</v>
      </c>
      <c r="J123" s="6" t="n">
        <f aca="false">SUMIFS(Pakistan!$H:$H,Pakistan!$F:$F,J$109)</f>
        <v>0</v>
      </c>
      <c r="K123" s="6" t="n">
        <f aca="false">SUMIFS(Pakistan!$H:$H,Pakistan!$F:$F,K$109)</f>
        <v>0</v>
      </c>
      <c r="L123" s="6" t="n">
        <f aca="false">SUMIFS(Pakistan!$H:$H,Pakistan!$F:$F,L$109)</f>
        <v>132000</v>
      </c>
      <c r="M123" s="6" t="n">
        <f aca="false">SUMIFS(Pakistan!$H:$H,Pakistan!$F:$F,M$109)</f>
        <v>352000</v>
      </c>
      <c r="N123" s="6" t="n">
        <f aca="false">SUMIFS(Pakistan!$H:$H,Pakistan!$F:$F,N$109)</f>
        <v>0</v>
      </c>
      <c r="O123" s="6" t="n">
        <f aca="false">SUMIFS(Pakistan!$H:$H,Pakistan!$F:$F,O$109)</f>
        <v>0</v>
      </c>
      <c r="P123" s="6" t="n">
        <f aca="false">SUMIFS(Pakistan!$H:$H,Pakistan!$F:$F,P$109)</f>
        <v>345000</v>
      </c>
      <c r="Q123" s="6" t="n">
        <f aca="false">SUMIFS(Pakistan!$H:$H,Pakistan!$F:$F,Q$109)</f>
        <v>0</v>
      </c>
      <c r="R123" s="6" t="n">
        <f aca="false">SUMIFS(Pakistan!$H:$H,Pakistan!$F:$F,R$109)</f>
        <v>0</v>
      </c>
      <c r="S123" s="7" t="n">
        <f aca="false">SUM(B123:R123)</f>
        <v>1028500</v>
      </c>
    </row>
    <row r="124" customFormat="false" ht="15" hidden="false" customHeight="false" outlineLevel="0" collapsed="false">
      <c r="A124" s="5" t="s">
        <v>39</v>
      </c>
      <c r="B124" s="6" t="n">
        <f aca="false">SUMIFS(Other!$H:$H,Other!$F:$F,B$109)</f>
        <v>0</v>
      </c>
      <c r="C124" s="6" t="n">
        <f aca="false">SUMIFS(Other!$H:$H,Other!$F:$F,C$109)</f>
        <v>0</v>
      </c>
      <c r="D124" s="6" t="n">
        <f aca="false">SUMIFS(Other!$H:$H,Other!$F:$F,D$109)</f>
        <v>0</v>
      </c>
      <c r="E124" s="6" t="n">
        <f aca="false">SUMIFS(Other!$H:$H,Other!$F:$F,E$109)</f>
        <v>120000</v>
      </c>
      <c r="F124" s="6" t="n">
        <f aca="false">SUMIFS(Other!$H:$H,Other!$F:$F,F$109)</f>
        <v>0</v>
      </c>
      <c r="G124" s="6" t="n">
        <f aca="false">SUMIFS(Other!$H:$H,Other!$F:$F,G$109)</f>
        <v>349000</v>
      </c>
      <c r="H124" s="6" t="n">
        <f aca="false">SUMIFS(Other!$H:$H,Other!$F:$F,H$109)</f>
        <v>210973</v>
      </c>
      <c r="I124" s="6" t="n">
        <f aca="false">SUMIFS(Other!$H:$H,Other!$F:$F,I$109)</f>
        <v>357000</v>
      </c>
      <c r="J124" s="6" t="n">
        <f aca="false">SUMIFS(Other!$H:$H,Other!$F:$F,J$109)</f>
        <v>104100</v>
      </c>
      <c r="K124" s="6" t="n">
        <f aca="false">SUMIFS(Other!$H:$H,Other!$F:$F,K$109)</f>
        <v>154500</v>
      </c>
      <c r="L124" s="6" t="n">
        <f aca="false">SUMIFS(Other!$H:$H,Other!$F:$F,L$109)</f>
        <v>210000</v>
      </c>
      <c r="M124" s="6" t="n">
        <f aca="false">SUMIFS(Other!$H:$H,Other!$F:$F,M$109)</f>
        <v>105000</v>
      </c>
      <c r="N124" s="6" t="n">
        <f aca="false">SUMIFS(Other!$H:$H,Other!$F:$F,N$109)</f>
        <v>0</v>
      </c>
      <c r="O124" s="6" t="n">
        <f aca="false">SUMIFS(Other!$H:$H,Other!$F:$F,O$109)</f>
        <v>0</v>
      </c>
      <c r="P124" s="6" t="n">
        <f aca="false">SUMIFS(Other!$H:$H,Other!$F:$F,P$109)</f>
        <v>110000</v>
      </c>
      <c r="Q124" s="6" t="n">
        <f aca="false">SUMIFS(Other!$H:$H,Other!$F:$F,Q$109)</f>
        <v>0</v>
      </c>
      <c r="R124" s="6" t="n">
        <f aca="false">SUMIFS(Other!$H:$H,Other!$F:$F,R$109)</f>
        <v>0</v>
      </c>
      <c r="S124" s="7" t="n">
        <f aca="false">SUM(B124:R124)</f>
        <v>1720573</v>
      </c>
    </row>
    <row r="125" customFormat="false" ht="15" hidden="false" customHeight="false" outlineLevel="0" collapsed="false">
      <c r="A125" s="8" t="s">
        <v>24</v>
      </c>
      <c r="B125" s="9" t="n">
        <f aca="false">SUM(B110:B124)</f>
        <v>707000</v>
      </c>
      <c r="C125" s="9" t="n">
        <f aca="false">SUM(C110:C124)</f>
        <v>3895000</v>
      </c>
      <c r="D125" s="9" t="n">
        <f aca="false">SUM(D110:D124)</f>
        <v>5317831</v>
      </c>
      <c r="E125" s="9" t="n">
        <f aca="false">SUM(E110:E124)</f>
        <v>9712660</v>
      </c>
      <c r="F125" s="9" t="n">
        <f aca="false">SUM(F110:F124)</f>
        <v>140000</v>
      </c>
      <c r="G125" s="9" t="n">
        <f aca="false">SUM(G110:G124)</f>
        <v>19762213</v>
      </c>
      <c r="H125" s="9" t="n">
        <f aca="false">SUM(H110:H124)</f>
        <v>28001071</v>
      </c>
      <c r="I125" s="9" t="n">
        <f aca="false">SUM(I110:I124)</f>
        <v>32922912</v>
      </c>
      <c r="J125" s="9" t="n">
        <f aca="false">SUM(J110:J124)</f>
        <v>28086496</v>
      </c>
      <c r="K125" s="9" t="n">
        <f aca="false">SUM(K110:K124)</f>
        <v>41677395</v>
      </c>
      <c r="L125" s="9" t="n">
        <f aca="false">SUM(L110:L124)</f>
        <v>53764358</v>
      </c>
      <c r="M125" s="9" t="n">
        <f aca="false">SUM(M110:M124)</f>
        <v>35098735</v>
      </c>
      <c r="N125" s="9" t="n">
        <f aca="false">SUM(N110:N124)</f>
        <v>25944526</v>
      </c>
      <c r="O125" s="9" t="n">
        <f aca="false">SUM(O110:O124)</f>
        <v>24626299</v>
      </c>
      <c r="P125" s="9" t="n">
        <f aca="false">SUM(P110:P124)</f>
        <v>30075367</v>
      </c>
      <c r="Q125" s="9" t="n">
        <f aca="false">SUM(Q110:Q124)</f>
        <v>33628677</v>
      </c>
      <c r="R125" s="9" t="n">
        <f aca="false">SUM(R110:R124)</f>
        <v>2914120</v>
      </c>
      <c r="S125" s="9" t="n">
        <f aca="false">SUM(S110:S124)</f>
        <v>376274660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9"/>
  </cols>
  <sheetData>
    <row r="1" customFormat="false" ht="16.1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J3" s="10" t="s">
        <v>2</v>
      </c>
    </row>
    <row r="4" customFormat="false" ht="30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</v>
      </c>
      <c r="E4" s="4" t="s">
        <v>48</v>
      </c>
      <c r="F4" s="4" t="s">
        <v>49</v>
      </c>
      <c r="G4" s="4" t="s">
        <v>50</v>
      </c>
      <c r="H4" s="4" t="s">
        <v>51</v>
      </c>
      <c r="J4" s="4" t="s">
        <v>52</v>
      </c>
      <c r="K4" s="4" t="s">
        <v>3</v>
      </c>
      <c r="L4" s="4" t="s">
        <v>40</v>
      </c>
      <c r="M4" s="4" t="s">
        <v>24</v>
      </c>
      <c r="N4" s="4" t="s">
        <v>53</v>
      </c>
    </row>
    <row r="5" customFormat="false" ht="15" hidden="false" customHeight="false" outlineLevel="0" collapsed="false">
      <c r="A5" s="11" t="n">
        <v>40721</v>
      </c>
      <c r="B5" s="11" t="n">
        <v>40738</v>
      </c>
      <c r="C5" s="11" t="n">
        <v>40731</v>
      </c>
      <c r="D5" s="5" t="s">
        <v>25</v>
      </c>
      <c r="E5" s="5" t="s">
        <v>5</v>
      </c>
      <c r="F5" s="5" t="s">
        <v>5</v>
      </c>
      <c r="G5" s="5" t="s">
        <v>3</v>
      </c>
      <c r="H5" s="6" t="n">
        <v>130000</v>
      </c>
      <c r="J5" s="5" t="s">
        <v>5</v>
      </c>
      <c r="K5" s="6" t="n">
        <f aca="false">SUMIFS($H$5:$H$757,$E$5:$E$757,J5,$G$5:$G$757,"Corn")</f>
        <v>130000</v>
      </c>
      <c r="L5" s="6" t="n">
        <f aca="false">SUMIFS($H$5:$H$757,$E$5:$E$757,J5,$G$5:$G$757,"Soybean")</f>
        <v>0</v>
      </c>
      <c r="M5" s="6" t="n">
        <f aca="false">K5+L5</f>
        <v>130000</v>
      </c>
      <c r="N5" s="6" t="n">
        <f aca="false">COUNTIFS($E$5:$E$757,J5)</f>
        <v>1</v>
      </c>
    </row>
    <row r="6" customFormat="false" ht="15" hidden="false" customHeight="false" outlineLevel="0" collapsed="false">
      <c r="A6" s="11" t="n">
        <v>40721</v>
      </c>
      <c r="B6" s="11" t="n">
        <v>40738</v>
      </c>
      <c r="C6" s="11" t="n">
        <v>40731</v>
      </c>
      <c r="D6" s="5" t="s">
        <v>25</v>
      </c>
      <c r="E6" s="5" t="s">
        <v>6</v>
      </c>
      <c r="F6" s="5" t="s">
        <v>5</v>
      </c>
      <c r="G6" s="5" t="s">
        <v>3</v>
      </c>
      <c r="H6" s="6" t="n">
        <v>100000</v>
      </c>
      <c r="J6" s="5" t="s">
        <v>6</v>
      </c>
      <c r="K6" s="6" t="n">
        <f aca="false">SUMIFS($H$5:$H$757,$E$5:$E$757,J6,$G$5:$G$757,"Corn")</f>
        <v>100000</v>
      </c>
      <c r="L6" s="6" t="n">
        <f aca="false">SUMIFS($H$5:$H$757,$E$5:$E$757,J6,$G$5:$G$757,"Soybean")</f>
        <v>0</v>
      </c>
      <c r="M6" s="6" t="n">
        <f aca="false">K6+L6</f>
        <v>100000</v>
      </c>
      <c r="N6" s="6" t="n">
        <f aca="false">COUNTIFS($E$5:$E$757,J6)</f>
        <v>1</v>
      </c>
    </row>
    <row r="7" customFormat="false" ht="15" hidden="false" customHeight="false" outlineLevel="0" collapsed="false">
      <c r="A7" s="11" t="n">
        <v>41291</v>
      </c>
      <c r="B7" s="11" t="n">
        <v>41305</v>
      </c>
      <c r="C7" s="11" t="n">
        <v>41298</v>
      </c>
      <c r="D7" s="5" t="s">
        <v>25</v>
      </c>
      <c r="E7" s="5" t="s">
        <v>8</v>
      </c>
      <c r="F7" s="5" t="s">
        <v>7</v>
      </c>
      <c r="G7" s="5" t="s">
        <v>40</v>
      </c>
      <c r="H7" s="6" t="n">
        <v>240000</v>
      </c>
      <c r="J7" s="5" t="s">
        <v>7</v>
      </c>
      <c r="K7" s="6" t="n">
        <f aca="false">SUMIFS($H$5:$H$757,$E$5:$E$757,J7,$G$5:$G$757,"Corn")</f>
        <v>58928</v>
      </c>
      <c r="L7" s="6" t="n">
        <f aca="false">SUMIFS($H$5:$H$757,$E$5:$E$757,J7,$G$5:$G$757,"Soybean")</f>
        <v>75450</v>
      </c>
      <c r="M7" s="6" t="n">
        <f aca="false">K7+L7</f>
        <v>134378</v>
      </c>
      <c r="N7" s="6" t="n">
        <f aca="false">COUNTIFS($E$5:$E$757,J7)</f>
        <v>3</v>
      </c>
    </row>
    <row r="8" customFormat="false" ht="15" hidden="false" customHeight="false" outlineLevel="0" collapsed="false">
      <c r="A8" s="11" t="n">
        <v>41326</v>
      </c>
      <c r="B8" s="11" t="n">
        <v>41340</v>
      </c>
      <c r="C8" s="11" t="n">
        <v>41333</v>
      </c>
      <c r="D8" s="5" t="s">
        <v>25</v>
      </c>
      <c r="E8" s="5" t="s">
        <v>7</v>
      </c>
      <c r="F8" s="5" t="s">
        <v>7</v>
      </c>
      <c r="G8" s="5" t="s">
        <v>40</v>
      </c>
      <c r="H8" s="6" t="n">
        <v>75450</v>
      </c>
      <c r="J8" s="5" t="s">
        <v>8</v>
      </c>
      <c r="K8" s="6" t="n">
        <f aca="false">SUMIFS($H$5:$H$757,$E$5:$E$757,J8,$G$5:$G$757,"Corn")</f>
        <v>978280</v>
      </c>
      <c r="L8" s="6" t="n">
        <f aca="false">SUMIFS($H$5:$H$757,$E$5:$E$757,J8,$G$5:$G$757,"Soybean")</f>
        <v>3383650</v>
      </c>
      <c r="M8" s="6" t="n">
        <f aca="false">K8+L8</f>
        <v>4361930</v>
      </c>
      <c r="N8" s="6" t="n">
        <f aca="false">COUNTIFS($E$5:$E$757,J8)</f>
        <v>26</v>
      </c>
    </row>
    <row r="9" customFormat="false" ht="15" hidden="false" customHeight="false" outlineLevel="0" collapsed="false">
      <c r="A9" s="11" t="n">
        <v>41326</v>
      </c>
      <c r="B9" s="11" t="n">
        <v>41340</v>
      </c>
      <c r="C9" s="11" t="n">
        <v>41333</v>
      </c>
      <c r="D9" s="5" t="s">
        <v>25</v>
      </c>
      <c r="E9" s="5" t="s">
        <v>8</v>
      </c>
      <c r="F9" s="5" t="s">
        <v>7</v>
      </c>
      <c r="G9" s="5" t="s">
        <v>40</v>
      </c>
      <c r="H9" s="6" t="n">
        <v>55000</v>
      </c>
      <c r="J9" s="5" t="s">
        <v>9</v>
      </c>
      <c r="K9" s="6" t="n">
        <f aca="false">SUMIFS($H$5:$H$757,$E$5:$E$757,J9,$G$5:$G$757,"Corn")</f>
        <v>16256</v>
      </c>
      <c r="L9" s="6" t="n">
        <f aca="false">SUMIFS($H$5:$H$757,$E$5:$E$757,J9,$G$5:$G$757,"Soybean")</f>
        <v>435000</v>
      </c>
      <c r="M9" s="6" t="n">
        <f aca="false">K9+L9</f>
        <v>451256</v>
      </c>
      <c r="N9" s="6" t="n">
        <f aca="false">COUNTIFS($E$5:$E$757,J9)</f>
        <v>4</v>
      </c>
    </row>
    <row r="10" customFormat="false" ht="15" hidden="false" customHeight="false" outlineLevel="0" collapsed="false">
      <c r="A10" s="11" t="n">
        <v>41330</v>
      </c>
      <c r="B10" s="11" t="n">
        <v>41347</v>
      </c>
      <c r="C10" s="11" t="n">
        <v>41340</v>
      </c>
      <c r="D10" s="5" t="s">
        <v>25</v>
      </c>
      <c r="E10" s="5" t="s">
        <v>7</v>
      </c>
      <c r="F10" s="5" t="s">
        <v>7</v>
      </c>
      <c r="G10" s="5" t="s">
        <v>3</v>
      </c>
      <c r="H10" s="6" t="n">
        <v>50800</v>
      </c>
      <c r="J10" s="5" t="s">
        <v>10</v>
      </c>
      <c r="K10" s="6" t="n">
        <f aca="false">SUMIFS($H$5:$H$757,$E$5:$E$757,J10,$G$5:$G$757,"Corn")</f>
        <v>1644690</v>
      </c>
      <c r="L10" s="6" t="n">
        <f aca="false">SUMIFS($H$5:$H$757,$E$5:$E$757,J10,$G$5:$G$757,"Soybean")</f>
        <v>2756500</v>
      </c>
      <c r="M10" s="6" t="n">
        <f aca="false">K10+L10</f>
        <v>4401190</v>
      </c>
      <c r="N10" s="6" t="n">
        <f aca="false">COUNTIFS($E$5:$E$757,J10)</f>
        <v>29</v>
      </c>
    </row>
    <row r="11" customFormat="false" ht="15" hidden="false" customHeight="false" outlineLevel="0" collapsed="false">
      <c r="A11" s="11" t="n">
        <v>41330</v>
      </c>
      <c r="B11" s="11" t="n">
        <v>41347</v>
      </c>
      <c r="C11" s="11" t="n">
        <v>41340</v>
      </c>
      <c r="D11" s="5" t="s">
        <v>25</v>
      </c>
      <c r="E11" s="5" t="s">
        <v>8</v>
      </c>
      <c r="F11" s="5" t="s">
        <v>7</v>
      </c>
      <c r="G11" s="5" t="s">
        <v>3</v>
      </c>
      <c r="H11" s="6" t="n">
        <v>76200</v>
      </c>
      <c r="J11" s="5" t="s">
        <v>11</v>
      </c>
      <c r="K11" s="6" t="n">
        <f aca="false">SUMIFS($H$5:$H$757,$E$5:$E$757,J11,$G$5:$G$757,"Corn")</f>
        <v>3606283</v>
      </c>
      <c r="L11" s="6" t="n">
        <f aca="false">SUMIFS($H$5:$H$757,$E$5:$E$757,J11,$G$5:$G$757,"Soybean")</f>
        <v>10305291</v>
      </c>
      <c r="M11" s="6" t="n">
        <f aca="false">K11+L11</f>
        <v>13911574</v>
      </c>
      <c r="N11" s="6" t="n">
        <f aca="false">COUNTIFS($E$5:$E$757,J11)</f>
        <v>93</v>
      </c>
    </row>
    <row r="12" customFormat="false" ht="15" hidden="false" customHeight="false" outlineLevel="0" collapsed="false">
      <c r="A12" s="11" t="n">
        <v>41452</v>
      </c>
      <c r="B12" s="11" t="n">
        <v>41466</v>
      </c>
      <c r="C12" s="11" t="n">
        <v>41459</v>
      </c>
      <c r="D12" s="5" t="s">
        <v>25</v>
      </c>
      <c r="E12" s="5" t="s">
        <v>8</v>
      </c>
      <c r="F12" s="5" t="s">
        <v>7</v>
      </c>
      <c r="G12" s="5" t="s">
        <v>40</v>
      </c>
      <c r="H12" s="6" t="n">
        <v>172500</v>
      </c>
      <c r="J12" s="5" t="s">
        <v>12</v>
      </c>
      <c r="K12" s="6" t="n">
        <f aca="false">SUMIFS($H$5:$H$757,$E$5:$E$757,J12,$G$5:$G$757,"Corn")</f>
        <v>4388664</v>
      </c>
      <c r="L12" s="6" t="n">
        <f aca="false">SUMIFS($H$5:$H$757,$E$5:$E$757,J12,$G$5:$G$757,"Soybean")</f>
        <v>8560600</v>
      </c>
      <c r="M12" s="6" t="n">
        <f aca="false">K12+L12</f>
        <v>12949264</v>
      </c>
      <c r="N12" s="6" t="n">
        <f aca="false">COUNTIFS($E$5:$E$757,J12)</f>
        <v>76</v>
      </c>
    </row>
    <row r="13" customFormat="false" ht="15" hidden="false" customHeight="false" outlineLevel="0" collapsed="false">
      <c r="A13" s="11" t="n">
        <v>41466</v>
      </c>
      <c r="B13" s="11" t="n">
        <v>41480</v>
      </c>
      <c r="C13" s="11" t="n">
        <v>41473</v>
      </c>
      <c r="D13" s="5" t="s">
        <v>25</v>
      </c>
      <c r="E13" s="5" t="s">
        <v>8</v>
      </c>
      <c r="F13" s="5" t="s">
        <v>7</v>
      </c>
      <c r="G13" s="5" t="s">
        <v>40</v>
      </c>
      <c r="H13" s="6" t="n">
        <v>120000</v>
      </c>
      <c r="J13" s="5" t="s">
        <v>13</v>
      </c>
      <c r="K13" s="6" t="n">
        <f aca="false">SUMIFS($H$5:$H$757,$E$5:$E$757,J13,$G$5:$G$757,"Corn")</f>
        <v>1998484</v>
      </c>
      <c r="L13" s="6" t="n">
        <f aca="false">SUMIFS($H$5:$H$757,$E$5:$E$757,J13,$G$5:$G$757,"Soybean")</f>
        <v>8553006</v>
      </c>
      <c r="M13" s="6" t="n">
        <f aca="false">K13+L13</f>
        <v>10551490</v>
      </c>
      <c r="N13" s="6" t="n">
        <f aca="false">COUNTIFS($E$5:$E$757,J13)</f>
        <v>65</v>
      </c>
    </row>
    <row r="14" customFormat="false" ht="15" hidden="false" customHeight="false" outlineLevel="0" collapsed="false">
      <c r="A14" s="11" t="n">
        <v>41470</v>
      </c>
      <c r="B14" s="11" t="n">
        <v>41487</v>
      </c>
      <c r="C14" s="11" t="n">
        <v>41480</v>
      </c>
      <c r="D14" s="5" t="s">
        <v>25</v>
      </c>
      <c r="E14" s="5" t="s">
        <v>8</v>
      </c>
      <c r="F14" s="5" t="s">
        <v>7</v>
      </c>
      <c r="G14" s="5" t="s">
        <v>3</v>
      </c>
      <c r="H14" s="6" t="n">
        <v>120000</v>
      </c>
      <c r="J14" s="5" t="s">
        <v>14</v>
      </c>
      <c r="K14" s="6" t="n">
        <f aca="false">SUMIFS($H$5:$H$757,$E$5:$E$757,J14,$G$5:$G$757,"Corn")</f>
        <v>1902009</v>
      </c>
      <c r="L14" s="6" t="n">
        <f aca="false">SUMIFS($H$5:$H$757,$E$5:$E$757,J14,$G$5:$G$757,"Soybean")</f>
        <v>4068579</v>
      </c>
      <c r="M14" s="6" t="n">
        <f aca="false">K14+L14</f>
        <v>5970588</v>
      </c>
      <c r="N14" s="6" t="n">
        <f aca="false">COUNTIFS($E$5:$E$757,J14)</f>
        <v>46</v>
      </c>
    </row>
    <row r="15" customFormat="false" ht="15" hidden="false" customHeight="false" outlineLevel="0" collapsed="false">
      <c r="A15" s="11" t="n">
        <v>41481</v>
      </c>
      <c r="B15" s="11" t="n">
        <v>41501</v>
      </c>
      <c r="C15" s="11" t="n">
        <v>41494</v>
      </c>
      <c r="D15" s="5" t="s">
        <v>25</v>
      </c>
      <c r="E15" s="5" t="s">
        <v>7</v>
      </c>
      <c r="F15" s="5" t="s">
        <v>7</v>
      </c>
      <c r="G15" s="5" t="s">
        <v>3</v>
      </c>
      <c r="H15" s="6" t="n">
        <v>8128</v>
      </c>
      <c r="J15" s="5" t="s">
        <v>15</v>
      </c>
      <c r="K15" s="6" t="n">
        <f aca="false">SUMIFS($H$5:$H$757,$E$5:$E$757,J15,$G$5:$G$757,"Corn")</f>
        <v>5430028</v>
      </c>
      <c r="L15" s="6" t="n">
        <f aca="false">SUMIFS($H$5:$H$757,$E$5:$E$757,J15,$G$5:$G$757,"Soybean")</f>
        <v>9149550</v>
      </c>
      <c r="M15" s="6" t="n">
        <f aca="false">K15+L15</f>
        <v>14579578</v>
      </c>
      <c r="N15" s="6" t="n">
        <f aca="false">COUNTIFS($E$5:$E$757,J15)</f>
        <v>82</v>
      </c>
    </row>
    <row r="16" customFormat="false" ht="15" hidden="false" customHeight="false" outlineLevel="0" collapsed="false">
      <c r="A16" s="11" t="n">
        <v>41481</v>
      </c>
      <c r="B16" s="11" t="n">
        <v>41501</v>
      </c>
      <c r="C16" s="11" t="n">
        <v>41494</v>
      </c>
      <c r="D16" s="5" t="s">
        <v>25</v>
      </c>
      <c r="E16" s="5" t="s">
        <v>8</v>
      </c>
      <c r="F16" s="5" t="s">
        <v>7</v>
      </c>
      <c r="G16" s="5" t="s">
        <v>3</v>
      </c>
      <c r="H16" s="6" t="n">
        <v>203200</v>
      </c>
      <c r="J16" s="5" t="s">
        <v>16</v>
      </c>
      <c r="K16" s="6" t="n">
        <f aca="false">SUMIFS($H$5:$H$757,$E$5:$E$757,J16,$G$5:$G$757,"Corn")</f>
        <v>2846684</v>
      </c>
      <c r="L16" s="6" t="n">
        <f aca="false">SUMIFS($H$5:$H$757,$E$5:$E$757,J16,$G$5:$G$757,"Soybean")</f>
        <v>9363030</v>
      </c>
      <c r="M16" s="6" t="n">
        <f aca="false">K16+L16</f>
        <v>12209714</v>
      </c>
      <c r="N16" s="6" t="n">
        <f aca="false">COUNTIFS($E$5:$E$757,J16)</f>
        <v>68</v>
      </c>
    </row>
    <row r="17" customFormat="false" ht="15" hidden="false" customHeight="false" outlineLevel="0" collapsed="false">
      <c r="A17" s="11" t="n">
        <v>41485</v>
      </c>
      <c r="B17" s="11" t="n">
        <v>41501</v>
      </c>
      <c r="C17" s="11" t="n">
        <v>41494</v>
      </c>
      <c r="D17" s="5" t="s">
        <v>25</v>
      </c>
      <c r="E17" s="5" t="s">
        <v>8</v>
      </c>
      <c r="F17" s="5" t="s">
        <v>7</v>
      </c>
      <c r="G17" s="5" t="s">
        <v>40</v>
      </c>
      <c r="H17" s="6" t="n">
        <v>290000</v>
      </c>
      <c r="J17" s="5" t="s">
        <v>17</v>
      </c>
      <c r="K17" s="6" t="n">
        <f aca="false">SUMIFS($H$5:$H$757,$E$5:$E$757,J17,$G$5:$G$757,"Corn")</f>
        <v>1043400</v>
      </c>
      <c r="L17" s="6" t="n">
        <f aca="false">SUMIFS($H$5:$H$757,$E$5:$E$757,J17,$G$5:$G$757,"Soybean")</f>
        <v>7249500</v>
      </c>
      <c r="M17" s="6" t="n">
        <f aca="false">K17+L17</f>
        <v>8292900</v>
      </c>
      <c r="N17" s="6" t="n">
        <f aca="false">COUNTIFS($E$5:$E$757,J17)</f>
        <v>50</v>
      </c>
    </row>
    <row r="18" customFormat="false" ht="15" hidden="false" customHeight="false" outlineLevel="0" collapsed="false">
      <c r="A18" s="11" t="n">
        <v>41486</v>
      </c>
      <c r="B18" s="11" t="n">
        <v>41501</v>
      </c>
      <c r="C18" s="11" t="n">
        <v>41494</v>
      </c>
      <c r="D18" s="5" t="s">
        <v>25</v>
      </c>
      <c r="E18" s="5" t="s">
        <v>8</v>
      </c>
      <c r="F18" s="5" t="s">
        <v>7</v>
      </c>
      <c r="G18" s="5" t="s">
        <v>40</v>
      </c>
      <c r="H18" s="6" t="n">
        <v>120000</v>
      </c>
      <c r="J18" s="5" t="s">
        <v>18</v>
      </c>
      <c r="K18" s="6" t="n">
        <f aca="false">SUMIFS($H$5:$H$757,$E$5:$E$757,J18,$G$5:$G$757,"Corn")</f>
        <v>620800</v>
      </c>
      <c r="L18" s="6" t="n">
        <f aca="false">SUMIFS($H$5:$H$757,$E$5:$E$757,J18,$G$5:$G$757,"Soybean")</f>
        <v>8655200</v>
      </c>
      <c r="M18" s="6" t="n">
        <f aca="false">K18+L18</f>
        <v>9276000</v>
      </c>
      <c r="N18" s="6" t="n">
        <f aca="false">COUNTIFS($E$5:$E$757,J18)</f>
        <v>44</v>
      </c>
    </row>
    <row r="19" customFormat="false" ht="15" hidden="false" customHeight="false" outlineLevel="0" collapsed="false">
      <c r="A19" s="11" t="n">
        <v>41498</v>
      </c>
      <c r="B19" s="11" t="n">
        <v>41515</v>
      </c>
      <c r="C19" s="11" t="n">
        <v>41508</v>
      </c>
      <c r="D19" s="5" t="s">
        <v>25</v>
      </c>
      <c r="E19" s="5" t="s">
        <v>8</v>
      </c>
      <c r="F19" s="5" t="s">
        <v>7</v>
      </c>
      <c r="G19" s="5" t="s">
        <v>40</v>
      </c>
      <c r="H19" s="6" t="n">
        <v>140000</v>
      </c>
      <c r="J19" s="5" t="s">
        <v>19</v>
      </c>
      <c r="K19" s="6" t="n">
        <f aca="false">SUMIFS($H$5:$H$757,$E$5:$E$757,J19,$G$5:$G$757,"Corn")</f>
        <v>5671038</v>
      </c>
      <c r="L19" s="6" t="n">
        <f aca="false">SUMIFS($H$5:$H$757,$E$5:$E$757,J19,$G$5:$G$757,"Soybean")</f>
        <v>8600100</v>
      </c>
      <c r="M19" s="6" t="n">
        <f aca="false">K19+L19</f>
        <v>14271138</v>
      </c>
      <c r="N19" s="6" t="n">
        <f aca="false">COUNTIFS($E$5:$E$757,J19)</f>
        <v>78</v>
      </c>
    </row>
    <row r="20" customFormat="false" ht="15" hidden="false" customHeight="false" outlineLevel="0" collapsed="false">
      <c r="A20" s="11" t="n">
        <v>41502</v>
      </c>
      <c r="B20" s="11" t="n">
        <v>41522</v>
      </c>
      <c r="C20" s="11" t="n">
        <v>41515</v>
      </c>
      <c r="D20" s="5" t="s">
        <v>25</v>
      </c>
      <c r="E20" s="5" t="s">
        <v>8</v>
      </c>
      <c r="F20" s="5" t="s">
        <v>7</v>
      </c>
      <c r="G20" s="5" t="s">
        <v>40</v>
      </c>
      <c r="H20" s="6" t="n">
        <v>126000</v>
      </c>
      <c r="J20" s="5" t="s">
        <v>20</v>
      </c>
      <c r="K20" s="6" t="n">
        <f aca="false">SUMIFS($H$5:$H$757,$E$5:$E$757,J20,$G$5:$G$757,"Corn")</f>
        <v>7102373</v>
      </c>
      <c r="L20" s="6" t="n">
        <f aca="false">SUMIFS($H$5:$H$757,$E$5:$E$757,J20,$G$5:$G$757,"Soybean")</f>
        <v>3292700</v>
      </c>
      <c r="M20" s="6" t="n">
        <f aca="false">K20+L20</f>
        <v>10395073</v>
      </c>
      <c r="N20" s="6" t="n">
        <f aca="false">COUNTIFS($E$5:$E$757,J20)</f>
        <v>60</v>
      </c>
    </row>
    <row r="21" customFormat="false" ht="15" hidden="false" customHeight="false" outlineLevel="0" collapsed="false">
      <c r="A21" s="11" t="n">
        <v>41527</v>
      </c>
      <c r="B21" s="11" t="n">
        <v>41543</v>
      </c>
      <c r="C21" s="11" t="n">
        <v>41536</v>
      </c>
      <c r="D21" s="5" t="s">
        <v>25</v>
      </c>
      <c r="E21" s="5" t="s">
        <v>8</v>
      </c>
      <c r="F21" s="5" t="s">
        <v>8</v>
      </c>
      <c r="G21" s="5" t="s">
        <v>40</v>
      </c>
      <c r="H21" s="6" t="n">
        <v>121000</v>
      </c>
      <c r="J21" s="5" t="s">
        <v>21</v>
      </c>
      <c r="K21" s="6" t="n">
        <f aca="false">SUMIFS($H$5:$H$757,$E$5:$E$757,J21,$G$5:$G$757,"Corn")</f>
        <v>532272</v>
      </c>
      <c r="L21" s="6" t="n">
        <f aca="false">SUMIFS($H$5:$H$757,$E$5:$E$757,J21,$G$5:$G$757,"Soybean")</f>
        <v>4172250</v>
      </c>
      <c r="M21" s="6" t="n">
        <f aca="false">K21+L21</f>
        <v>4704522</v>
      </c>
      <c r="N21" s="6" t="n">
        <f aca="false">COUNTIFS($E$5:$E$757,J21)</f>
        <v>27</v>
      </c>
    </row>
    <row r="22" customFormat="false" ht="15" hidden="false" customHeight="false" outlineLevel="0" collapsed="false">
      <c r="A22" s="11" t="n">
        <v>41535</v>
      </c>
      <c r="B22" s="11" t="n">
        <v>41550</v>
      </c>
      <c r="C22" s="11" t="n">
        <v>41543</v>
      </c>
      <c r="D22" s="5" t="s">
        <v>25</v>
      </c>
      <c r="E22" s="5" t="s">
        <v>8</v>
      </c>
      <c r="F22" s="5" t="s">
        <v>8</v>
      </c>
      <c r="G22" s="5" t="s">
        <v>40</v>
      </c>
      <c r="H22" s="6" t="n">
        <v>182000</v>
      </c>
      <c r="J22" s="8" t="s">
        <v>24</v>
      </c>
      <c r="K22" s="9" t="n">
        <f aca="false">SUM(K5:K21)</f>
        <v>38070189</v>
      </c>
      <c r="L22" s="9" t="n">
        <f aca="false">SUM(L5:L21)</f>
        <v>88620406</v>
      </c>
      <c r="M22" s="9" t="n">
        <f aca="false">SUM(M5:M21)</f>
        <v>126690595</v>
      </c>
      <c r="N22" s="9" t="n">
        <f aca="false">SUM(N5:N21)</f>
        <v>753</v>
      </c>
    </row>
    <row r="23" customFormat="false" ht="15" hidden="false" customHeight="false" outlineLevel="0" collapsed="false">
      <c r="A23" s="11" t="n">
        <v>41536</v>
      </c>
      <c r="B23" s="11" t="n">
        <v>41550</v>
      </c>
      <c r="C23" s="11" t="n">
        <v>41543</v>
      </c>
      <c r="D23" s="5" t="s">
        <v>25</v>
      </c>
      <c r="E23" s="5" t="s">
        <v>8</v>
      </c>
      <c r="F23" s="5" t="s">
        <v>8</v>
      </c>
      <c r="G23" s="5" t="s">
        <v>40</v>
      </c>
      <c r="H23" s="6" t="n">
        <v>120000</v>
      </c>
    </row>
    <row r="24" customFormat="false" ht="15" hidden="false" customHeight="false" outlineLevel="0" collapsed="false">
      <c r="A24" s="11" t="n">
        <v>41542</v>
      </c>
      <c r="B24" s="11" t="n">
        <v>41557</v>
      </c>
      <c r="C24" s="11" t="n">
        <v>41550</v>
      </c>
      <c r="D24" s="5" t="s">
        <v>25</v>
      </c>
      <c r="E24" s="5" t="s">
        <v>8</v>
      </c>
      <c r="F24" s="5" t="s">
        <v>8</v>
      </c>
      <c r="G24" s="5" t="s">
        <v>40</v>
      </c>
      <c r="H24" s="6" t="n">
        <v>140000</v>
      </c>
    </row>
    <row r="25" customFormat="false" ht="15" hidden="false" customHeight="false" outlineLevel="0" collapsed="false">
      <c r="A25" s="11" t="n">
        <v>41565</v>
      </c>
      <c r="B25" s="11" t="n">
        <v>41585</v>
      </c>
      <c r="C25" s="11" t="n">
        <v>41578</v>
      </c>
      <c r="D25" s="5" t="s">
        <v>25</v>
      </c>
      <c r="E25" s="5" t="s">
        <v>8</v>
      </c>
      <c r="F25" s="5" t="s">
        <v>8</v>
      </c>
      <c r="G25" s="5" t="s">
        <v>40</v>
      </c>
      <c r="H25" s="6" t="n">
        <v>140000</v>
      </c>
      <c r="J25" s="10" t="s">
        <v>42</v>
      </c>
    </row>
    <row r="26" customFormat="false" ht="15" hidden="false" customHeight="false" outlineLevel="0" collapsed="false">
      <c r="A26" s="11" t="n">
        <v>41568</v>
      </c>
      <c r="B26" s="11" t="n">
        <v>41585</v>
      </c>
      <c r="C26" s="11" t="n">
        <v>41578</v>
      </c>
      <c r="D26" s="5" t="s">
        <v>25</v>
      </c>
      <c r="E26" s="5" t="s">
        <v>8</v>
      </c>
      <c r="F26" s="5" t="s">
        <v>8</v>
      </c>
      <c r="G26" s="5" t="s">
        <v>40</v>
      </c>
      <c r="H26" s="6" t="n">
        <v>235000</v>
      </c>
      <c r="J26" s="4" t="s">
        <v>54</v>
      </c>
      <c r="K26" s="4" t="s">
        <v>3</v>
      </c>
      <c r="L26" s="4" t="s">
        <v>40</v>
      </c>
      <c r="M26" s="4" t="s">
        <v>24</v>
      </c>
      <c r="N26" s="4" t="s">
        <v>53</v>
      </c>
    </row>
    <row r="27" customFormat="false" ht="15" hidden="false" customHeight="false" outlineLevel="0" collapsed="false">
      <c r="A27" s="11" t="n">
        <v>41583</v>
      </c>
      <c r="B27" s="11" t="n">
        <v>41599</v>
      </c>
      <c r="C27" s="11" t="n">
        <v>41592</v>
      </c>
      <c r="D27" s="5" t="s">
        <v>25</v>
      </c>
      <c r="E27" s="5" t="s">
        <v>8</v>
      </c>
      <c r="F27" s="5" t="s">
        <v>8</v>
      </c>
      <c r="G27" s="5" t="s">
        <v>3</v>
      </c>
      <c r="H27" s="6" t="n">
        <v>126000</v>
      </c>
      <c r="J27" s="5" t="s">
        <v>5</v>
      </c>
      <c r="K27" s="6" t="n">
        <f aca="false">SUMIFS($H$5:$H$757,$F$5:$F$757,J27,$G$5:$G$757,"Corn")</f>
        <v>230000</v>
      </c>
      <c r="L27" s="6" t="n">
        <f aca="false">SUMIFS($H$5:$H$757,$F$5:$F$757,J27,$G$5:$G$757,"Soybean")</f>
        <v>0</v>
      </c>
      <c r="M27" s="6" t="n">
        <f aca="false">K27+L27</f>
        <v>230000</v>
      </c>
      <c r="N27" s="6" t="n">
        <f aca="false">COUNTIFS($F$5:$F$757,J27)</f>
        <v>2</v>
      </c>
    </row>
    <row r="28" customFormat="false" ht="15" hidden="false" customHeight="false" outlineLevel="0" collapsed="false">
      <c r="A28" s="11" t="n">
        <v>41603</v>
      </c>
      <c r="B28" s="11" t="n">
        <v>41620</v>
      </c>
      <c r="C28" s="11" t="n">
        <v>41613</v>
      </c>
      <c r="D28" s="5" t="s">
        <v>25</v>
      </c>
      <c r="E28" s="5" t="s">
        <v>9</v>
      </c>
      <c r="F28" s="5" t="s">
        <v>8</v>
      </c>
      <c r="G28" s="5" t="s">
        <v>40</v>
      </c>
      <c r="H28" s="6" t="n">
        <v>120000</v>
      </c>
      <c r="J28" s="5" t="s">
        <v>7</v>
      </c>
      <c r="K28" s="6" t="n">
        <f aca="false">SUMIFS($H$5:$H$757,$F$5:$F$757,J28,$G$5:$G$757,"Corn")</f>
        <v>458328</v>
      </c>
      <c r="L28" s="6" t="n">
        <f aca="false">SUMIFS($H$5:$H$757,$F$5:$F$757,J28,$G$5:$G$757,"Soybean")</f>
        <v>1338950</v>
      </c>
      <c r="M28" s="6" t="n">
        <f aca="false">K28+L28</f>
        <v>1797278</v>
      </c>
      <c r="N28" s="6" t="n">
        <f aca="false">COUNTIFS($F$5:$F$757,J28)</f>
        <v>14</v>
      </c>
    </row>
    <row r="29" customFormat="false" ht="15" hidden="false" customHeight="false" outlineLevel="0" collapsed="false">
      <c r="A29" s="11" t="n">
        <v>41604</v>
      </c>
      <c r="B29" s="11" t="n">
        <v>41620</v>
      </c>
      <c r="C29" s="11" t="n">
        <v>41613</v>
      </c>
      <c r="D29" s="5" t="s">
        <v>25</v>
      </c>
      <c r="E29" s="5" t="s">
        <v>8</v>
      </c>
      <c r="F29" s="5" t="s">
        <v>8</v>
      </c>
      <c r="G29" s="5" t="s">
        <v>40</v>
      </c>
      <c r="H29" s="6" t="n">
        <v>360000</v>
      </c>
      <c r="J29" s="5" t="s">
        <v>8</v>
      </c>
      <c r="K29" s="6" t="n">
        <f aca="false">SUMIFS($H$5:$H$757,$F$5:$F$757,J29,$G$5:$G$757,"Corn")</f>
        <v>595136</v>
      </c>
      <c r="L29" s="6" t="n">
        <f aca="false">SUMIFS($H$5:$H$757,$F$5:$F$757,J29,$G$5:$G$757,"Soybean")</f>
        <v>2555150</v>
      </c>
      <c r="M29" s="6" t="n">
        <f aca="false">K29+L29</f>
        <v>3150286</v>
      </c>
      <c r="N29" s="6" t="n">
        <f aca="false">COUNTIFS($F$5:$F$757,J29)</f>
        <v>19</v>
      </c>
    </row>
    <row r="30" customFormat="false" ht="15" hidden="false" customHeight="false" outlineLevel="0" collapsed="false">
      <c r="A30" s="11" t="n">
        <v>41614</v>
      </c>
      <c r="B30" s="11" t="n">
        <v>41634</v>
      </c>
      <c r="C30" s="11" t="n">
        <v>41627</v>
      </c>
      <c r="D30" s="5" t="s">
        <v>25</v>
      </c>
      <c r="E30" s="5" t="s">
        <v>8</v>
      </c>
      <c r="F30" s="5" t="s">
        <v>8</v>
      </c>
      <c r="G30" s="5" t="s">
        <v>40</v>
      </c>
      <c r="H30" s="6" t="n">
        <v>189150</v>
      </c>
      <c r="J30" s="5" t="s">
        <v>10</v>
      </c>
      <c r="K30" s="6" t="n">
        <f aca="false">SUMIFS($H$5:$H$757,$F$5:$F$757,J30,$G$5:$G$757,"Corn")</f>
        <v>2616488</v>
      </c>
      <c r="L30" s="6" t="n">
        <f aca="false">SUMIFS($H$5:$H$757,$F$5:$F$757,J30,$G$5:$G$757,"Soybean")</f>
        <v>6800700</v>
      </c>
      <c r="M30" s="6" t="n">
        <f aca="false">K30+L30</f>
        <v>9417188</v>
      </c>
      <c r="N30" s="6" t="n">
        <f aca="false">COUNTIFS($F$5:$F$757,J30)</f>
        <v>61</v>
      </c>
    </row>
    <row r="31" customFormat="false" ht="15" hidden="false" customHeight="false" outlineLevel="0" collapsed="false">
      <c r="A31" s="11" t="n">
        <v>41614</v>
      </c>
      <c r="B31" s="11" t="n">
        <v>41634</v>
      </c>
      <c r="C31" s="11" t="n">
        <v>41627</v>
      </c>
      <c r="D31" s="5" t="s">
        <v>25</v>
      </c>
      <c r="E31" s="5" t="s">
        <v>9</v>
      </c>
      <c r="F31" s="5" t="s">
        <v>8</v>
      </c>
      <c r="G31" s="5" t="s">
        <v>40</v>
      </c>
      <c r="H31" s="6" t="n">
        <v>195000</v>
      </c>
      <c r="J31" s="5" t="s">
        <v>11</v>
      </c>
      <c r="K31" s="6" t="n">
        <f aca="false">SUMIFS($H$5:$H$757,$F$5:$F$757,J31,$G$5:$G$757,"Corn")</f>
        <v>2919785</v>
      </c>
      <c r="L31" s="6" t="n">
        <f aca="false">SUMIFS($H$5:$H$757,$F$5:$F$757,J31,$G$5:$G$757,"Soybean")</f>
        <v>7836091</v>
      </c>
      <c r="M31" s="6" t="n">
        <f aca="false">K31+L31</f>
        <v>10755876</v>
      </c>
      <c r="N31" s="6" t="n">
        <f aca="false">COUNTIFS($F$5:$F$757,J31)</f>
        <v>74</v>
      </c>
    </row>
    <row r="32" customFormat="false" ht="15" hidden="false" customHeight="false" outlineLevel="0" collapsed="false">
      <c r="A32" s="11" t="n">
        <v>41619</v>
      </c>
      <c r="B32" s="11" t="n">
        <v>41634</v>
      </c>
      <c r="C32" s="11" t="n">
        <v>41627</v>
      </c>
      <c r="D32" s="5" t="s">
        <v>25</v>
      </c>
      <c r="E32" s="5" t="s">
        <v>8</v>
      </c>
      <c r="F32" s="5" t="s">
        <v>8</v>
      </c>
      <c r="G32" s="5" t="s">
        <v>3</v>
      </c>
      <c r="H32" s="6" t="n">
        <v>120000</v>
      </c>
      <c r="J32" s="5" t="s">
        <v>12</v>
      </c>
      <c r="K32" s="6" t="n">
        <f aca="false">SUMIFS($H$5:$H$757,$F$5:$F$757,J32,$G$5:$G$757,"Corn")</f>
        <v>5088936</v>
      </c>
      <c r="L32" s="6" t="n">
        <f aca="false">SUMIFS($H$5:$H$757,$F$5:$F$757,J32,$G$5:$G$757,"Soybean")</f>
        <v>10284300</v>
      </c>
      <c r="M32" s="6" t="n">
        <f aca="false">K32+L32</f>
        <v>15373236</v>
      </c>
      <c r="N32" s="6" t="n">
        <f aca="false">COUNTIFS($F$5:$F$757,J32)</f>
        <v>89</v>
      </c>
    </row>
    <row r="33" customFormat="false" ht="15" hidden="false" customHeight="false" outlineLevel="0" collapsed="false">
      <c r="A33" s="11" t="n">
        <v>41620</v>
      </c>
      <c r="B33" s="11" t="n">
        <v>41634</v>
      </c>
      <c r="C33" s="11" t="n">
        <v>41627</v>
      </c>
      <c r="D33" s="5" t="s">
        <v>25</v>
      </c>
      <c r="E33" s="5" t="s">
        <v>8</v>
      </c>
      <c r="F33" s="5" t="s">
        <v>8</v>
      </c>
      <c r="G33" s="5" t="s">
        <v>3</v>
      </c>
      <c r="H33" s="6" t="n">
        <v>120000</v>
      </c>
      <c r="J33" s="5" t="s">
        <v>13</v>
      </c>
      <c r="K33" s="6" t="n">
        <f aca="false">SUMIFS($H$5:$H$757,$F$5:$F$757,J33,$G$5:$G$757,"Corn")</f>
        <v>1138525</v>
      </c>
      <c r="L33" s="6" t="n">
        <f aca="false">SUMIFS($H$5:$H$757,$F$5:$F$757,J33,$G$5:$G$757,"Soybean")</f>
        <v>6477806</v>
      </c>
      <c r="M33" s="6" t="n">
        <f aca="false">K33+L33</f>
        <v>7616331</v>
      </c>
      <c r="N33" s="6" t="n">
        <f aca="false">COUNTIFS($F$5:$F$757,J33)</f>
        <v>49</v>
      </c>
    </row>
    <row r="34" customFormat="false" ht="15" hidden="false" customHeight="false" outlineLevel="0" collapsed="false">
      <c r="A34" s="11" t="n">
        <v>41627</v>
      </c>
      <c r="B34" s="11" t="n">
        <v>41641</v>
      </c>
      <c r="C34" s="11" t="n">
        <v>41634</v>
      </c>
      <c r="D34" s="5" t="s">
        <v>25</v>
      </c>
      <c r="E34" s="5" t="s">
        <v>8</v>
      </c>
      <c r="F34" s="5" t="s">
        <v>8</v>
      </c>
      <c r="G34" s="5" t="s">
        <v>3</v>
      </c>
      <c r="H34" s="6" t="n">
        <v>111280</v>
      </c>
      <c r="J34" s="5" t="s">
        <v>14</v>
      </c>
      <c r="K34" s="6" t="n">
        <f aca="false">SUMIFS($H$5:$H$757,$F$5:$F$757,J34,$G$5:$G$757,"Corn")</f>
        <v>2969908</v>
      </c>
      <c r="L34" s="6" t="n">
        <f aca="false">SUMIFS($H$5:$H$757,$F$5:$F$757,J34,$G$5:$G$757,"Soybean")</f>
        <v>6224879</v>
      </c>
      <c r="M34" s="6" t="n">
        <f aca="false">K34+L34</f>
        <v>9194787</v>
      </c>
      <c r="N34" s="6" t="n">
        <f aca="false">COUNTIFS($F$5:$F$757,J34)</f>
        <v>63</v>
      </c>
    </row>
    <row r="35" customFormat="false" ht="15" hidden="false" customHeight="false" outlineLevel="0" collapsed="false">
      <c r="A35" s="11" t="n">
        <v>41627</v>
      </c>
      <c r="B35" s="11" t="n">
        <v>41641</v>
      </c>
      <c r="C35" s="11" t="n">
        <v>41634</v>
      </c>
      <c r="D35" s="5" t="s">
        <v>25</v>
      </c>
      <c r="E35" s="5" t="s">
        <v>9</v>
      </c>
      <c r="F35" s="5" t="s">
        <v>8</v>
      </c>
      <c r="G35" s="5" t="s">
        <v>3</v>
      </c>
      <c r="H35" s="6" t="n">
        <v>16256</v>
      </c>
      <c r="J35" s="5" t="s">
        <v>15</v>
      </c>
      <c r="K35" s="6" t="n">
        <f aca="false">SUMIFS($H$5:$H$757,$F$5:$F$757,J35,$G$5:$G$757,"Corn")</f>
        <v>5132332</v>
      </c>
      <c r="L35" s="6" t="n">
        <f aca="false">SUMIFS($H$5:$H$757,$F$5:$F$757,J35,$G$5:$G$757,"Soybean")</f>
        <v>8496900</v>
      </c>
      <c r="M35" s="6" t="n">
        <f aca="false">K35+L35</f>
        <v>13629232</v>
      </c>
      <c r="N35" s="6" t="n">
        <f aca="false">COUNTIFS($F$5:$F$757,J35)</f>
        <v>77</v>
      </c>
    </row>
    <row r="36" customFormat="false" ht="15" hidden="false" customHeight="false" outlineLevel="0" collapsed="false">
      <c r="A36" s="11" t="n">
        <v>41632</v>
      </c>
      <c r="B36" s="11" t="n">
        <v>41648</v>
      </c>
      <c r="C36" s="11" t="n">
        <v>41641</v>
      </c>
      <c r="D36" s="5" t="s">
        <v>25</v>
      </c>
      <c r="E36" s="5" t="s">
        <v>8</v>
      </c>
      <c r="F36" s="5" t="s">
        <v>8</v>
      </c>
      <c r="G36" s="5" t="s">
        <v>40</v>
      </c>
      <c r="H36" s="6" t="n">
        <v>65000</v>
      </c>
      <c r="J36" s="5" t="s">
        <v>16</v>
      </c>
      <c r="K36" s="6" t="n">
        <f aca="false">SUMIFS($H$5:$H$757,$F$5:$F$757,J36,$G$5:$G$757,"Corn")</f>
        <v>2121668</v>
      </c>
      <c r="L36" s="6" t="n">
        <f aca="false">SUMIFS($H$5:$H$757,$F$5:$F$757,J36,$G$5:$G$757,"Soybean")</f>
        <v>9141380</v>
      </c>
      <c r="M36" s="6" t="n">
        <f aca="false">K36+L36</f>
        <v>11263048</v>
      </c>
      <c r="N36" s="6" t="n">
        <f aca="false">COUNTIFS($F$5:$F$757,J36)</f>
        <v>65</v>
      </c>
    </row>
    <row r="37" customFormat="false" ht="15" hidden="false" customHeight="false" outlineLevel="0" collapsed="false">
      <c r="A37" s="11" t="n">
        <v>41632</v>
      </c>
      <c r="B37" s="11" t="n">
        <v>41648</v>
      </c>
      <c r="C37" s="11" t="n">
        <v>41641</v>
      </c>
      <c r="D37" s="5" t="s">
        <v>25</v>
      </c>
      <c r="E37" s="5" t="s">
        <v>9</v>
      </c>
      <c r="F37" s="5" t="s">
        <v>8</v>
      </c>
      <c r="G37" s="5" t="s">
        <v>40</v>
      </c>
      <c r="H37" s="6" t="n">
        <v>120000</v>
      </c>
      <c r="J37" s="5" t="s">
        <v>17</v>
      </c>
      <c r="K37" s="6" t="n">
        <f aca="false">SUMIFS($H$5:$H$757,$F$5:$F$757,J37,$G$5:$G$757,"Corn")</f>
        <v>872600</v>
      </c>
      <c r="L37" s="6" t="n">
        <f aca="false">SUMIFS($H$5:$H$757,$F$5:$F$757,J37,$G$5:$G$757,"Soybean")</f>
        <v>7701450</v>
      </c>
      <c r="M37" s="6" t="n">
        <f aca="false">K37+L37</f>
        <v>8574050</v>
      </c>
      <c r="N37" s="6" t="n">
        <f aca="false">COUNTIFS($F$5:$F$757,J37)</f>
        <v>42</v>
      </c>
    </row>
    <row r="38" customFormat="false" ht="15" hidden="false" customHeight="false" outlineLevel="0" collapsed="false">
      <c r="A38" s="11" t="n">
        <v>41695</v>
      </c>
      <c r="B38" s="11" t="n">
        <v>41711</v>
      </c>
      <c r="C38" s="11" t="n">
        <v>41704</v>
      </c>
      <c r="D38" s="5" t="s">
        <v>25</v>
      </c>
      <c r="E38" s="5" t="s">
        <v>8</v>
      </c>
      <c r="F38" s="5" t="s">
        <v>8</v>
      </c>
      <c r="G38" s="5" t="s">
        <v>40</v>
      </c>
      <c r="H38" s="6" t="n">
        <v>568000</v>
      </c>
      <c r="J38" s="5" t="s">
        <v>18</v>
      </c>
      <c r="K38" s="6" t="n">
        <f aca="false">SUMIFS($H$5:$H$757,$F$5:$F$757,J38,$G$5:$G$757,"Corn")</f>
        <v>1307208</v>
      </c>
      <c r="L38" s="6" t="n">
        <f aca="false">SUMIFS($H$5:$H$757,$F$5:$F$757,J38,$G$5:$G$757,"Soybean")</f>
        <v>7918750</v>
      </c>
      <c r="M38" s="6" t="n">
        <f aca="false">K38+L38</f>
        <v>9225958</v>
      </c>
      <c r="N38" s="6" t="n">
        <f aca="false">COUNTIFS($F$5:$F$757,J38)</f>
        <v>51</v>
      </c>
    </row>
    <row r="39" customFormat="false" ht="15" hidden="false" customHeight="false" outlineLevel="0" collapsed="false">
      <c r="A39" s="11" t="n">
        <v>41698</v>
      </c>
      <c r="B39" s="11" t="n">
        <v>41718</v>
      </c>
      <c r="C39" s="11" t="n">
        <v>41711</v>
      </c>
      <c r="D39" s="5" t="s">
        <v>25</v>
      </c>
      <c r="E39" s="5" t="s">
        <v>8</v>
      </c>
      <c r="F39" s="5" t="s">
        <v>8</v>
      </c>
      <c r="G39" s="5" t="s">
        <v>3</v>
      </c>
      <c r="H39" s="6" t="n">
        <v>101600</v>
      </c>
      <c r="J39" s="5" t="s">
        <v>19</v>
      </c>
      <c r="K39" s="6" t="n">
        <f aca="false">SUMIFS($H$5:$H$757,$F$5:$F$757,J39,$G$5:$G$757,"Corn")</f>
        <v>6543030</v>
      </c>
      <c r="L39" s="6" t="n">
        <f aca="false">SUMIFS($H$5:$H$757,$F$5:$F$757,J39,$G$5:$G$757,"Soybean")</f>
        <v>6640100</v>
      </c>
      <c r="M39" s="6" t="n">
        <f aca="false">K39+L39</f>
        <v>13183130</v>
      </c>
      <c r="N39" s="6" t="n">
        <f aca="false">COUNTIFS($F$5:$F$757,J39)</f>
        <v>73</v>
      </c>
    </row>
    <row r="40" customFormat="false" ht="15" hidden="false" customHeight="false" outlineLevel="0" collapsed="false">
      <c r="A40" s="11" t="n">
        <v>42380</v>
      </c>
      <c r="B40" s="11" t="n">
        <v>42397</v>
      </c>
      <c r="C40" s="11" t="n">
        <v>42390</v>
      </c>
      <c r="D40" s="5" t="s">
        <v>25</v>
      </c>
      <c r="E40" s="5" t="s">
        <v>10</v>
      </c>
      <c r="F40" s="5" t="s">
        <v>10</v>
      </c>
      <c r="G40" s="5" t="s">
        <v>3</v>
      </c>
      <c r="H40" s="6" t="n">
        <v>152400</v>
      </c>
      <c r="J40" s="5" t="s">
        <v>20</v>
      </c>
      <c r="K40" s="6" t="n">
        <f aca="false">SUMIFS($H$5:$H$757,$F$5:$F$757,J40,$G$5:$G$757,"Corn")</f>
        <v>6076245</v>
      </c>
      <c r="L40" s="6" t="n">
        <f aca="false">SUMIFS($H$5:$H$757,$F$5:$F$757,J40,$G$5:$G$757,"Soybean")</f>
        <v>6437850</v>
      </c>
      <c r="M40" s="6" t="n">
        <f aca="false">K40+L40</f>
        <v>12514095</v>
      </c>
      <c r="N40" s="6" t="n">
        <f aca="false">COUNTIFS($F$5:$F$757,J40)</f>
        <v>69</v>
      </c>
    </row>
    <row r="41" customFormat="false" ht="15" hidden="false" customHeight="false" outlineLevel="0" collapsed="false">
      <c r="A41" s="11" t="n">
        <v>42380</v>
      </c>
      <c r="B41" s="11" t="n">
        <v>42397</v>
      </c>
      <c r="C41" s="11" t="n">
        <v>42390</v>
      </c>
      <c r="D41" s="5" t="s">
        <v>25</v>
      </c>
      <c r="E41" s="5" t="s">
        <v>10</v>
      </c>
      <c r="F41" s="5" t="s">
        <v>10</v>
      </c>
      <c r="G41" s="5" t="s">
        <v>40</v>
      </c>
      <c r="H41" s="6" t="n">
        <v>248000</v>
      </c>
      <c r="J41" s="5" t="s">
        <v>21</v>
      </c>
      <c r="K41" s="6" t="n">
        <f aca="false">SUMIFS($H$5:$H$757,$F$5:$F$757,J41,$G$5:$G$757,"Corn")</f>
        <v>0</v>
      </c>
      <c r="L41" s="6" t="n">
        <f aca="false">SUMIFS($H$5:$H$757,$F$5:$F$757,J41,$G$5:$G$757,"Soybean")</f>
        <v>766100</v>
      </c>
      <c r="M41" s="6" t="n">
        <f aca="false">K41+L41</f>
        <v>766100</v>
      </c>
      <c r="N41" s="6" t="n">
        <f aca="false">COUNTIFS($F$5:$F$757,J41)</f>
        <v>5</v>
      </c>
    </row>
    <row r="42" customFormat="false" ht="15" hidden="false" customHeight="false" outlineLevel="0" collapsed="false">
      <c r="A42" s="11" t="n">
        <v>42381</v>
      </c>
      <c r="B42" s="11" t="n">
        <v>42397</v>
      </c>
      <c r="C42" s="11" t="n">
        <v>42390</v>
      </c>
      <c r="D42" s="5" t="s">
        <v>25</v>
      </c>
      <c r="E42" s="5" t="s">
        <v>10</v>
      </c>
      <c r="F42" s="5" t="s">
        <v>10</v>
      </c>
      <c r="G42" s="5" t="s">
        <v>40</v>
      </c>
      <c r="H42" s="6" t="n">
        <v>140000</v>
      </c>
      <c r="J42" s="8" t="s">
        <v>24</v>
      </c>
      <c r="K42" s="9" t="n">
        <f aca="false">SUM(K27:K41)</f>
        <v>38070189</v>
      </c>
      <c r="L42" s="9" t="n">
        <f aca="false">SUM(L27:L41)</f>
        <v>88620406</v>
      </c>
      <c r="M42" s="9" t="n">
        <f aca="false">SUM(M27:M41)</f>
        <v>126690595</v>
      </c>
      <c r="N42" s="9" t="n">
        <f aca="false">SUM(N27:N41)</f>
        <v>753</v>
      </c>
    </row>
    <row r="43" customFormat="false" ht="15" hidden="false" customHeight="false" outlineLevel="0" collapsed="false">
      <c r="A43" s="11" t="n">
        <v>42388</v>
      </c>
      <c r="B43" s="11" t="n">
        <v>42404</v>
      </c>
      <c r="C43" s="11" t="n">
        <v>42397</v>
      </c>
      <c r="D43" s="5" t="s">
        <v>25</v>
      </c>
      <c r="E43" s="5" t="s">
        <v>10</v>
      </c>
      <c r="F43" s="5" t="s">
        <v>10</v>
      </c>
      <c r="G43" s="5" t="s">
        <v>3</v>
      </c>
      <c r="H43" s="6" t="n">
        <v>110500</v>
      </c>
    </row>
    <row r="44" customFormat="false" ht="15" hidden="false" customHeight="false" outlineLevel="0" collapsed="false">
      <c r="A44" s="11" t="n">
        <v>42410</v>
      </c>
      <c r="B44" s="11" t="n">
        <v>42425</v>
      </c>
      <c r="C44" s="11" t="n">
        <v>42418</v>
      </c>
      <c r="D44" s="5" t="s">
        <v>25</v>
      </c>
      <c r="E44" s="5" t="s">
        <v>10</v>
      </c>
      <c r="F44" s="5" t="s">
        <v>10</v>
      </c>
      <c r="G44" s="5" t="s">
        <v>3</v>
      </c>
      <c r="H44" s="6" t="n">
        <v>152400</v>
      </c>
    </row>
    <row r="45" customFormat="false" ht="15" hidden="false" customHeight="false" outlineLevel="0" collapsed="false">
      <c r="A45" s="11" t="n">
        <v>42430</v>
      </c>
      <c r="B45" s="11" t="n">
        <v>42446</v>
      </c>
      <c r="C45" s="11" t="n">
        <v>42439</v>
      </c>
      <c r="D45" s="5" t="s">
        <v>25</v>
      </c>
      <c r="E45" s="5" t="s">
        <v>10</v>
      </c>
      <c r="F45" s="5" t="s">
        <v>10</v>
      </c>
      <c r="G45" s="5" t="s">
        <v>40</v>
      </c>
      <c r="H45" s="6" t="n">
        <v>140000</v>
      </c>
    </row>
    <row r="46" customFormat="false" ht="15" hidden="false" customHeight="false" outlineLevel="0" collapsed="false">
      <c r="A46" s="11" t="n">
        <v>42437</v>
      </c>
      <c r="B46" s="11" t="n">
        <v>42453</v>
      </c>
      <c r="C46" s="11" t="n">
        <v>42446</v>
      </c>
      <c r="D46" s="5" t="s">
        <v>25</v>
      </c>
      <c r="E46" s="5" t="s">
        <v>10</v>
      </c>
      <c r="F46" s="5" t="s">
        <v>10</v>
      </c>
      <c r="G46" s="5" t="s">
        <v>40</v>
      </c>
      <c r="H46" s="6" t="n">
        <v>70000</v>
      </c>
    </row>
    <row r="47" customFormat="false" ht="15" hidden="false" customHeight="false" outlineLevel="0" collapsed="false">
      <c r="A47" s="11" t="n">
        <v>42437</v>
      </c>
      <c r="B47" s="11" t="n">
        <v>42453</v>
      </c>
      <c r="C47" s="11" t="n">
        <v>42446</v>
      </c>
      <c r="D47" s="5" t="s">
        <v>25</v>
      </c>
      <c r="E47" s="5" t="s">
        <v>11</v>
      </c>
      <c r="F47" s="5" t="s">
        <v>10</v>
      </c>
      <c r="G47" s="5" t="s">
        <v>40</v>
      </c>
      <c r="H47" s="6" t="n">
        <v>210000</v>
      </c>
    </row>
    <row r="48" customFormat="false" ht="15" hidden="false" customHeight="false" outlineLevel="0" collapsed="false">
      <c r="A48" s="11" t="n">
        <v>42445</v>
      </c>
      <c r="B48" s="11" t="n">
        <v>42460</v>
      </c>
      <c r="C48" s="11" t="n">
        <v>42453</v>
      </c>
      <c r="D48" s="5" t="s">
        <v>25</v>
      </c>
      <c r="E48" s="5" t="s">
        <v>10</v>
      </c>
      <c r="F48" s="5" t="s">
        <v>10</v>
      </c>
      <c r="G48" s="5" t="s">
        <v>40</v>
      </c>
      <c r="H48" s="6" t="n">
        <v>100000</v>
      </c>
    </row>
    <row r="49" customFormat="false" ht="15" hidden="false" customHeight="false" outlineLevel="0" collapsed="false">
      <c r="A49" s="11" t="n">
        <v>42454</v>
      </c>
      <c r="B49" s="11" t="n">
        <v>42474</v>
      </c>
      <c r="C49" s="11" t="n">
        <v>42467</v>
      </c>
      <c r="D49" s="5" t="s">
        <v>25</v>
      </c>
      <c r="E49" s="5" t="s">
        <v>10</v>
      </c>
      <c r="F49" s="5" t="s">
        <v>10</v>
      </c>
      <c r="G49" s="5" t="s">
        <v>40</v>
      </c>
      <c r="H49" s="6" t="n">
        <v>214000</v>
      </c>
    </row>
    <row r="50" customFormat="false" ht="15" hidden="false" customHeight="false" outlineLevel="0" collapsed="false">
      <c r="A50" s="11" t="n">
        <v>42454</v>
      </c>
      <c r="B50" s="11" t="n">
        <v>42474</v>
      </c>
      <c r="C50" s="11" t="n">
        <v>42467</v>
      </c>
      <c r="D50" s="5" t="s">
        <v>25</v>
      </c>
      <c r="E50" s="5" t="s">
        <v>11</v>
      </c>
      <c r="F50" s="5" t="s">
        <v>10</v>
      </c>
      <c r="G50" s="5" t="s">
        <v>40</v>
      </c>
      <c r="H50" s="6" t="n">
        <v>90000</v>
      </c>
    </row>
    <row r="51" customFormat="false" ht="15" hidden="false" customHeight="false" outlineLevel="0" collapsed="false">
      <c r="A51" s="11" t="n">
        <v>42468</v>
      </c>
      <c r="B51" s="11" t="n">
        <v>42488</v>
      </c>
      <c r="C51" s="11" t="n">
        <v>42481</v>
      </c>
      <c r="D51" s="5" t="s">
        <v>25</v>
      </c>
      <c r="E51" s="5" t="s">
        <v>10</v>
      </c>
      <c r="F51" s="5" t="s">
        <v>10</v>
      </c>
      <c r="G51" s="5" t="s">
        <v>3</v>
      </c>
      <c r="H51" s="6" t="n">
        <v>120000</v>
      </c>
    </row>
    <row r="52" customFormat="false" ht="15" hidden="false" customHeight="false" outlineLevel="0" collapsed="false">
      <c r="A52" s="11" t="n">
        <v>42474</v>
      </c>
      <c r="B52" s="11" t="n">
        <v>42488</v>
      </c>
      <c r="C52" s="11" t="n">
        <v>42481</v>
      </c>
      <c r="D52" s="5" t="s">
        <v>25</v>
      </c>
      <c r="E52" s="5" t="s">
        <v>10</v>
      </c>
      <c r="F52" s="5" t="s">
        <v>10</v>
      </c>
      <c r="G52" s="5" t="s">
        <v>3</v>
      </c>
      <c r="H52" s="6" t="n">
        <v>344200</v>
      </c>
    </row>
    <row r="53" customFormat="false" ht="15" hidden="false" customHeight="false" outlineLevel="0" collapsed="false">
      <c r="A53" s="11" t="n">
        <v>42478</v>
      </c>
      <c r="B53" s="11" t="n">
        <v>42495</v>
      </c>
      <c r="C53" s="11" t="n">
        <v>42488</v>
      </c>
      <c r="D53" s="5" t="s">
        <v>25</v>
      </c>
      <c r="E53" s="5" t="s">
        <v>10</v>
      </c>
      <c r="F53" s="5" t="s">
        <v>10</v>
      </c>
      <c r="G53" s="5" t="s">
        <v>3</v>
      </c>
      <c r="H53" s="6" t="n">
        <v>65766</v>
      </c>
    </row>
    <row r="54" customFormat="false" ht="15" hidden="false" customHeight="false" outlineLevel="0" collapsed="false">
      <c r="A54" s="11" t="n">
        <v>42478</v>
      </c>
      <c r="B54" s="11" t="n">
        <v>42495</v>
      </c>
      <c r="C54" s="11" t="n">
        <v>42488</v>
      </c>
      <c r="D54" s="5" t="s">
        <v>25</v>
      </c>
      <c r="E54" s="5" t="s">
        <v>11</v>
      </c>
      <c r="F54" s="5" t="s">
        <v>10</v>
      </c>
      <c r="G54" s="5" t="s">
        <v>3</v>
      </c>
      <c r="H54" s="6" t="n">
        <v>175750</v>
      </c>
    </row>
    <row r="55" customFormat="false" ht="15" hidden="false" customHeight="false" outlineLevel="0" collapsed="false">
      <c r="A55" s="11" t="n">
        <v>42480</v>
      </c>
      <c r="B55" s="11" t="n">
        <v>42495</v>
      </c>
      <c r="C55" s="11" t="n">
        <v>42488</v>
      </c>
      <c r="D55" s="5" t="s">
        <v>25</v>
      </c>
      <c r="E55" s="5" t="s">
        <v>10</v>
      </c>
      <c r="F55" s="5" t="s">
        <v>10</v>
      </c>
      <c r="G55" s="5" t="s">
        <v>3</v>
      </c>
      <c r="H55" s="6" t="n">
        <v>136000</v>
      </c>
    </row>
    <row r="56" customFormat="false" ht="15" hidden="false" customHeight="false" outlineLevel="0" collapsed="false">
      <c r="A56" s="11" t="n">
        <v>42487</v>
      </c>
      <c r="B56" s="11" t="n">
        <v>42502</v>
      </c>
      <c r="C56" s="11" t="n">
        <v>42495</v>
      </c>
      <c r="D56" s="5" t="s">
        <v>25</v>
      </c>
      <c r="E56" s="5" t="s">
        <v>10</v>
      </c>
      <c r="F56" s="5" t="s">
        <v>10</v>
      </c>
      <c r="G56" s="5" t="s">
        <v>40</v>
      </c>
      <c r="H56" s="6" t="n">
        <v>350000</v>
      </c>
    </row>
    <row r="57" customFormat="false" ht="15" hidden="false" customHeight="false" outlineLevel="0" collapsed="false">
      <c r="A57" s="11" t="n">
        <v>42487</v>
      </c>
      <c r="B57" s="11" t="n">
        <v>42502</v>
      </c>
      <c r="C57" s="11" t="n">
        <v>42495</v>
      </c>
      <c r="D57" s="5" t="s">
        <v>25</v>
      </c>
      <c r="E57" s="5" t="s">
        <v>11</v>
      </c>
      <c r="F57" s="5" t="s">
        <v>10</v>
      </c>
      <c r="G57" s="5" t="s">
        <v>40</v>
      </c>
      <c r="H57" s="6" t="n">
        <v>43000</v>
      </c>
    </row>
    <row r="58" customFormat="false" ht="15" hidden="false" customHeight="false" outlineLevel="0" collapsed="false">
      <c r="A58" s="11" t="n">
        <v>42499</v>
      </c>
      <c r="B58" s="11" t="n">
        <v>42516</v>
      </c>
      <c r="C58" s="11" t="n">
        <v>42509</v>
      </c>
      <c r="D58" s="5" t="s">
        <v>25</v>
      </c>
      <c r="E58" s="5" t="s">
        <v>10</v>
      </c>
      <c r="F58" s="5" t="s">
        <v>10</v>
      </c>
      <c r="G58" s="5" t="s">
        <v>3</v>
      </c>
      <c r="H58" s="6" t="n">
        <v>120000</v>
      </c>
    </row>
    <row r="59" customFormat="false" ht="15" hidden="false" customHeight="false" outlineLevel="0" collapsed="false">
      <c r="A59" s="11" t="n">
        <v>42503</v>
      </c>
      <c r="B59" s="11" t="n">
        <v>42523</v>
      </c>
      <c r="C59" s="11" t="n">
        <v>42516</v>
      </c>
      <c r="D59" s="5" t="s">
        <v>25</v>
      </c>
      <c r="E59" s="5" t="s">
        <v>10</v>
      </c>
      <c r="F59" s="5" t="s">
        <v>10</v>
      </c>
      <c r="G59" s="5" t="s">
        <v>40</v>
      </c>
      <c r="H59" s="6" t="n">
        <v>280000</v>
      </c>
    </row>
    <row r="60" customFormat="false" ht="15" hidden="false" customHeight="false" outlineLevel="0" collapsed="false">
      <c r="A60" s="11" t="n">
        <v>42503</v>
      </c>
      <c r="B60" s="11" t="n">
        <v>42523</v>
      </c>
      <c r="C60" s="11" t="n">
        <v>42516</v>
      </c>
      <c r="D60" s="5" t="s">
        <v>25</v>
      </c>
      <c r="E60" s="5" t="s">
        <v>11</v>
      </c>
      <c r="F60" s="5" t="s">
        <v>10</v>
      </c>
      <c r="G60" s="5" t="s">
        <v>40</v>
      </c>
      <c r="H60" s="6" t="n">
        <v>140000</v>
      </c>
    </row>
    <row r="61" customFormat="false" ht="15" hidden="false" customHeight="false" outlineLevel="0" collapsed="false">
      <c r="A61" s="11" t="n">
        <v>42513</v>
      </c>
      <c r="B61" s="11" t="n">
        <v>42530</v>
      </c>
      <c r="C61" s="11" t="n">
        <v>42523</v>
      </c>
      <c r="D61" s="5" t="s">
        <v>25</v>
      </c>
      <c r="E61" s="5" t="s">
        <v>11</v>
      </c>
      <c r="F61" s="5" t="s">
        <v>10</v>
      </c>
      <c r="G61" s="5" t="s">
        <v>40</v>
      </c>
      <c r="H61" s="6" t="n">
        <v>140000</v>
      </c>
    </row>
    <row r="62" customFormat="false" ht="15" hidden="false" customHeight="false" outlineLevel="0" collapsed="false">
      <c r="A62" s="11" t="n">
        <v>42514</v>
      </c>
      <c r="B62" s="11" t="n">
        <v>42530</v>
      </c>
      <c r="C62" s="11" t="n">
        <v>42523</v>
      </c>
      <c r="D62" s="5" t="s">
        <v>25</v>
      </c>
      <c r="E62" s="5" t="s">
        <v>11</v>
      </c>
      <c r="F62" s="5" t="s">
        <v>10</v>
      </c>
      <c r="G62" s="5" t="s">
        <v>40</v>
      </c>
      <c r="H62" s="6" t="n">
        <v>140000</v>
      </c>
    </row>
    <row r="63" customFormat="false" ht="15" hidden="false" customHeight="false" outlineLevel="0" collapsed="false">
      <c r="A63" s="11" t="n">
        <v>42516</v>
      </c>
      <c r="B63" s="11" t="n">
        <v>42530</v>
      </c>
      <c r="C63" s="11" t="n">
        <v>42523</v>
      </c>
      <c r="D63" s="5" t="s">
        <v>25</v>
      </c>
      <c r="E63" s="5" t="s">
        <v>10</v>
      </c>
      <c r="F63" s="5" t="s">
        <v>10</v>
      </c>
      <c r="G63" s="5" t="s">
        <v>3</v>
      </c>
      <c r="H63" s="6" t="n">
        <v>123000</v>
      </c>
    </row>
    <row r="64" customFormat="false" ht="15" hidden="false" customHeight="false" outlineLevel="0" collapsed="false">
      <c r="A64" s="11" t="n">
        <v>42517</v>
      </c>
      <c r="B64" s="11" t="n">
        <v>42537</v>
      </c>
      <c r="C64" s="11" t="n">
        <v>42530</v>
      </c>
      <c r="D64" s="5" t="s">
        <v>25</v>
      </c>
      <c r="E64" s="5" t="s">
        <v>10</v>
      </c>
      <c r="F64" s="5" t="s">
        <v>10</v>
      </c>
      <c r="G64" s="5" t="s">
        <v>3</v>
      </c>
      <c r="H64" s="6" t="n">
        <v>130000</v>
      </c>
    </row>
    <row r="65" customFormat="false" ht="15" hidden="false" customHeight="false" outlineLevel="0" collapsed="false">
      <c r="A65" s="11" t="n">
        <v>42521</v>
      </c>
      <c r="B65" s="11" t="n">
        <v>42537</v>
      </c>
      <c r="C65" s="11" t="n">
        <v>42530</v>
      </c>
      <c r="D65" s="5" t="s">
        <v>25</v>
      </c>
      <c r="E65" s="5" t="s">
        <v>10</v>
      </c>
      <c r="F65" s="5" t="s">
        <v>10</v>
      </c>
      <c r="G65" s="5" t="s">
        <v>40</v>
      </c>
      <c r="H65" s="6" t="n">
        <v>73000</v>
      </c>
    </row>
    <row r="66" customFormat="false" ht="15" hidden="false" customHeight="false" outlineLevel="0" collapsed="false">
      <c r="A66" s="11" t="n">
        <v>42521</v>
      </c>
      <c r="B66" s="11" t="n">
        <v>42537</v>
      </c>
      <c r="C66" s="11" t="n">
        <v>42530</v>
      </c>
      <c r="D66" s="5" t="s">
        <v>25</v>
      </c>
      <c r="E66" s="5" t="s">
        <v>11</v>
      </c>
      <c r="F66" s="5" t="s">
        <v>10</v>
      </c>
      <c r="G66" s="5" t="s">
        <v>40</v>
      </c>
      <c r="H66" s="6" t="n">
        <v>140000</v>
      </c>
    </row>
    <row r="67" customFormat="false" ht="15" hidden="false" customHeight="false" outlineLevel="0" collapsed="false">
      <c r="A67" s="11" t="n">
        <v>42527</v>
      </c>
      <c r="B67" s="11" t="n">
        <v>42544</v>
      </c>
      <c r="C67" s="11" t="n">
        <v>42537</v>
      </c>
      <c r="D67" s="5" t="s">
        <v>25</v>
      </c>
      <c r="E67" s="5" t="s">
        <v>11</v>
      </c>
      <c r="F67" s="5" t="s">
        <v>10</v>
      </c>
      <c r="G67" s="5" t="s">
        <v>40</v>
      </c>
      <c r="H67" s="6" t="n">
        <v>125000</v>
      </c>
    </row>
    <row r="68" customFormat="false" ht="15" hidden="false" customHeight="false" outlineLevel="0" collapsed="false">
      <c r="A68" s="11" t="n">
        <v>42530</v>
      </c>
      <c r="B68" s="11" t="n">
        <v>42544</v>
      </c>
      <c r="C68" s="11" t="n">
        <v>42537</v>
      </c>
      <c r="D68" s="5" t="s">
        <v>25</v>
      </c>
      <c r="E68" s="5" t="s">
        <v>10</v>
      </c>
      <c r="F68" s="5" t="s">
        <v>10</v>
      </c>
      <c r="G68" s="5" t="s">
        <v>3</v>
      </c>
      <c r="H68" s="6" t="n">
        <v>116360</v>
      </c>
    </row>
    <row r="69" customFormat="false" ht="15" hidden="false" customHeight="false" outlineLevel="0" collapsed="false">
      <c r="A69" s="11" t="n">
        <v>42531</v>
      </c>
      <c r="B69" s="11" t="n">
        <v>42551</v>
      </c>
      <c r="C69" s="11" t="n">
        <v>42544</v>
      </c>
      <c r="D69" s="5" t="s">
        <v>25</v>
      </c>
      <c r="E69" s="5" t="s">
        <v>10</v>
      </c>
      <c r="F69" s="5" t="s">
        <v>10</v>
      </c>
      <c r="G69" s="5" t="s">
        <v>40</v>
      </c>
      <c r="H69" s="6" t="n">
        <v>203000</v>
      </c>
    </row>
    <row r="70" customFormat="false" ht="15" hidden="false" customHeight="false" outlineLevel="0" collapsed="false">
      <c r="A70" s="11" t="n">
        <v>42531</v>
      </c>
      <c r="B70" s="11" t="n">
        <v>42551</v>
      </c>
      <c r="C70" s="11" t="n">
        <v>42544</v>
      </c>
      <c r="D70" s="5" t="s">
        <v>25</v>
      </c>
      <c r="E70" s="5" t="s">
        <v>11</v>
      </c>
      <c r="F70" s="5" t="s">
        <v>10</v>
      </c>
      <c r="G70" s="5" t="s">
        <v>40</v>
      </c>
      <c r="H70" s="6" t="n">
        <v>60000</v>
      </c>
    </row>
    <row r="71" customFormat="false" ht="15" hidden="false" customHeight="false" outlineLevel="0" collapsed="false">
      <c r="A71" s="11" t="n">
        <v>42535</v>
      </c>
      <c r="B71" s="11" t="n">
        <v>42551</v>
      </c>
      <c r="C71" s="11" t="n">
        <v>42544</v>
      </c>
      <c r="D71" s="5" t="s">
        <v>25</v>
      </c>
      <c r="E71" s="5" t="s">
        <v>11</v>
      </c>
      <c r="F71" s="5" t="s">
        <v>10</v>
      </c>
      <c r="G71" s="5" t="s">
        <v>40</v>
      </c>
      <c r="H71" s="6" t="n">
        <v>110000</v>
      </c>
    </row>
    <row r="72" customFormat="false" ht="15" hidden="false" customHeight="false" outlineLevel="0" collapsed="false">
      <c r="A72" s="11" t="n">
        <v>42538</v>
      </c>
      <c r="B72" s="11" t="n">
        <v>42558</v>
      </c>
      <c r="C72" s="11" t="n">
        <v>42551</v>
      </c>
      <c r="D72" s="5" t="s">
        <v>25</v>
      </c>
      <c r="E72" s="5" t="s">
        <v>10</v>
      </c>
      <c r="F72" s="5" t="s">
        <v>10</v>
      </c>
      <c r="G72" s="5" t="s">
        <v>40</v>
      </c>
      <c r="H72" s="6" t="n">
        <v>263000</v>
      </c>
    </row>
    <row r="73" customFormat="false" ht="15" hidden="false" customHeight="false" outlineLevel="0" collapsed="false">
      <c r="A73" s="11" t="n">
        <v>42538</v>
      </c>
      <c r="B73" s="11" t="n">
        <v>42558</v>
      </c>
      <c r="C73" s="11" t="n">
        <v>42551</v>
      </c>
      <c r="D73" s="5" t="s">
        <v>25</v>
      </c>
      <c r="E73" s="5" t="s">
        <v>11</v>
      </c>
      <c r="F73" s="5" t="s">
        <v>10</v>
      </c>
      <c r="G73" s="5" t="s">
        <v>40</v>
      </c>
      <c r="H73" s="6" t="n">
        <v>132000</v>
      </c>
    </row>
    <row r="74" customFormat="false" ht="15" hidden="false" customHeight="false" outlineLevel="0" collapsed="false">
      <c r="A74" s="11" t="n">
        <v>42542</v>
      </c>
      <c r="B74" s="11" t="n">
        <v>42558</v>
      </c>
      <c r="C74" s="11" t="n">
        <v>42551</v>
      </c>
      <c r="D74" s="5" t="s">
        <v>25</v>
      </c>
      <c r="E74" s="5" t="s">
        <v>10</v>
      </c>
      <c r="F74" s="5" t="s">
        <v>10</v>
      </c>
      <c r="G74" s="5" t="s">
        <v>40</v>
      </c>
      <c r="H74" s="6" t="n">
        <v>66000</v>
      </c>
    </row>
    <row r="75" customFormat="false" ht="15" hidden="false" customHeight="false" outlineLevel="0" collapsed="false">
      <c r="A75" s="11" t="n">
        <v>42542</v>
      </c>
      <c r="B75" s="11" t="n">
        <v>42558</v>
      </c>
      <c r="C75" s="11" t="n">
        <v>42551</v>
      </c>
      <c r="D75" s="5" t="s">
        <v>25</v>
      </c>
      <c r="E75" s="5" t="s">
        <v>11</v>
      </c>
      <c r="F75" s="5" t="s">
        <v>10</v>
      </c>
      <c r="G75" s="5" t="s">
        <v>40</v>
      </c>
      <c r="H75" s="6" t="n">
        <v>60000</v>
      </c>
    </row>
    <row r="76" customFormat="false" ht="15" hidden="false" customHeight="false" outlineLevel="0" collapsed="false">
      <c r="A76" s="11" t="n">
        <v>42545</v>
      </c>
      <c r="B76" s="11" t="n">
        <v>42565</v>
      </c>
      <c r="C76" s="11" t="n">
        <v>42558</v>
      </c>
      <c r="D76" s="5" t="s">
        <v>25</v>
      </c>
      <c r="E76" s="5" t="s">
        <v>10</v>
      </c>
      <c r="F76" s="5" t="s">
        <v>10</v>
      </c>
      <c r="G76" s="5" t="s">
        <v>40</v>
      </c>
      <c r="H76" s="6" t="n">
        <v>280500</v>
      </c>
    </row>
    <row r="77" customFormat="false" ht="15" hidden="false" customHeight="false" outlineLevel="0" collapsed="false">
      <c r="A77" s="11" t="n">
        <v>42545</v>
      </c>
      <c r="B77" s="11" t="n">
        <v>42565</v>
      </c>
      <c r="C77" s="11" t="n">
        <v>42558</v>
      </c>
      <c r="D77" s="5" t="s">
        <v>25</v>
      </c>
      <c r="E77" s="5" t="s">
        <v>11</v>
      </c>
      <c r="F77" s="5" t="s">
        <v>10</v>
      </c>
      <c r="G77" s="5" t="s">
        <v>40</v>
      </c>
      <c r="H77" s="6" t="n">
        <v>131000</v>
      </c>
    </row>
    <row r="78" customFormat="false" ht="15" hidden="false" customHeight="false" outlineLevel="0" collapsed="false">
      <c r="A78" s="11" t="n">
        <v>42548</v>
      </c>
      <c r="B78" s="11" t="n">
        <v>42565</v>
      </c>
      <c r="C78" s="11" t="n">
        <v>42558</v>
      </c>
      <c r="D78" s="5" t="s">
        <v>25</v>
      </c>
      <c r="E78" s="5" t="s">
        <v>10</v>
      </c>
      <c r="F78" s="5" t="s">
        <v>10</v>
      </c>
      <c r="G78" s="5" t="s">
        <v>40</v>
      </c>
      <c r="H78" s="6" t="n">
        <v>132000</v>
      </c>
    </row>
    <row r="79" customFormat="false" ht="15" hidden="false" customHeight="false" outlineLevel="0" collapsed="false">
      <c r="A79" s="11" t="n">
        <v>42548</v>
      </c>
      <c r="B79" s="11" t="n">
        <v>42565</v>
      </c>
      <c r="C79" s="11" t="n">
        <v>42558</v>
      </c>
      <c r="D79" s="5" t="s">
        <v>25</v>
      </c>
      <c r="E79" s="5" t="s">
        <v>11</v>
      </c>
      <c r="F79" s="5" t="s">
        <v>10</v>
      </c>
      <c r="G79" s="5" t="s">
        <v>40</v>
      </c>
      <c r="H79" s="6" t="n">
        <v>18000</v>
      </c>
    </row>
    <row r="80" customFormat="false" ht="15" hidden="false" customHeight="false" outlineLevel="0" collapsed="false">
      <c r="A80" s="11" t="n">
        <v>42566</v>
      </c>
      <c r="B80" s="11" t="n">
        <v>42586</v>
      </c>
      <c r="C80" s="11" t="n">
        <v>42579</v>
      </c>
      <c r="D80" s="5" t="s">
        <v>25</v>
      </c>
      <c r="E80" s="5" t="s">
        <v>11</v>
      </c>
      <c r="F80" s="5" t="s">
        <v>10</v>
      </c>
      <c r="G80" s="5" t="s">
        <v>40</v>
      </c>
      <c r="H80" s="6" t="n">
        <v>320000</v>
      </c>
    </row>
    <row r="81" customFormat="false" ht="15" hidden="false" customHeight="false" outlineLevel="0" collapsed="false">
      <c r="A81" s="11" t="n">
        <v>42578</v>
      </c>
      <c r="B81" s="11" t="n">
        <v>42593</v>
      </c>
      <c r="C81" s="11" t="n">
        <v>42586</v>
      </c>
      <c r="D81" s="5" t="s">
        <v>25</v>
      </c>
      <c r="E81" s="5" t="s">
        <v>10</v>
      </c>
      <c r="F81" s="5" t="s">
        <v>10</v>
      </c>
      <c r="G81" s="5" t="s">
        <v>3</v>
      </c>
      <c r="H81" s="6" t="n">
        <v>74064</v>
      </c>
    </row>
    <row r="82" customFormat="false" ht="15" hidden="false" customHeight="false" outlineLevel="0" collapsed="false">
      <c r="A82" s="11" t="n">
        <v>42578</v>
      </c>
      <c r="B82" s="11" t="n">
        <v>42593</v>
      </c>
      <c r="C82" s="11" t="n">
        <v>42586</v>
      </c>
      <c r="D82" s="5" t="s">
        <v>25</v>
      </c>
      <c r="E82" s="5" t="s">
        <v>11</v>
      </c>
      <c r="F82" s="5" t="s">
        <v>10</v>
      </c>
      <c r="G82" s="5" t="s">
        <v>3</v>
      </c>
      <c r="H82" s="6" t="n">
        <v>173848</v>
      </c>
    </row>
    <row r="83" customFormat="false" ht="15" hidden="false" customHeight="false" outlineLevel="0" collapsed="false">
      <c r="A83" s="11" t="n">
        <v>42579</v>
      </c>
      <c r="B83" s="11" t="n">
        <v>42593</v>
      </c>
      <c r="C83" s="11" t="n">
        <v>42586</v>
      </c>
      <c r="D83" s="5" t="s">
        <v>25</v>
      </c>
      <c r="E83" s="5" t="s">
        <v>10</v>
      </c>
      <c r="F83" s="5" t="s">
        <v>10</v>
      </c>
      <c r="G83" s="5" t="s">
        <v>40</v>
      </c>
      <c r="H83" s="6" t="n">
        <v>65000</v>
      </c>
    </row>
    <row r="84" customFormat="false" ht="15" hidden="false" customHeight="false" outlineLevel="0" collapsed="false">
      <c r="A84" s="11" t="n">
        <v>42579</v>
      </c>
      <c r="B84" s="11" t="n">
        <v>42593</v>
      </c>
      <c r="C84" s="11" t="n">
        <v>42586</v>
      </c>
      <c r="D84" s="5" t="s">
        <v>25</v>
      </c>
      <c r="E84" s="5" t="s">
        <v>11</v>
      </c>
      <c r="F84" s="5" t="s">
        <v>10</v>
      </c>
      <c r="G84" s="5" t="s">
        <v>40</v>
      </c>
      <c r="H84" s="6" t="n">
        <v>263000</v>
      </c>
    </row>
    <row r="85" customFormat="false" ht="15" hidden="false" customHeight="false" outlineLevel="0" collapsed="false">
      <c r="A85" s="11" t="n">
        <v>42580</v>
      </c>
      <c r="B85" s="11" t="n">
        <v>42600</v>
      </c>
      <c r="C85" s="11" t="n">
        <v>42593</v>
      </c>
      <c r="D85" s="5" t="s">
        <v>25</v>
      </c>
      <c r="E85" s="5" t="s">
        <v>10</v>
      </c>
      <c r="F85" s="5" t="s">
        <v>10</v>
      </c>
      <c r="G85" s="5" t="s">
        <v>40</v>
      </c>
      <c r="H85" s="6" t="n">
        <v>66000</v>
      </c>
    </row>
    <row r="86" customFormat="false" ht="15" hidden="false" customHeight="false" outlineLevel="0" collapsed="false">
      <c r="A86" s="11" t="n">
        <v>42580</v>
      </c>
      <c r="B86" s="11" t="n">
        <v>42600</v>
      </c>
      <c r="C86" s="11" t="n">
        <v>42593</v>
      </c>
      <c r="D86" s="5" t="s">
        <v>25</v>
      </c>
      <c r="E86" s="5" t="s">
        <v>11</v>
      </c>
      <c r="F86" s="5" t="s">
        <v>10</v>
      </c>
      <c r="G86" s="5" t="s">
        <v>40</v>
      </c>
      <c r="H86" s="6" t="n">
        <v>63000</v>
      </c>
    </row>
    <row r="87" customFormat="false" ht="15" hidden="false" customHeight="false" outlineLevel="0" collapsed="false">
      <c r="A87" s="11" t="n">
        <v>42583</v>
      </c>
      <c r="B87" s="11" t="n">
        <v>42600</v>
      </c>
      <c r="C87" s="11" t="n">
        <v>42593</v>
      </c>
      <c r="D87" s="5" t="s">
        <v>25</v>
      </c>
      <c r="E87" s="5" t="s">
        <v>11</v>
      </c>
      <c r="F87" s="5" t="s">
        <v>10</v>
      </c>
      <c r="G87" s="5" t="s">
        <v>40</v>
      </c>
      <c r="H87" s="6" t="n">
        <v>391000</v>
      </c>
    </row>
    <row r="88" customFormat="false" ht="15" hidden="false" customHeight="false" outlineLevel="0" collapsed="false">
      <c r="A88" s="11" t="n">
        <v>42585</v>
      </c>
      <c r="B88" s="11" t="n">
        <v>42600</v>
      </c>
      <c r="C88" s="11" t="n">
        <v>42593</v>
      </c>
      <c r="D88" s="5" t="s">
        <v>25</v>
      </c>
      <c r="E88" s="5" t="s">
        <v>11</v>
      </c>
      <c r="F88" s="5" t="s">
        <v>10</v>
      </c>
      <c r="G88" s="5" t="s">
        <v>3</v>
      </c>
      <c r="H88" s="6" t="n">
        <v>290000</v>
      </c>
    </row>
    <row r="89" customFormat="false" ht="15" hidden="false" customHeight="false" outlineLevel="0" collapsed="false">
      <c r="A89" s="11" t="n">
        <v>42585</v>
      </c>
      <c r="B89" s="11" t="n">
        <v>42600</v>
      </c>
      <c r="C89" s="11" t="n">
        <v>42593</v>
      </c>
      <c r="D89" s="5" t="s">
        <v>25</v>
      </c>
      <c r="E89" s="5" t="s">
        <v>10</v>
      </c>
      <c r="F89" s="5" t="s">
        <v>10</v>
      </c>
      <c r="G89" s="5" t="s">
        <v>40</v>
      </c>
      <c r="H89" s="6" t="n">
        <v>66000</v>
      </c>
    </row>
    <row r="90" customFormat="false" ht="15" hidden="false" customHeight="false" outlineLevel="0" collapsed="false">
      <c r="A90" s="11" t="n">
        <v>42585</v>
      </c>
      <c r="B90" s="11" t="n">
        <v>42600</v>
      </c>
      <c r="C90" s="11" t="n">
        <v>42593</v>
      </c>
      <c r="D90" s="5" t="s">
        <v>25</v>
      </c>
      <c r="E90" s="5" t="s">
        <v>11</v>
      </c>
      <c r="F90" s="5" t="s">
        <v>10</v>
      </c>
      <c r="G90" s="5" t="s">
        <v>40</v>
      </c>
      <c r="H90" s="6" t="n">
        <v>190200</v>
      </c>
    </row>
    <row r="91" customFormat="false" ht="15" hidden="false" customHeight="false" outlineLevel="0" collapsed="false">
      <c r="A91" s="11" t="n">
        <v>42586</v>
      </c>
      <c r="B91" s="11" t="n">
        <v>42600</v>
      </c>
      <c r="C91" s="11" t="n">
        <v>42593</v>
      </c>
      <c r="D91" s="5" t="s">
        <v>25</v>
      </c>
      <c r="E91" s="5" t="s">
        <v>11</v>
      </c>
      <c r="F91" s="5" t="s">
        <v>10</v>
      </c>
      <c r="G91" s="5" t="s">
        <v>3</v>
      </c>
      <c r="H91" s="6" t="n">
        <v>129000</v>
      </c>
    </row>
    <row r="92" customFormat="false" ht="15" hidden="false" customHeight="false" outlineLevel="0" collapsed="false">
      <c r="A92" s="11" t="n">
        <v>42591</v>
      </c>
      <c r="B92" s="11" t="n">
        <v>42607</v>
      </c>
      <c r="C92" s="11" t="n">
        <v>42600</v>
      </c>
      <c r="D92" s="5" t="s">
        <v>25</v>
      </c>
      <c r="E92" s="5" t="s">
        <v>11</v>
      </c>
      <c r="F92" s="5" t="s">
        <v>10</v>
      </c>
      <c r="G92" s="5" t="s">
        <v>40</v>
      </c>
      <c r="H92" s="6" t="n">
        <v>120000</v>
      </c>
    </row>
    <row r="93" customFormat="false" ht="15" hidden="false" customHeight="false" outlineLevel="0" collapsed="false">
      <c r="A93" s="11" t="n">
        <v>42593</v>
      </c>
      <c r="B93" s="11" t="n">
        <v>42607</v>
      </c>
      <c r="C93" s="11" t="n">
        <v>42600</v>
      </c>
      <c r="D93" s="5" t="s">
        <v>25</v>
      </c>
      <c r="E93" s="5" t="s">
        <v>11</v>
      </c>
      <c r="F93" s="5" t="s">
        <v>10</v>
      </c>
      <c r="G93" s="5" t="s">
        <v>40</v>
      </c>
      <c r="H93" s="6" t="n">
        <v>129000</v>
      </c>
    </row>
    <row r="94" customFormat="false" ht="15" hidden="false" customHeight="false" outlineLevel="0" collapsed="false">
      <c r="A94" s="11" t="n">
        <v>42599</v>
      </c>
      <c r="B94" s="11" t="n">
        <v>42614</v>
      </c>
      <c r="C94" s="11" t="n">
        <v>42607</v>
      </c>
      <c r="D94" s="5" t="s">
        <v>25</v>
      </c>
      <c r="E94" s="5" t="s">
        <v>11</v>
      </c>
      <c r="F94" s="5" t="s">
        <v>10</v>
      </c>
      <c r="G94" s="5" t="s">
        <v>40</v>
      </c>
      <c r="H94" s="6" t="n">
        <v>129000</v>
      </c>
    </row>
    <row r="95" customFormat="false" ht="15" hidden="false" customHeight="false" outlineLevel="0" collapsed="false">
      <c r="A95" s="11" t="n">
        <v>42600</v>
      </c>
      <c r="B95" s="11" t="n">
        <v>42614</v>
      </c>
      <c r="C95" s="11" t="n">
        <v>42607</v>
      </c>
      <c r="D95" s="5" t="s">
        <v>25</v>
      </c>
      <c r="E95" s="5" t="s">
        <v>11</v>
      </c>
      <c r="F95" s="5" t="s">
        <v>10</v>
      </c>
      <c r="G95" s="5" t="s">
        <v>3</v>
      </c>
      <c r="H95" s="6" t="n">
        <v>101600</v>
      </c>
    </row>
    <row r="96" customFormat="false" ht="15" hidden="false" customHeight="false" outlineLevel="0" collapsed="false">
      <c r="A96" s="11" t="n">
        <v>42601</v>
      </c>
      <c r="B96" s="11" t="n">
        <v>42621</v>
      </c>
      <c r="C96" s="11" t="n">
        <v>42614</v>
      </c>
      <c r="D96" s="5" t="s">
        <v>25</v>
      </c>
      <c r="E96" s="5" t="s">
        <v>11</v>
      </c>
      <c r="F96" s="5" t="s">
        <v>10</v>
      </c>
      <c r="G96" s="5" t="s">
        <v>40</v>
      </c>
      <c r="H96" s="6" t="n">
        <v>261000</v>
      </c>
    </row>
    <row r="97" customFormat="false" ht="15" hidden="false" customHeight="false" outlineLevel="0" collapsed="false">
      <c r="A97" s="11" t="n">
        <v>42604</v>
      </c>
      <c r="B97" s="11" t="n">
        <v>42621</v>
      </c>
      <c r="C97" s="11" t="n">
        <v>42614</v>
      </c>
      <c r="D97" s="5" t="s">
        <v>25</v>
      </c>
      <c r="E97" s="5" t="s">
        <v>11</v>
      </c>
      <c r="F97" s="5" t="s">
        <v>10</v>
      </c>
      <c r="G97" s="5" t="s">
        <v>40</v>
      </c>
      <c r="H97" s="6" t="n">
        <v>120000</v>
      </c>
    </row>
    <row r="98" customFormat="false" ht="15" hidden="false" customHeight="false" outlineLevel="0" collapsed="false">
      <c r="A98" s="11" t="n">
        <v>42606</v>
      </c>
      <c r="B98" s="11" t="n">
        <v>42621</v>
      </c>
      <c r="C98" s="11" t="n">
        <v>42614</v>
      </c>
      <c r="D98" s="5" t="s">
        <v>25</v>
      </c>
      <c r="E98" s="5" t="s">
        <v>11</v>
      </c>
      <c r="F98" s="5" t="s">
        <v>10</v>
      </c>
      <c r="G98" s="5" t="s">
        <v>3</v>
      </c>
      <c r="H98" s="6" t="n">
        <v>101600</v>
      </c>
    </row>
    <row r="99" customFormat="false" ht="15" hidden="false" customHeight="false" outlineLevel="0" collapsed="false">
      <c r="A99" s="11" t="n">
        <v>42611</v>
      </c>
      <c r="B99" s="11" t="n">
        <v>42628</v>
      </c>
      <c r="C99" s="11" t="n">
        <v>42621</v>
      </c>
      <c r="D99" s="5" t="s">
        <v>25</v>
      </c>
      <c r="E99" s="5" t="s">
        <v>11</v>
      </c>
      <c r="F99" s="5" t="s">
        <v>10</v>
      </c>
      <c r="G99" s="5" t="s">
        <v>40</v>
      </c>
      <c r="H99" s="6" t="n">
        <v>393000</v>
      </c>
    </row>
    <row r="100" customFormat="false" ht="15" hidden="false" customHeight="false" outlineLevel="0" collapsed="false">
      <c r="A100" s="11" t="n">
        <v>42612</v>
      </c>
      <c r="B100" s="11" t="n">
        <v>42628</v>
      </c>
      <c r="C100" s="11" t="n">
        <v>42621</v>
      </c>
      <c r="D100" s="5" t="s">
        <v>25</v>
      </c>
      <c r="E100" s="5" t="s">
        <v>11</v>
      </c>
      <c r="F100" s="5" t="s">
        <v>10</v>
      </c>
      <c r="G100" s="5" t="s">
        <v>40</v>
      </c>
      <c r="H100" s="6" t="n">
        <v>126000</v>
      </c>
    </row>
    <row r="101" customFormat="false" ht="15" hidden="false" customHeight="false" outlineLevel="0" collapsed="false">
      <c r="A101" s="11" t="n">
        <v>42614</v>
      </c>
      <c r="B101" s="11" t="n">
        <v>42628</v>
      </c>
      <c r="C101" s="11" t="n">
        <v>42621</v>
      </c>
      <c r="D101" s="5" t="s">
        <v>25</v>
      </c>
      <c r="E101" s="5" t="s">
        <v>11</v>
      </c>
      <c r="F101" s="5" t="s">
        <v>11</v>
      </c>
      <c r="G101" s="5" t="s">
        <v>40</v>
      </c>
      <c r="H101" s="6" t="n">
        <v>147000</v>
      </c>
    </row>
    <row r="102" customFormat="false" ht="15" hidden="false" customHeight="false" outlineLevel="0" collapsed="false">
      <c r="A102" s="11" t="n">
        <v>42620</v>
      </c>
      <c r="B102" s="11" t="n">
        <v>42635</v>
      </c>
      <c r="C102" s="11" t="n">
        <v>42628</v>
      </c>
      <c r="D102" s="5" t="s">
        <v>25</v>
      </c>
      <c r="E102" s="5" t="s">
        <v>11</v>
      </c>
      <c r="F102" s="5" t="s">
        <v>11</v>
      </c>
      <c r="G102" s="5" t="s">
        <v>40</v>
      </c>
      <c r="H102" s="6" t="n">
        <v>264000</v>
      </c>
    </row>
    <row r="103" customFormat="false" ht="15" hidden="false" customHeight="false" outlineLevel="0" collapsed="false">
      <c r="A103" s="11" t="n">
        <v>42628</v>
      </c>
      <c r="B103" s="11" t="n">
        <v>42642</v>
      </c>
      <c r="C103" s="11" t="n">
        <v>42635</v>
      </c>
      <c r="D103" s="5" t="s">
        <v>25</v>
      </c>
      <c r="E103" s="5" t="s">
        <v>11</v>
      </c>
      <c r="F103" s="5" t="s">
        <v>11</v>
      </c>
      <c r="G103" s="5" t="s">
        <v>40</v>
      </c>
      <c r="H103" s="6" t="n">
        <v>110000</v>
      </c>
    </row>
    <row r="104" customFormat="false" ht="15" hidden="false" customHeight="false" outlineLevel="0" collapsed="false">
      <c r="A104" s="11" t="n">
        <v>42634</v>
      </c>
      <c r="B104" s="11" t="n">
        <v>42649</v>
      </c>
      <c r="C104" s="11" t="n">
        <v>42642</v>
      </c>
      <c r="D104" s="5" t="s">
        <v>25</v>
      </c>
      <c r="E104" s="5" t="s">
        <v>11</v>
      </c>
      <c r="F104" s="5" t="s">
        <v>11</v>
      </c>
      <c r="G104" s="5" t="s">
        <v>40</v>
      </c>
      <c r="H104" s="6" t="n">
        <v>126000</v>
      </c>
    </row>
    <row r="105" customFormat="false" ht="15" hidden="false" customHeight="false" outlineLevel="0" collapsed="false">
      <c r="A105" s="11" t="n">
        <v>42635</v>
      </c>
      <c r="B105" s="11" t="n">
        <v>42649</v>
      </c>
      <c r="C105" s="11" t="n">
        <v>42642</v>
      </c>
      <c r="D105" s="5" t="s">
        <v>25</v>
      </c>
      <c r="E105" s="5" t="s">
        <v>11</v>
      </c>
      <c r="F105" s="5" t="s">
        <v>11</v>
      </c>
      <c r="G105" s="5" t="s">
        <v>40</v>
      </c>
      <c r="H105" s="6" t="n">
        <v>151000</v>
      </c>
    </row>
    <row r="106" customFormat="false" ht="15" hidden="false" customHeight="false" outlineLevel="0" collapsed="false">
      <c r="A106" s="11" t="n">
        <v>42639</v>
      </c>
      <c r="B106" s="11" t="n">
        <v>42656</v>
      </c>
      <c r="C106" s="11" t="n">
        <v>42649</v>
      </c>
      <c r="D106" s="5" t="s">
        <v>25</v>
      </c>
      <c r="E106" s="5" t="s">
        <v>11</v>
      </c>
      <c r="F106" s="5" t="s">
        <v>11</v>
      </c>
      <c r="G106" s="5" t="s">
        <v>40</v>
      </c>
      <c r="H106" s="6" t="n">
        <v>240000</v>
      </c>
    </row>
    <row r="107" customFormat="false" ht="15" hidden="false" customHeight="false" outlineLevel="0" collapsed="false">
      <c r="A107" s="11" t="n">
        <v>42641</v>
      </c>
      <c r="B107" s="11" t="n">
        <v>42656</v>
      </c>
      <c r="C107" s="11" t="n">
        <v>42649</v>
      </c>
      <c r="D107" s="5" t="s">
        <v>25</v>
      </c>
      <c r="E107" s="5" t="s">
        <v>11</v>
      </c>
      <c r="F107" s="5" t="s">
        <v>11</v>
      </c>
      <c r="G107" s="5" t="s">
        <v>40</v>
      </c>
      <c r="H107" s="6" t="n">
        <v>211171</v>
      </c>
    </row>
    <row r="108" customFormat="false" ht="15" hidden="false" customHeight="false" outlineLevel="0" collapsed="false">
      <c r="A108" s="11" t="n">
        <v>42643</v>
      </c>
      <c r="B108" s="11" t="n">
        <v>42663</v>
      </c>
      <c r="C108" s="11" t="n">
        <v>42656</v>
      </c>
      <c r="D108" s="5" t="s">
        <v>25</v>
      </c>
      <c r="E108" s="5" t="s">
        <v>11</v>
      </c>
      <c r="F108" s="5" t="s">
        <v>11</v>
      </c>
      <c r="G108" s="5" t="s">
        <v>40</v>
      </c>
      <c r="H108" s="6" t="n">
        <v>198000</v>
      </c>
    </row>
    <row r="109" customFormat="false" ht="15" hidden="false" customHeight="false" outlineLevel="0" collapsed="false">
      <c r="A109" s="11" t="n">
        <v>42647</v>
      </c>
      <c r="B109" s="11" t="n">
        <v>42663</v>
      </c>
      <c r="C109" s="11" t="n">
        <v>42656</v>
      </c>
      <c r="D109" s="5" t="s">
        <v>25</v>
      </c>
      <c r="E109" s="5" t="s">
        <v>11</v>
      </c>
      <c r="F109" s="5" t="s">
        <v>11</v>
      </c>
      <c r="G109" s="5" t="s">
        <v>3</v>
      </c>
      <c r="H109" s="6" t="n">
        <v>100000</v>
      </c>
    </row>
    <row r="110" customFormat="false" ht="15" hidden="false" customHeight="false" outlineLevel="0" collapsed="false">
      <c r="A110" s="11" t="n">
        <v>42649</v>
      </c>
      <c r="B110" s="11" t="n">
        <v>42663</v>
      </c>
      <c r="C110" s="11" t="n">
        <v>42656</v>
      </c>
      <c r="D110" s="5" t="s">
        <v>25</v>
      </c>
      <c r="E110" s="5" t="s">
        <v>11</v>
      </c>
      <c r="F110" s="5" t="s">
        <v>11</v>
      </c>
      <c r="G110" s="5" t="s">
        <v>40</v>
      </c>
      <c r="H110" s="6" t="n">
        <v>258000</v>
      </c>
    </row>
    <row r="111" customFormat="false" ht="15" hidden="false" customHeight="false" outlineLevel="0" collapsed="false">
      <c r="A111" s="11" t="n">
        <v>42650</v>
      </c>
      <c r="B111" s="11" t="n">
        <v>42670</v>
      </c>
      <c r="C111" s="11" t="n">
        <v>42663</v>
      </c>
      <c r="D111" s="5" t="s">
        <v>25</v>
      </c>
      <c r="E111" s="5" t="s">
        <v>11</v>
      </c>
      <c r="F111" s="5" t="s">
        <v>11</v>
      </c>
      <c r="G111" s="5" t="s">
        <v>40</v>
      </c>
      <c r="H111" s="6" t="n">
        <v>195000</v>
      </c>
    </row>
    <row r="112" customFormat="false" ht="15" hidden="false" customHeight="false" outlineLevel="0" collapsed="false">
      <c r="A112" s="11" t="n">
        <v>42654</v>
      </c>
      <c r="B112" s="11" t="n">
        <v>42670</v>
      </c>
      <c r="C112" s="11" t="n">
        <v>42663</v>
      </c>
      <c r="D112" s="5" t="s">
        <v>25</v>
      </c>
      <c r="E112" s="5" t="s">
        <v>11</v>
      </c>
      <c r="F112" s="5" t="s">
        <v>11</v>
      </c>
      <c r="G112" s="5" t="s">
        <v>3</v>
      </c>
      <c r="H112" s="6" t="n">
        <v>161544</v>
      </c>
    </row>
    <row r="113" customFormat="false" ht="15" hidden="false" customHeight="false" outlineLevel="0" collapsed="false">
      <c r="A113" s="11" t="n">
        <v>42656</v>
      </c>
      <c r="B113" s="11" t="n">
        <v>42670</v>
      </c>
      <c r="C113" s="11" t="n">
        <v>42663</v>
      </c>
      <c r="D113" s="5" t="s">
        <v>25</v>
      </c>
      <c r="E113" s="5" t="s">
        <v>11</v>
      </c>
      <c r="F113" s="5" t="s">
        <v>11</v>
      </c>
      <c r="G113" s="5" t="s">
        <v>40</v>
      </c>
      <c r="H113" s="6" t="n">
        <v>115000</v>
      </c>
    </row>
    <row r="114" customFormat="false" ht="15" hidden="false" customHeight="false" outlineLevel="0" collapsed="false">
      <c r="A114" s="11" t="n">
        <v>42662</v>
      </c>
      <c r="B114" s="11" t="n">
        <v>42677</v>
      </c>
      <c r="C114" s="11" t="n">
        <v>42670</v>
      </c>
      <c r="D114" s="5" t="s">
        <v>25</v>
      </c>
      <c r="E114" s="5" t="s">
        <v>11</v>
      </c>
      <c r="F114" s="5" t="s">
        <v>11</v>
      </c>
      <c r="G114" s="5" t="s">
        <v>40</v>
      </c>
      <c r="H114" s="6" t="n">
        <v>185000</v>
      </c>
    </row>
    <row r="115" customFormat="false" ht="15" hidden="false" customHeight="false" outlineLevel="0" collapsed="false">
      <c r="A115" s="11" t="n">
        <v>42663</v>
      </c>
      <c r="B115" s="11" t="n">
        <v>42677</v>
      </c>
      <c r="C115" s="11" t="n">
        <v>42670</v>
      </c>
      <c r="D115" s="5" t="s">
        <v>25</v>
      </c>
      <c r="E115" s="5" t="s">
        <v>11</v>
      </c>
      <c r="F115" s="5" t="s">
        <v>11</v>
      </c>
      <c r="G115" s="5" t="s">
        <v>40</v>
      </c>
      <c r="H115" s="6" t="n">
        <v>384000</v>
      </c>
    </row>
    <row r="116" customFormat="false" ht="15" hidden="false" customHeight="false" outlineLevel="0" collapsed="false">
      <c r="A116" s="11" t="n">
        <v>42670</v>
      </c>
      <c r="B116" s="11" t="n">
        <v>42684</v>
      </c>
      <c r="C116" s="11" t="n">
        <v>42677</v>
      </c>
      <c r="D116" s="5" t="s">
        <v>25</v>
      </c>
      <c r="E116" s="5" t="s">
        <v>11</v>
      </c>
      <c r="F116" s="5" t="s">
        <v>11</v>
      </c>
      <c r="G116" s="5" t="s">
        <v>40</v>
      </c>
      <c r="H116" s="6" t="n">
        <v>129000</v>
      </c>
    </row>
    <row r="117" customFormat="false" ht="15" hidden="false" customHeight="false" outlineLevel="0" collapsed="false">
      <c r="A117" s="11" t="n">
        <v>42674</v>
      </c>
      <c r="B117" s="11" t="n">
        <v>42691</v>
      </c>
      <c r="C117" s="11" t="n">
        <v>42684</v>
      </c>
      <c r="D117" s="5" t="s">
        <v>25</v>
      </c>
      <c r="E117" s="5" t="s">
        <v>11</v>
      </c>
      <c r="F117" s="5" t="s">
        <v>11</v>
      </c>
      <c r="G117" s="5" t="s">
        <v>3</v>
      </c>
      <c r="H117" s="6" t="n">
        <v>100973</v>
      </c>
    </row>
    <row r="118" customFormat="false" ht="15" hidden="false" customHeight="false" outlineLevel="0" collapsed="false">
      <c r="A118" s="11" t="n">
        <v>42677</v>
      </c>
      <c r="B118" s="11" t="n">
        <v>42691</v>
      </c>
      <c r="C118" s="11" t="n">
        <v>42684</v>
      </c>
      <c r="D118" s="5" t="s">
        <v>25</v>
      </c>
      <c r="E118" s="5" t="s">
        <v>11</v>
      </c>
      <c r="F118" s="5" t="s">
        <v>11</v>
      </c>
      <c r="G118" s="5" t="s">
        <v>40</v>
      </c>
      <c r="H118" s="6" t="n">
        <v>60000</v>
      </c>
    </row>
    <row r="119" customFormat="false" ht="15" hidden="false" customHeight="false" outlineLevel="0" collapsed="false">
      <c r="A119" s="11" t="n">
        <v>42677</v>
      </c>
      <c r="B119" s="11" t="n">
        <v>42691</v>
      </c>
      <c r="C119" s="11" t="n">
        <v>42684</v>
      </c>
      <c r="D119" s="5" t="s">
        <v>25</v>
      </c>
      <c r="E119" s="5" t="s">
        <v>12</v>
      </c>
      <c r="F119" s="5" t="s">
        <v>11</v>
      </c>
      <c r="G119" s="5" t="s">
        <v>40</v>
      </c>
      <c r="H119" s="6" t="n">
        <v>60000</v>
      </c>
    </row>
    <row r="120" customFormat="false" ht="15" hidden="false" customHeight="false" outlineLevel="0" collapsed="false">
      <c r="A120" s="11" t="n">
        <v>42681</v>
      </c>
      <c r="B120" s="11" t="n">
        <v>42698</v>
      </c>
      <c r="C120" s="11" t="n">
        <v>42691</v>
      </c>
      <c r="D120" s="5" t="s">
        <v>25</v>
      </c>
      <c r="E120" s="5" t="s">
        <v>11</v>
      </c>
      <c r="F120" s="5" t="s">
        <v>11</v>
      </c>
      <c r="G120" s="5" t="s">
        <v>3</v>
      </c>
      <c r="H120" s="6" t="n">
        <v>172000</v>
      </c>
    </row>
    <row r="121" customFormat="false" ht="15" hidden="false" customHeight="false" outlineLevel="0" collapsed="false">
      <c r="A121" s="11" t="n">
        <v>42688</v>
      </c>
      <c r="B121" s="11" t="n">
        <v>42705</v>
      </c>
      <c r="C121" s="11" t="n">
        <v>42698</v>
      </c>
      <c r="D121" s="5" t="s">
        <v>25</v>
      </c>
      <c r="E121" s="5" t="s">
        <v>11</v>
      </c>
      <c r="F121" s="5" t="s">
        <v>11</v>
      </c>
      <c r="G121" s="5" t="s">
        <v>40</v>
      </c>
      <c r="H121" s="6" t="n">
        <v>132000</v>
      </c>
    </row>
    <row r="122" customFormat="false" ht="15" hidden="false" customHeight="false" outlineLevel="0" collapsed="false">
      <c r="A122" s="11" t="n">
        <v>42689</v>
      </c>
      <c r="B122" s="11" t="n">
        <v>42705</v>
      </c>
      <c r="C122" s="11" t="n">
        <v>42698</v>
      </c>
      <c r="D122" s="5" t="s">
        <v>25</v>
      </c>
      <c r="E122" s="5" t="s">
        <v>11</v>
      </c>
      <c r="F122" s="5" t="s">
        <v>11</v>
      </c>
      <c r="G122" s="5" t="s">
        <v>40</v>
      </c>
      <c r="H122" s="6" t="n">
        <v>126000</v>
      </c>
    </row>
    <row r="123" customFormat="false" ht="15" hidden="false" customHeight="false" outlineLevel="0" collapsed="false">
      <c r="A123" s="11" t="n">
        <v>42691</v>
      </c>
      <c r="B123" s="11" t="n">
        <v>42705</v>
      </c>
      <c r="C123" s="11" t="n">
        <v>42698</v>
      </c>
      <c r="D123" s="5" t="s">
        <v>25</v>
      </c>
      <c r="E123" s="5" t="s">
        <v>11</v>
      </c>
      <c r="F123" s="5" t="s">
        <v>11</v>
      </c>
      <c r="G123" s="5" t="s">
        <v>3</v>
      </c>
      <c r="H123" s="6" t="n">
        <v>106200</v>
      </c>
    </row>
    <row r="124" customFormat="false" ht="15" hidden="false" customHeight="false" outlineLevel="0" collapsed="false">
      <c r="A124" s="11" t="n">
        <v>42710</v>
      </c>
      <c r="B124" s="11" t="n">
        <v>42726</v>
      </c>
      <c r="C124" s="11" t="n">
        <v>42719</v>
      </c>
      <c r="D124" s="5" t="s">
        <v>25</v>
      </c>
      <c r="E124" s="5" t="s">
        <v>11</v>
      </c>
      <c r="F124" s="5" t="s">
        <v>11</v>
      </c>
      <c r="G124" s="5" t="s">
        <v>40</v>
      </c>
      <c r="H124" s="6" t="n">
        <v>246000</v>
      </c>
    </row>
    <row r="125" customFormat="false" ht="15" hidden="false" customHeight="false" outlineLevel="0" collapsed="false">
      <c r="A125" s="11" t="n">
        <v>42710</v>
      </c>
      <c r="B125" s="11" t="n">
        <v>42726</v>
      </c>
      <c r="C125" s="11" t="n">
        <v>42719</v>
      </c>
      <c r="D125" s="5" t="s">
        <v>25</v>
      </c>
      <c r="E125" s="5" t="s">
        <v>12</v>
      </c>
      <c r="F125" s="5" t="s">
        <v>11</v>
      </c>
      <c r="G125" s="5" t="s">
        <v>40</v>
      </c>
      <c r="H125" s="6" t="n">
        <v>132000</v>
      </c>
    </row>
    <row r="126" customFormat="false" ht="15" hidden="false" customHeight="false" outlineLevel="0" collapsed="false">
      <c r="A126" s="11" t="n">
        <v>42711</v>
      </c>
      <c r="B126" s="11" t="n">
        <v>42726</v>
      </c>
      <c r="C126" s="11" t="n">
        <v>42719</v>
      </c>
      <c r="D126" s="5" t="s">
        <v>25</v>
      </c>
      <c r="E126" s="5" t="s">
        <v>11</v>
      </c>
      <c r="F126" s="5" t="s">
        <v>11</v>
      </c>
      <c r="G126" s="5" t="s">
        <v>40</v>
      </c>
      <c r="H126" s="6" t="n">
        <v>136000</v>
      </c>
    </row>
    <row r="127" customFormat="false" ht="15" hidden="false" customHeight="false" outlineLevel="0" collapsed="false">
      <c r="A127" s="11" t="n">
        <v>42712</v>
      </c>
      <c r="B127" s="11" t="n">
        <v>42726</v>
      </c>
      <c r="C127" s="11" t="n">
        <v>42719</v>
      </c>
      <c r="D127" s="5" t="s">
        <v>25</v>
      </c>
      <c r="E127" s="5" t="s">
        <v>11</v>
      </c>
      <c r="F127" s="5" t="s">
        <v>11</v>
      </c>
      <c r="G127" s="5" t="s">
        <v>40</v>
      </c>
      <c r="H127" s="6" t="n">
        <v>136000</v>
      </c>
    </row>
    <row r="128" customFormat="false" ht="15" hidden="false" customHeight="false" outlineLevel="0" collapsed="false">
      <c r="A128" s="11" t="n">
        <v>42713</v>
      </c>
      <c r="B128" s="11" t="n">
        <v>42733</v>
      </c>
      <c r="C128" s="11" t="n">
        <v>42726</v>
      </c>
      <c r="D128" s="5" t="s">
        <v>25</v>
      </c>
      <c r="E128" s="5" t="s">
        <v>11</v>
      </c>
      <c r="F128" s="5" t="s">
        <v>11</v>
      </c>
      <c r="G128" s="5" t="s">
        <v>40</v>
      </c>
      <c r="H128" s="6" t="n">
        <v>132000</v>
      </c>
    </row>
    <row r="129" customFormat="false" ht="15" hidden="false" customHeight="false" outlineLevel="0" collapsed="false">
      <c r="A129" s="11" t="n">
        <v>42720</v>
      </c>
      <c r="B129" s="11" t="n">
        <v>42740</v>
      </c>
      <c r="C129" s="11" t="n">
        <v>42733</v>
      </c>
      <c r="D129" s="5" t="s">
        <v>25</v>
      </c>
      <c r="E129" s="5" t="s">
        <v>11</v>
      </c>
      <c r="F129" s="5" t="s">
        <v>11</v>
      </c>
      <c r="G129" s="5" t="s">
        <v>40</v>
      </c>
      <c r="H129" s="6" t="n">
        <v>205000</v>
      </c>
    </row>
    <row r="130" customFormat="false" ht="15" hidden="false" customHeight="false" outlineLevel="0" collapsed="false">
      <c r="A130" s="11" t="n">
        <v>42727</v>
      </c>
      <c r="B130" s="11" t="n">
        <v>42747</v>
      </c>
      <c r="C130" s="11" t="n">
        <v>42740</v>
      </c>
      <c r="D130" s="5" t="s">
        <v>25</v>
      </c>
      <c r="E130" s="5" t="s">
        <v>11</v>
      </c>
      <c r="F130" s="5" t="s">
        <v>11</v>
      </c>
      <c r="G130" s="5" t="s">
        <v>3</v>
      </c>
      <c r="H130" s="6" t="n">
        <v>110800</v>
      </c>
    </row>
    <row r="131" customFormat="false" ht="15" hidden="false" customHeight="false" outlineLevel="0" collapsed="false">
      <c r="A131" s="11" t="n">
        <v>42744</v>
      </c>
      <c r="B131" s="11" t="n">
        <v>42761</v>
      </c>
      <c r="C131" s="11" t="n">
        <v>42754</v>
      </c>
      <c r="D131" s="5" t="s">
        <v>25</v>
      </c>
      <c r="E131" s="5" t="s">
        <v>11</v>
      </c>
      <c r="F131" s="5" t="s">
        <v>11</v>
      </c>
      <c r="G131" s="5" t="s">
        <v>3</v>
      </c>
      <c r="H131" s="6" t="n">
        <v>112500</v>
      </c>
    </row>
    <row r="132" customFormat="false" ht="15" hidden="false" customHeight="false" outlineLevel="0" collapsed="false">
      <c r="A132" s="11" t="n">
        <v>42745</v>
      </c>
      <c r="B132" s="11" t="n">
        <v>42761</v>
      </c>
      <c r="C132" s="11" t="n">
        <v>42754</v>
      </c>
      <c r="D132" s="5" t="s">
        <v>25</v>
      </c>
      <c r="E132" s="5" t="s">
        <v>11</v>
      </c>
      <c r="F132" s="5" t="s">
        <v>11</v>
      </c>
      <c r="G132" s="5" t="s">
        <v>3</v>
      </c>
      <c r="H132" s="6" t="n">
        <v>91300</v>
      </c>
    </row>
    <row r="133" customFormat="false" ht="15" hidden="false" customHeight="false" outlineLevel="0" collapsed="false">
      <c r="A133" s="11" t="n">
        <v>42745</v>
      </c>
      <c r="B133" s="11" t="n">
        <v>42761</v>
      </c>
      <c r="C133" s="11" t="n">
        <v>42754</v>
      </c>
      <c r="D133" s="5" t="s">
        <v>25</v>
      </c>
      <c r="E133" s="5" t="s">
        <v>12</v>
      </c>
      <c r="F133" s="5" t="s">
        <v>11</v>
      </c>
      <c r="G133" s="5" t="s">
        <v>3</v>
      </c>
      <c r="H133" s="6" t="n">
        <v>150300</v>
      </c>
    </row>
    <row r="134" customFormat="false" ht="15" hidden="false" customHeight="false" outlineLevel="0" collapsed="false">
      <c r="A134" s="11" t="n">
        <v>42747</v>
      </c>
      <c r="B134" s="11" t="n">
        <v>42761</v>
      </c>
      <c r="C134" s="11" t="n">
        <v>42754</v>
      </c>
      <c r="D134" s="5" t="s">
        <v>25</v>
      </c>
      <c r="E134" s="5" t="s">
        <v>11</v>
      </c>
      <c r="F134" s="5" t="s">
        <v>11</v>
      </c>
      <c r="G134" s="5" t="s">
        <v>3</v>
      </c>
      <c r="H134" s="6" t="n">
        <v>253488</v>
      </c>
    </row>
    <row r="135" customFormat="false" ht="15" hidden="false" customHeight="false" outlineLevel="0" collapsed="false">
      <c r="A135" s="11" t="n">
        <v>42748</v>
      </c>
      <c r="B135" s="11" t="n">
        <v>42768</v>
      </c>
      <c r="C135" s="11" t="n">
        <v>42761</v>
      </c>
      <c r="D135" s="5" t="s">
        <v>25</v>
      </c>
      <c r="E135" s="5" t="s">
        <v>11</v>
      </c>
      <c r="F135" s="5" t="s">
        <v>11</v>
      </c>
      <c r="G135" s="5" t="s">
        <v>40</v>
      </c>
      <c r="H135" s="6" t="n">
        <v>132000</v>
      </c>
    </row>
    <row r="136" customFormat="false" ht="15" hidden="false" customHeight="false" outlineLevel="0" collapsed="false">
      <c r="A136" s="11" t="n">
        <v>42752</v>
      </c>
      <c r="B136" s="11" t="n">
        <v>42768</v>
      </c>
      <c r="C136" s="11" t="n">
        <v>42761</v>
      </c>
      <c r="D136" s="5" t="s">
        <v>25</v>
      </c>
      <c r="E136" s="5" t="s">
        <v>11</v>
      </c>
      <c r="F136" s="5" t="s">
        <v>11</v>
      </c>
      <c r="G136" s="5" t="s">
        <v>3</v>
      </c>
      <c r="H136" s="6" t="n">
        <v>102944</v>
      </c>
    </row>
    <row r="137" customFormat="false" ht="15" hidden="false" customHeight="false" outlineLevel="0" collapsed="false">
      <c r="A137" s="11" t="n">
        <v>42754</v>
      </c>
      <c r="B137" s="11" t="n">
        <v>42768</v>
      </c>
      <c r="C137" s="11" t="n">
        <v>42761</v>
      </c>
      <c r="D137" s="5" t="s">
        <v>25</v>
      </c>
      <c r="E137" s="5" t="s">
        <v>11</v>
      </c>
      <c r="F137" s="5" t="s">
        <v>11</v>
      </c>
      <c r="G137" s="5" t="s">
        <v>3</v>
      </c>
      <c r="H137" s="6" t="n">
        <v>110400</v>
      </c>
    </row>
    <row r="138" customFormat="false" ht="15" hidden="false" customHeight="false" outlineLevel="0" collapsed="false">
      <c r="A138" s="11" t="n">
        <v>42755</v>
      </c>
      <c r="B138" s="11" t="n">
        <v>42775</v>
      </c>
      <c r="C138" s="11" t="n">
        <v>42768</v>
      </c>
      <c r="D138" s="5" t="s">
        <v>25</v>
      </c>
      <c r="E138" s="5" t="s">
        <v>11</v>
      </c>
      <c r="F138" s="5" t="s">
        <v>11</v>
      </c>
      <c r="G138" s="5" t="s">
        <v>3</v>
      </c>
      <c r="H138" s="6" t="n">
        <v>126312</v>
      </c>
    </row>
    <row r="139" customFormat="false" ht="15" hidden="false" customHeight="false" outlineLevel="0" collapsed="false">
      <c r="A139" s="11" t="n">
        <v>42759</v>
      </c>
      <c r="B139" s="11" t="n">
        <v>42775</v>
      </c>
      <c r="C139" s="11" t="n">
        <v>42768</v>
      </c>
      <c r="D139" s="5" t="s">
        <v>25</v>
      </c>
      <c r="E139" s="5" t="s">
        <v>11</v>
      </c>
      <c r="F139" s="5" t="s">
        <v>11</v>
      </c>
      <c r="G139" s="5" t="s">
        <v>3</v>
      </c>
      <c r="H139" s="6" t="n">
        <v>125000</v>
      </c>
    </row>
    <row r="140" customFormat="false" ht="15" hidden="false" customHeight="false" outlineLevel="0" collapsed="false">
      <c r="A140" s="11" t="n">
        <v>42759</v>
      </c>
      <c r="B140" s="11" t="n">
        <v>42775</v>
      </c>
      <c r="C140" s="11" t="n">
        <v>42768</v>
      </c>
      <c r="D140" s="5" t="s">
        <v>25</v>
      </c>
      <c r="E140" s="5" t="s">
        <v>11</v>
      </c>
      <c r="F140" s="5" t="s">
        <v>11</v>
      </c>
      <c r="G140" s="5" t="s">
        <v>40</v>
      </c>
      <c r="H140" s="6" t="n">
        <v>103000</v>
      </c>
    </row>
    <row r="141" customFormat="false" ht="15" hidden="false" customHeight="false" outlineLevel="0" collapsed="false">
      <c r="A141" s="11" t="n">
        <v>42759</v>
      </c>
      <c r="B141" s="11" t="n">
        <v>42775</v>
      </c>
      <c r="C141" s="11" t="n">
        <v>42768</v>
      </c>
      <c r="D141" s="5" t="s">
        <v>25</v>
      </c>
      <c r="E141" s="5" t="s">
        <v>12</v>
      </c>
      <c r="F141" s="5" t="s">
        <v>11</v>
      </c>
      <c r="G141" s="5" t="s">
        <v>40</v>
      </c>
      <c r="H141" s="6" t="n">
        <v>60000</v>
      </c>
    </row>
    <row r="142" customFormat="false" ht="15" hidden="false" customHeight="false" outlineLevel="0" collapsed="false">
      <c r="A142" s="11" t="n">
        <v>42760</v>
      </c>
      <c r="B142" s="11" t="n">
        <v>42775</v>
      </c>
      <c r="C142" s="11" t="n">
        <v>42768</v>
      </c>
      <c r="D142" s="5" t="s">
        <v>25</v>
      </c>
      <c r="E142" s="5" t="s">
        <v>11</v>
      </c>
      <c r="F142" s="5" t="s">
        <v>11</v>
      </c>
      <c r="G142" s="5" t="s">
        <v>3</v>
      </c>
      <c r="H142" s="6" t="n">
        <v>141224</v>
      </c>
    </row>
    <row r="143" customFormat="false" ht="15" hidden="false" customHeight="false" outlineLevel="0" collapsed="false">
      <c r="A143" s="11" t="n">
        <v>42767</v>
      </c>
      <c r="B143" s="11" t="n">
        <v>42782</v>
      </c>
      <c r="C143" s="11" t="n">
        <v>42775</v>
      </c>
      <c r="D143" s="5" t="s">
        <v>25</v>
      </c>
      <c r="E143" s="5" t="s">
        <v>11</v>
      </c>
      <c r="F143" s="5" t="s">
        <v>11</v>
      </c>
      <c r="G143" s="5" t="s">
        <v>40</v>
      </c>
      <c r="H143" s="6" t="n">
        <v>170700</v>
      </c>
    </row>
    <row r="144" customFormat="false" ht="15" hidden="false" customHeight="false" outlineLevel="0" collapsed="false">
      <c r="A144" s="11" t="n">
        <v>42767</v>
      </c>
      <c r="B144" s="11" t="n">
        <v>42782</v>
      </c>
      <c r="C144" s="11" t="n">
        <v>42775</v>
      </c>
      <c r="D144" s="5" t="s">
        <v>25</v>
      </c>
      <c r="E144" s="5" t="s">
        <v>12</v>
      </c>
      <c r="F144" s="5" t="s">
        <v>11</v>
      </c>
      <c r="G144" s="5" t="s">
        <v>40</v>
      </c>
      <c r="H144" s="6" t="n">
        <v>66000</v>
      </c>
    </row>
    <row r="145" customFormat="false" ht="15" hidden="false" customHeight="false" outlineLevel="0" collapsed="false">
      <c r="A145" s="11" t="n">
        <v>42768</v>
      </c>
      <c r="B145" s="11" t="n">
        <v>42782</v>
      </c>
      <c r="C145" s="11" t="n">
        <v>42775</v>
      </c>
      <c r="D145" s="5" t="s">
        <v>25</v>
      </c>
      <c r="E145" s="5" t="s">
        <v>11</v>
      </c>
      <c r="F145" s="5" t="s">
        <v>11</v>
      </c>
      <c r="G145" s="5" t="s">
        <v>3</v>
      </c>
      <c r="H145" s="6" t="n">
        <v>140000</v>
      </c>
    </row>
    <row r="146" customFormat="false" ht="15" hidden="false" customHeight="false" outlineLevel="0" collapsed="false">
      <c r="A146" s="11" t="n">
        <v>42775</v>
      </c>
      <c r="B146" s="11" t="n">
        <v>42789</v>
      </c>
      <c r="C146" s="11" t="n">
        <v>42782</v>
      </c>
      <c r="D146" s="5" t="s">
        <v>25</v>
      </c>
      <c r="E146" s="5" t="s">
        <v>11</v>
      </c>
      <c r="F146" s="5" t="s">
        <v>11</v>
      </c>
      <c r="G146" s="5" t="s">
        <v>40</v>
      </c>
      <c r="H146" s="6" t="n">
        <v>107000</v>
      </c>
    </row>
    <row r="147" customFormat="false" ht="15" hidden="false" customHeight="false" outlineLevel="0" collapsed="false">
      <c r="A147" s="11" t="n">
        <v>42776</v>
      </c>
      <c r="B147" s="11" t="n">
        <v>42796</v>
      </c>
      <c r="C147" s="11" t="n">
        <v>42789</v>
      </c>
      <c r="D147" s="5" t="s">
        <v>25</v>
      </c>
      <c r="E147" s="5" t="s">
        <v>11</v>
      </c>
      <c r="F147" s="5" t="s">
        <v>11</v>
      </c>
      <c r="G147" s="5" t="s">
        <v>40</v>
      </c>
      <c r="H147" s="6" t="n">
        <v>140000</v>
      </c>
    </row>
    <row r="148" customFormat="false" ht="15" hidden="false" customHeight="false" outlineLevel="0" collapsed="false">
      <c r="A148" s="11" t="n">
        <v>42779</v>
      </c>
      <c r="B148" s="11" t="n">
        <v>42796</v>
      </c>
      <c r="C148" s="11" t="n">
        <v>42789</v>
      </c>
      <c r="D148" s="5" t="s">
        <v>25</v>
      </c>
      <c r="E148" s="5" t="s">
        <v>11</v>
      </c>
      <c r="F148" s="5" t="s">
        <v>11</v>
      </c>
      <c r="G148" s="5" t="s">
        <v>3</v>
      </c>
      <c r="H148" s="6" t="n">
        <v>101600</v>
      </c>
    </row>
    <row r="149" customFormat="false" ht="15" hidden="false" customHeight="false" outlineLevel="0" collapsed="false">
      <c r="A149" s="11" t="n">
        <v>42787</v>
      </c>
      <c r="B149" s="11" t="n">
        <v>42803</v>
      </c>
      <c r="C149" s="11" t="n">
        <v>42796</v>
      </c>
      <c r="D149" s="5" t="s">
        <v>25</v>
      </c>
      <c r="E149" s="5" t="s">
        <v>11</v>
      </c>
      <c r="F149" s="5" t="s">
        <v>11</v>
      </c>
      <c r="G149" s="5" t="s">
        <v>3</v>
      </c>
      <c r="H149" s="6" t="n">
        <v>111200</v>
      </c>
    </row>
    <row r="150" customFormat="false" ht="15" hidden="false" customHeight="false" outlineLevel="0" collapsed="false">
      <c r="A150" s="11" t="n">
        <v>42801</v>
      </c>
      <c r="B150" s="11" t="n">
        <v>42817</v>
      </c>
      <c r="C150" s="11" t="n">
        <v>42810</v>
      </c>
      <c r="D150" s="5" t="s">
        <v>25</v>
      </c>
      <c r="E150" s="5" t="s">
        <v>11</v>
      </c>
      <c r="F150" s="5" t="s">
        <v>11</v>
      </c>
      <c r="G150" s="5" t="s">
        <v>3</v>
      </c>
      <c r="H150" s="6" t="n">
        <v>120000</v>
      </c>
    </row>
    <row r="151" customFormat="false" ht="15" hidden="false" customHeight="false" outlineLevel="0" collapsed="false">
      <c r="A151" s="11" t="n">
        <v>42807</v>
      </c>
      <c r="B151" s="11" t="n">
        <v>42824</v>
      </c>
      <c r="C151" s="11" t="n">
        <v>42817</v>
      </c>
      <c r="D151" s="5" t="s">
        <v>25</v>
      </c>
      <c r="E151" s="5" t="s">
        <v>12</v>
      </c>
      <c r="F151" s="5" t="s">
        <v>11</v>
      </c>
      <c r="G151" s="5" t="s">
        <v>40</v>
      </c>
      <c r="H151" s="6" t="n">
        <v>120000</v>
      </c>
    </row>
    <row r="152" customFormat="false" ht="15" hidden="false" customHeight="false" outlineLevel="0" collapsed="false">
      <c r="A152" s="11" t="n">
        <v>42810</v>
      </c>
      <c r="B152" s="11" t="n">
        <v>42824</v>
      </c>
      <c r="C152" s="11" t="n">
        <v>42817</v>
      </c>
      <c r="D152" s="5" t="s">
        <v>25</v>
      </c>
      <c r="E152" s="5" t="s">
        <v>11</v>
      </c>
      <c r="F152" s="5" t="s">
        <v>11</v>
      </c>
      <c r="G152" s="5" t="s">
        <v>40</v>
      </c>
      <c r="H152" s="6" t="n">
        <v>120000</v>
      </c>
    </row>
    <row r="153" customFormat="false" ht="15" hidden="false" customHeight="false" outlineLevel="0" collapsed="false">
      <c r="A153" s="11" t="n">
        <v>42835</v>
      </c>
      <c r="B153" s="11" t="n">
        <v>42852</v>
      </c>
      <c r="C153" s="11" t="n">
        <v>42845</v>
      </c>
      <c r="D153" s="5" t="s">
        <v>25</v>
      </c>
      <c r="E153" s="5" t="s">
        <v>11</v>
      </c>
      <c r="F153" s="5" t="s">
        <v>11</v>
      </c>
      <c r="G153" s="5" t="s">
        <v>3</v>
      </c>
      <c r="H153" s="6" t="n">
        <v>101600</v>
      </c>
    </row>
    <row r="154" customFormat="false" ht="15" hidden="false" customHeight="false" outlineLevel="0" collapsed="false">
      <c r="A154" s="11" t="n">
        <v>42846</v>
      </c>
      <c r="B154" s="11" t="n">
        <v>42866</v>
      </c>
      <c r="C154" s="11" t="n">
        <v>42859</v>
      </c>
      <c r="D154" s="5" t="s">
        <v>25</v>
      </c>
      <c r="E154" s="5" t="s">
        <v>11</v>
      </c>
      <c r="F154" s="5" t="s">
        <v>11</v>
      </c>
      <c r="G154" s="5" t="s">
        <v>40</v>
      </c>
      <c r="H154" s="6" t="n">
        <v>146000</v>
      </c>
    </row>
    <row r="155" customFormat="false" ht="15" hidden="false" customHeight="false" outlineLevel="0" collapsed="false">
      <c r="A155" s="11" t="n">
        <v>42860</v>
      </c>
      <c r="B155" s="11" t="n">
        <v>42880</v>
      </c>
      <c r="C155" s="11" t="n">
        <v>42873</v>
      </c>
      <c r="D155" s="5" t="s">
        <v>25</v>
      </c>
      <c r="E155" s="5" t="s">
        <v>11</v>
      </c>
      <c r="F155" s="5" t="s">
        <v>11</v>
      </c>
      <c r="G155" s="5" t="s">
        <v>40</v>
      </c>
      <c r="H155" s="6" t="n">
        <v>132000</v>
      </c>
    </row>
    <row r="156" customFormat="false" ht="15" hidden="false" customHeight="false" outlineLevel="0" collapsed="false">
      <c r="A156" s="11" t="n">
        <v>42871</v>
      </c>
      <c r="B156" s="11" t="n">
        <v>42887</v>
      </c>
      <c r="C156" s="11" t="n">
        <v>42880</v>
      </c>
      <c r="D156" s="5" t="s">
        <v>25</v>
      </c>
      <c r="E156" s="5" t="s">
        <v>11</v>
      </c>
      <c r="F156" s="5" t="s">
        <v>11</v>
      </c>
      <c r="G156" s="5" t="s">
        <v>40</v>
      </c>
      <c r="H156" s="6" t="n">
        <v>132000</v>
      </c>
    </row>
    <row r="157" customFormat="false" ht="15" hidden="false" customHeight="false" outlineLevel="0" collapsed="false">
      <c r="A157" s="11" t="n">
        <v>42878</v>
      </c>
      <c r="B157" s="11" t="n">
        <v>42894</v>
      </c>
      <c r="C157" s="11" t="n">
        <v>42887</v>
      </c>
      <c r="D157" s="5" t="s">
        <v>25</v>
      </c>
      <c r="E157" s="5" t="s">
        <v>11</v>
      </c>
      <c r="F157" s="5" t="s">
        <v>11</v>
      </c>
      <c r="G157" s="5" t="s">
        <v>40</v>
      </c>
      <c r="H157" s="6" t="n">
        <v>126000</v>
      </c>
    </row>
    <row r="158" customFormat="false" ht="15" hidden="false" customHeight="false" outlineLevel="0" collapsed="false">
      <c r="A158" s="11" t="n">
        <v>42880</v>
      </c>
      <c r="B158" s="11" t="n">
        <v>42894</v>
      </c>
      <c r="C158" s="11" t="n">
        <v>42887</v>
      </c>
      <c r="D158" s="5" t="s">
        <v>25</v>
      </c>
      <c r="E158" s="5" t="s">
        <v>11</v>
      </c>
      <c r="F158" s="5" t="s">
        <v>11</v>
      </c>
      <c r="G158" s="5" t="s">
        <v>3</v>
      </c>
      <c r="H158" s="6" t="n">
        <v>115400</v>
      </c>
    </row>
    <row r="159" customFormat="false" ht="15" hidden="false" customHeight="false" outlineLevel="0" collapsed="false">
      <c r="A159" s="11" t="n">
        <v>42885</v>
      </c>
      <c r="B159" s="11" t="n">
        <v>42901</v>
      </c>
      <c r="C159" s="11" t="n">
        <v>42894</v>
      </c>
      <c r="D159" s="5" t="s">
        <v>25</v>
      </c>
      <c r="E159" s="5" t="s">
        <v>11</v>
      </c>
      <c r="F159" s="5" t="s">
        <v>11</v>
      </c>
      <c r="G159" s="5" t="s">
        <v>40</v>
      </c>
      <c r="H159" s="6" t="n">
        <v>130000</v>
      </c>
    </row>
    <row r="160" customFormat="false" ht="15" hidden="false" customHeight="false" outlineLevel="0" collapsed="false">
      <c r="A160" s="11" t="n">
        <v>42891</v>
      </c>
      <c r="B160" s="11" t="n">
        <v>42908</v>
      </c>
      <c r="C160" s="11" t="n">
        <v>42901</v>
      </c>
      <c r="D160" s="5" t="s">
        <v>25</v>
      </c>
      <c r="E160" s="5" t="s">
        <v>11</v>
      </c>
      <c r="F160" s="5" t="s">
        <v>11</v>
      </c>
      <c r="G160" s="5" t="s">
        <v>40</v>
      </c>
      <c r="H160" s="6" t="n">
        <v>60000</v>
      </c>
    </row>
    <row r="161" customFormat="false" ht="15" hidden="false" customHeight="false" outlineLevel="0" collapsed="false">
      <c r="A161" s="11" t="n">
        <v>42891</v>
      </c>
      <c r="B161" s="11" t="n">
        <v>42908</v>
      </c>
      <c r="C161" s="11" t="n">
        <v>42901</v>
      </c>
      <c r="D161" s="5" t="s">
        <v>25</v>
      </c>
      <c r="E161" s="5" t="s">
        <v>12</v>
      </c>
      <c r="F161" s="5" t="s">
        <v>11</v>
      </c>
      <c r="G161" s="5" t="s">
        <v>40</v>
      </c>
      <c r="H161" s="6" t="n">
        <v>60000</v>
      </c>
    </row>
    <row r="162" customFormat="false" ht="15" hidden="false" customHeight="false" outlineLevel="0" collapsed="false">
      <c r="A162" s="11" t="n">
        <v>42895</v>
      </c>
      <c r="B162" s="11" t="n">
        <v>42915</v>
      </c>
      <c r="C162" s="11" t="n">
        <v>42908</v>
      </c>
      <c r="D162" s="5" t="s">
        <v>25</v>
      </c>
      <c r="E162" s="5" t="s">
        <v>11</v>
      </c>
      <c r="F162" s="5" t="s">
        <v>11</v>
      </c>
      <c r="G162" s="5" t="s">
        <v>40</v>
      </c>
      <c r="H162" s="6" t="n">
        <v>201000</v>
      </c>
    </row>
    <row r="163" customFormat="false" ht="15" hidden="false" customHeight="false" outlineLevel="0" collapsed="false">
      <c r="A163" s="11" t="n">
        <v>42898</v>
      </c>
      <c r="B163" s="11" t="n">
        <v>42915</v>
      </c>
      <c r="C163" s="11" t="n">
        <v>42908</v>
      </c>
      <c r="D163" s="5" t="s">
        <v>25</v>
      </c>
      <c r="E163" s="5" t="s">
        <v>11</v>
      </c>
      <c r="F163" s="5" t="s">
        <v>11</v>
      </c>
      <c r="G163" s="5" t="s">
        <v>3</v>
      </c>
      <c r="H163" s="6" t="n">
        <v>130000</v>
      </c>
    </row>
    <row r="164" customFormat="false" ht="15" hidden="false" customHeight="false" outlineLevel="0" collapsed="false">
      <c r="A164" s="11" t="n">
        <v>42898</v>
      </c>
      <c r="B164" s="11" t="n">
        <v>42915</v>
      </c>
      <c r="C164" s="11" t="n">
        <v>42908</v>
      </c>
      <c r="D164" s="5" t="s">
        <v>25</v>
      </c>
      <c r="E164" s="5" t="s">
        <v>11</v>
      </c>
      <c r="F164" s="5" t="s">
        <v>11</v>
      </c>
      <c r="G164" s="5" t="s">
        <v>40</v>
      </c>
      <c r="H164" s="6" t="n">
        <v>130000</v>
      </c>
    </row>
    <row r="165" customFormat="false" ht="15" hidden="false" customHeight="false" outlineLevel="0" collapsed="false">
      <c r="A165" s="11" t="n">
        <v>42940</v>
      </c>
      <c r="B165" s="11" t="n">
        <v>42957</v>
      </c>
      <c r="C165" s="11" t="n">
        <v>42950</v>
      </c>
      <c r="D165" s="5" t="s">
        <v>25</v>
      </c>
      <c r="E165" s="5" t="s">
        <v>12</v>
      </c>
      <c r="F165" s="5" t="s">
        <v>11</v>
      </c>
      <c r="G165" s="5" t="s">
        <v>3</v>
      </c>
      <c r="H165" s="6" t="n">
        <v>135000</v>
      </c>
    </row>
    <row r="166" customFormat="false" ht="15" hidden="false" customHeight="false" outlineLevel="0" collapsed="false">
      <c r="A166" s="11" t="n">
        <v>42943</v>
      </c>
      <c r="B166" s="11" t="n">
        <v>42957</v>
      </c>
      <c r="C166" s="11" t="n">
        <v>42950</v>
      </c>
      <c r="D166" s="5" t="s">
        <v>25</v>
      </c>
      <c r="E166" s="5" t="s">
        <v>11</v>
      </c>
      <c r="F166" s="5" t="s">
        <v>11</v>
      </c>
      <c r="G166" s="5" t="s">
        <v>40</v>
      </c>
      <c r="H166" s="6" t="n">
        <v>198000</v>
      </c>
    </row>
    <row r="167" customFormat="false" ht="15" hidden="false" customHeight="false" outlineLevel="0" collapsed="false">
      <c r="A167" s="11" t="n">
        <v>42943</v>
      </c>
      <c r="B167" s="11" t="n">
        <v>42957</v>
      </c>
      <c r="C167" s="11" t="n">
        <v>42950</v>
      </c>
      <c r="D167" s="5" t="s">
        <v>25</v>
      </c>
      <c r="E167" s="5" t="s">
        <v>12</v>
      </c>
      <c r="F167" s="5" t="s">
        <v>11</v>
      </c>
      <c r="G167" s="5" t="s">
        <v>40</v>
      </c>
      <c r="H167" s="6" t="n">
        <v>66000</v>
      </c>
    </row>
    <row r="168" customFormat="false" ht="15" hidden="false" customHeight="false" outlineLevel="0" collapsed="false">
      <c r="A168" s="11" t="n">
        <v>42954</v>
      </c>
      <c r="B168" s="11" t="n">
        <v>42971</v>
      </c>
      <c r="C168" s="11" t="n">
        <v>42964</v>
      </c>
      <c r="D168" s="5" t="s">
        <v>25</v>
      </c>
      <c r="E168" s="5" t="s">
        <v>11</v>
      </c>
      <c r="F168" s="5" t="s">
        <v>11</v>
      </c>
      <c r="G168" s="5" t="s">
        <v>40</v>
      </c>
      <c r="H168" s="6" t="n">
        <v>206000</v>
      </c>
    </row>
    <row r="169" customFormat="false" ht="15" hidden="false" customHeight="false" outlineLevel="0" collapsed="false">
      <c r="A169" s="11" t="n">
        <v>42956</v>
      </c>
      <c r="B169" s="11" t="n">
        <v>42971</v>
      </c>
      <c r="C169" s="11" t="n">
        <v>42964</v>
      </c>
      <c r="D169" s="5" t="s">
        <v>25</v>
      </c>
      <c r="E169" s="5" t="s">
        <v>11</v>
      </c>
      <c r="F169" s="5" t="s">
        <v>11</v>
      </c>
      <c r="G169" s="5" t="s">
        <v>40</v>
      </c>
      <c r="H169" s="6" t="n">
        <v>130000</v>
      </c>
    </row>
    <row r="170" customFormat="false" ht="15" hidden="false" customHeight="false" outlineLevel="0" collapsed="false">
      <c r="A170" s="11" t="n">
        <v>42962</v>
      </c>
      <c r="B170" s="11" t="n">
        <v>42978</v>
      </c>
      <c r="C170" s="11" t="n">
        <v>42971</v>
      </c>
      <c r="D170" s="5" t="s">
        <v>25</v>
      </c>
      <c r="E170" s="5" t="s">
        <v>12</v>
      </c>
      <c r="F170" s="5" t="s">
        <v>11</v>
      </c>
      <c r="G170" s="5" t="s">
        <v>40</v>
      </c>
      <c r="H170" s="6" t="n">
        <v>132000</v>
      </c>
    </row>
    <row r="171" customFormat="false" ht="15" hidden="false" customHeight="false" outlineLevel="0" collapsed="false">
      <c r="A171" s="11" t="n">
        <v>42968</v>
      </c>
      <c r="B171" s="11" t="n">
        <v>42985</v>
      </c>
      <c r="C171" s="11" t="n">
        <v>42978</v>
      </c>
      <c r="D171" s="5" t="s">
        <v>25</v>
      </c>
      <c r="E171" s="5" t="s">
        <v>12</v>
      </c>
      <c r="F171" s="5" t="s">
        <v>11</v>
      </c>
      <c r="G171" s="5" t="s">
        <v>40</v>
      </c>
      <c r="H171" s="6" t="n">
        <v>463000</v>
      </c>
    </row>
    <row r="172" customFormat="false" ht="15" hidden="false" customHeight="false" outlineLevel="0" collapsed="false">
      <c r="A172" s="11" t="n">
        <v>42970</v>
      </c>
      <c r="B172" s="11" t="n">
        <v>42985</v>
      </c>
      <c r="C172" s="11" t="n">
        <v>42978</v>
      </c>
      <c r="D172" s="5" t="s">
        <v>25</v>
      </c>
      <c r="E172" s="5" t="s">
        <v>11</v>
      </c>
      <c r="F172" s="5" t="s">
        <v>11</v>
      </c>
      <c r="G172" s="5" t="s">
        <v>40</v>
      </c>
      <c r="H172" s="6" t="n">
        <v>11220</v>
      </c>
    </row>
    <row r="173" customFormat="false" ht="15" hidden="false" customHeight="false" outlineLevel="0" collapsed="false">
      <c r="A173" s="11" t="n">
        <v>42970</v>
      </c>
      <c r="B173" s="11" t="n">
        <v>42985</v>
      </c>
      <c r="C173" s="11" t="n">
        <v>42978</v>
      </c>
      <c r="D173" s="5" t="s">
        <v>25</v>
      </c>
      <c r="E173" s="5" t="s">
        <v>12</v>
      </c>
      <c r="F173" s="5" t="s">
        <v>11</v>
      </c>
      <c r="G173" s="5" t="s">
        <v>40</v>
      </c>
      <c r="H173" s="6" t="n">
        <v>284000</v>
      </c>
    </row>
    <row r="174" customFormat="false" ht="15" hidden="false" customHeight="false" outlineLevel="0" collapsed="false">
      <c r="A174" s="11" t="n">
        <v>42978</v>
      </c>
      <c r="B174" s="11" t="n">
        <v>42992</v>
      </c>
      <c r="C174" s="11" t="n">
        <v>42985</v>
      </c>
      <c r="D174" s="5" t="s">
        <v>25</v>
      </c>
      <c r="E174" s="5" t="s">
        <v>12</v>
      </c>
      <c r="F174" s="5" t="s">
        <v>11</v>
      </c>
      <c r="G174" s="5" t="s">
        <v>40</v>
      </c>
      <c r="H174" s="6" t="n">
        <v>132000</v>
      </c>
    </row>
    <row r="175" customFormat="false" ht="15" hidden="false" customHeight="false" outlineLevel="0" collapsed="false">
      <c r="A175" s="11" t="n">
        <v>42986</v>
      </c>
      <c r="B175" s="11" t="n">
        <v>43006</v>
      </c>
      <c r="C175" s="11" t="n">
        <v>42999</v>
      </c>
      <c r="D175" s="5" t="s">
        <v>25</v>
      </c>
      <c r="E175" s="5" t="s">
        <v>12</v>
      </c>
      <c r="F175" s="5" t="s">
        <v>12</v>
      </c>
      <c r="G175" s="5" t="s">
        <v>3</v>
      </c>
      <c r="H175" s="6" t="n">
        <v>179324</v>
      </c>
    </row>
    <row r="176" customFormat="false" ht="15" hidden="false" customHeight="false" outlineLevel="0" collapsed="false">
      <c r="A176" s="11" t="n">
        <v>42989</v>
      </c>
      <c r="B176" s="11" t="n">
        <v>43006</v>
      </c>
      <c r="C176" s="11" t="n">
        <v>42999</v>
      </c>
      <c r="D176" s="5" t="s">
        <v>25</v>
      </c>
      <c r="E176" s="5" t="s">
        <v>12</v>
      </c>
      <c r="F176" s="5" t="s">
        <v>12</v>
      </c>
      <c r="G176" s="5" t="s">
        <v>40</v>
      </c>
      <c r="H176" s="6" t="n">
        <v>352000</v>
      </c>
    </row>
    <row r="177" customFormat="false" ht="15" hidden="false" customHeight="false" outlineLevel="0" collapsed="false">
      <c r="A177" s="11" t="n">
        <v>42990</v>
      </c>
      <c r="B177" s="11" t="n">
        <v>43006</v>
      </c>
      <c r="C177" s="11" t="n">
        <v>42999</v>
      </c>
      <c r="D177" s="5" t="s">
        <v>25</v>
      </c>
      <c r="E177" s="5" t="s">
        <v>12</v>
      </c>
      <c r="F177" s="5" t="s">
        <v>12</v>
      </c>
      <c r="G177" s="5" t="s">
        <v>40</v>
      </c>
      <c r="H177" s="6" t="n">
        <v>132000</v>
      </c>
    </row>
    <row r="178" customFormat="false" ht="15" hidden="false" customHeight="false" outlineLevel="0" collapsed="false">
      <c r="A178" s="11" t="n">
        <v>42996</v>
      </c>
      <c r="B178" s="11" t="n">
        <v>43013</v>
      </c>
      <c r="C178" s="11" t="n">
        <v>43006</v>
      </c>
      <c r="D178" s="5" t="s">
        <v>25</v>
      </c>
      <c r="E178" s="5" t="s">
        <v>12</v>
      </c>
      <c r="F178" s="5" t="s">
        <v>12</v>
      </c>
      <c r="G178" s="5" t="s">
        <v>40</v>
      </c>
      <c r="H178" s="6" t="n">
        <v>126000</v>
      </c>
    </row>
    <row r="179" customFormat="false" ht="15" hidden="false" customHeight="false" outlineLevel="0" collapsed="false">
      <c r="A179" s="11" t="n">
        <v>42998</v>
      </c>
      <c r="B179" s="11" t="n">
        <v>43013</v>
      </c>
      <c r="C179" s="11" t="n">
        <v>43006</v>
      </c>
      <c r="D179" s="5" t="s">
        <v>25</v>
      </c>
      <c r="E179" s="5" t="s">
        <v>12</v>
      </c>
      <c r="F179" s="5" t="s">
        <v>12</v>
      </c>
      <c r="G179" s="5" t="s">
        <v>40</v>
      </c>
      <c r="H179" s="6" t="n">
        <v>960000</v>
      </c>
    </row>
    <row r="180" customFormat="false" ht="15" hidden="false" customHeight="false" outlineLevel="0" collapsed="false">
      <c r="A180" s="11" t="n">
        <v>42998</v>
      </c>
      <c r="B180" s="11" t="n">
        <v>43013</v>
      </c>
      <c r="C180" s="11" t="n">
        <v>43006</v>
      </c>
      <c r="D180" s="5" t="s">
        <v>25</v>
      </c>
      <c r="E180" s="5" t="s">
        <v>13</v>
      </c>
      <c r="F180" s="5" t="s">
        <v>12</v>
      </c>
      <c r="G180" s="5" t="s">
        <v>40</v>
      </c>
      <c r="H180" s="6" t="n">
        <v>120000</v>
      </c>
    </row>
    <row r="181" customFormat="false" ht="15" hidden="false" customHeight="false" outlineLevel="0" collapsed="false">
      <c r="A181" s="11" t="n">
        <v>43006</v>
      </c>
      <c r="B181" s="11" t="n">
        <v>43020</v>
      </c>
      <c r="C181" s="11" t="n">
        <v>43013</v>
      </c>
      <c r="D181" s="5" t="s">
        <v>25</v>
      </c>
      <c r="E181" s="5" t="s">
        <v>12</v>
      </c>
      <c r="F181" s="5" t="s">
        <v>12</v>
      </c>
      <c r="G181" s="5" t="s">
        <v>3</v>
      </c>
      <c r="H181" s="6" t="n">
        <v>233800</v>
      </c>
    </row>
    <row r="182" customFormat="false" ht="15" hidden="false" customHeight="false" outlineLevel="0" collapsed="false">
      <c r="A182" s="11" t="n">
        <v>43006</v>
      </c>
      <c r="B182" s="11" t="n">
        <v>43020</v>
      </c>
      <c r="C182" s="11" t="n">
        <v>43013</v>
      </c>
      <c r="D182" s="5" t="s">
        <v>25</v>
      </c>
      <c r="E182" s="5" t="s">
        <v>12</v>
      </c>
      <c r="F182" s="5" t="s">
        <v>12</v>
      </c>
      <c r="G182" s="5" t="s">
        <v>40</v>
      </c>
      <c r="H182" s="6" t="n">
        <v>132000</v>
      </c>
    </row>
    <row r="183" customFormat="false" ht="15" hidden="false" customHeight="false" outlineLevel="0" collapsed="false">
      <c r="A183" s="11" t="n">
        <v>43014</v>
      </c>
      <c r="B183" s="11" t="n">
        <v>43034</v>
      </c>
      <c r="C183" s="11" t="n">
        <v>43027</v>
      </c>
      <c r="D183" s="5" t="s">
        <v>25</v>
      </c>
      <c r="E183" s="5" t="s">
        <v>12</v>
      </c>
      <c r="F183" s="5" t="s">
        <v>12</v>
      </c>
      <c r="G183" s="5" t="s">
        <v>3</v>
      </c>
      <c r="H183" s="6" t="n">
        <v>195000</v>
      </c>
    </row>
    <row r="184" customFormat="false" ht="15" hidden="false" customHeight="false" outlineLevel="0" collapsed="false">
      <c r="A184" s="11" t="n">
        <v>43019</v>
      </c>
      <c r="B184" s="11" t="n">
        <v>43034</v>
      </c>
      <c r="C184" s="11" t="n">
        <v>43027</v>
      </c>
      <c r="D184" s="5" t="s">
        <v>25</v>
      </c>
      <c r="E184" s="5" t="s">
        <v>12</v>
      </c>
      <c r="F184" s="5" t="s">
        <v>12</v>
      </c>
      <c r="G184" s="5" t="s">
        <v>40</v>
      </c>
      <c r="H184" s="6" t="n">
        <v>132000</v>
      </c>
    </row>
    <row r="185" customFormat="false" ht="15" hidden="false" customHeight="false" outlineLevel="0" collapsed="false">
      <c r="A185" s="11" t="n">
        <v>43024</v>
      </c>
      <c r="B185" s="11" t="n">
        <v>43041</v>
      </c>
      <c r="C185" s="11" t="n">
        <v>43034</v>
      </c>
      <c r="D185" s="5" t="s">
        <v>25</v>
      </c>
      <c r="E185" s="5" t="s">
        <v>12</v>
      </c>
      <c r="F185" s="5" t="s">
        <v>12</v>
      </c>
      <c r="G185" s="5" t="s">
        <v>40</v>
      </c>
      <c r="H185" s="6" t="n">
        <v>227300</v>
      </c>
    </row>
    <row r="186" customFormat="false" ht="15" hidden="false" customHeight="false" outlineLevel="0" collapsed="false">
      <c r="A186" s="11" t="n">
        <v>43025</v>
      </c>
      <c r="B186" s="11" t="n">
        <v>43041</v>
      </c>
      <c r="C186" s="11" t="n">
        <v>43034</v>
      </c>
      <c r="D186" s="5" t="s">
        <v>25</v>
      </c>
      <c r="E186" s="5" t="s">
        <v>12</v>
      </c>
      <c r="F186" s="5" t="s">
        <v>12</v>
      </c>
      <c r="G186" s="5" t="s">
        <v>3</v>
      </c>
      <c r="H186" s="6" t="n">
        <v>146000</v>
      </c>
    </row>
    <row r="187" customFormat="false" ht="15" hidden="false" customHeight="false" outlineLevel="0" collapsed="false">
      <c r="A187" s="11" t="n">
        <v>43028</v>
      </c>
      <c r="B187" s="11" t="n">
        <v>43048</v>
      </c>
      <c r="C187" s="11" t="n">
        <v>43041</v>
      </c>
      <c r="D187" s="5" t="s">
        <v>25</v>
      </c>
      <c r="E187" s="5" t="s">
        <v>12</v>
      </c>
      <c r="F187" s="5" t="s">
        <v>12</v>
      </c>
      <c r="G187" s="5" t="s">
        <v>3</v>
      </c>
      <c r="H187" s="6" t="n">
        <v>125000</v>
      </c>
    </row>
    <row r="188" customFormat="false" ht="15" hidden="false" customHeight="false" outlineLevel="0" collapsed="false">
      <c r="A188" s="11" t="n">
        <v>43045</v>
      </c>
      <c r="B188" s="11" t="n">
        <v>43062</v>
      </c>
      <c r="C188" s="11" t="n">
        <v>43055</v>
      </c>
      <c r="D188" s="5" t="s">
        <v>25</v>
      </c>
      <c r="E188" s="5" t="s">
        <v>12</v>
      </c>
      <c r="F188" s="5" t="s">
        <v>12</v>
      </c>
      <c r="G188" s="5" t="s">
        <v>3</v>
      </c>
      <c r="H188" s="6" t="n">
        <v>130000</v>
      </c>
    </row>
    <row r="189" customFormat="false" ht="15" hidden="false" customHeight="false" outlineLevel="0" collapsed="false">
      <c r="A189" s="11" t="n">
        <v>43046</v>
      </c>
      <c r="B189" s="11" t="n">
        <v>43062</v>
      </c>
      <c r="C189" s="11" t="n">
        <v>43055</v>
      </c>
      <c r="D189" s="5" t="s">
        <v>25</v>
      </c>
      <c r="E189" s="5" t="s">
        <v>12</v>
      </c>
      <c r="F189" s="5" t="s">
        <v>12</v>
      </c>
      <c r="G189" s="5" t="s">
        <v>3</v>
      </c>
      <c r="H189" s="6" t="n">
        <v>130000</v>
      </c>
    </row>
    <row r="190" customFormat="false" ht="15" hidden="false" customHeight="false" outlineLevel="0" collapsed="false">
      <c r="A190" s="11" t="n">
        <v>43053</v>
      </c>
      <c r="B190" s="11" t="n">
        <v>43069</v>
      </c>
      <c r="C190" s="11" t="n">
        <v>43062</v>
      </c>
      <c r="D190" s="5" t="s">
        <v>25</v>
      </c>
      <c r="E190" s="5" t="s">
        <v>12</v>
      </c>
      <c r="F190" s="5" t="s">
        <v>12</v>
      </c>
      <c r="G190" s="5" t="s">
        <v>3</v>
      </c>
      <c r="H190" s="6" t="n">
        <v>133096</v>
      </c>
    </row>
    <row r="191" customFormat="false" ht="15" hidden="false" customHeight="false" outlineLevel="0" collapsed="false">
      <c r="A191" s="11" t="n">
        <v>43067</v>
      </c>
      <c r="B191" s="11" t="n">
        <v>43083</v>
      </c>
      <c r="C191" s="11" t="n">
        <v>43076</v>
      </c>
      <c r="D191" s="5" t="s">
        <v>25</v>
      </c>
      <c r="E191" s="5" t="s">
        <v>12</v>
      </c>
      <c r="F191" s="5" t="s">
        <v>12</v>
      </c>
      <c r="G191" s="5" t="s">
        <v>40</v>
      </c>
      <c r="H191" s="6" t="n">
        <v>130000</v>
      </c>
    </row>
    <row r="192" customFormat="false" ht="15" hidden="false" customHeight="false" outlineLevel="0" collapsed="false">
      <c r="A192" s="11" t="n">
        <v>43068</v>
      </c>
      <c r="B192" s="11" t="n">
        <v>43083</v>
      </c>
      <c r="C192" s="11" t="n">
        <v>43076</v>
      </c>
      <c r="D192" s="5" t="s">
        <v>25</v>
      </c>
      <c r="E192" s="5" t="s">
        <v>12</v>
      </c>
      <c r="F192" s="5" t="s">
        <v>12</v>
      </c>
      <c r="G192" s="5" t="s">
        <v>3</v>
      </c>
      <c r="H192" s="6" t="n">
        <v>101600</v>
      </c>
    </row>
    <row r="193" customFormat="false" ht="15" hidden="false" customHeight="false" outlineLevel="0" collapsed="false">
      <c r="A193" s="11" t="n">
        <v>43069</v>
      </c>
      <c r="B193" s="11" t="n">
        <v>43083</v>
      </c>
      <c r="C193" s="11" t="n">
        <v>43076</v>
      </c>
      <c r="D193" s="5" t="s">
        <v>25</v>
      </c>
      <c r="E193" s="5" t="s">
        <v>12</v>
      </c>
      <c r="F193" s="5" t="s">
        <v>12</v>
      </c>
      <c r="G193" s="5" t="s">
        <v>40</v>
      </c>
      <c r="H193" s="6" t="n">
        <v>132000</v>
      </c>
    </row>
    <row r="194" customFormat="false" ht="15" hidden="false" customHeight="false" outlineLevel="0" collapsed="false">
      <c r="A194" s="11" t="n">
        <v>43070</v>
      </c>
      <c r="B194" s="11" t="n">
        <v>43090</v>
      </c>
      <c r="C194" s="11" t="n">
        <v>43083</v>
      </c>
      <c r="D194" s="5" t="s">
        <v>25</v>
      </c>
      <c r="E194" s="5" t="s">
        <v>12</v>
      </c>
      <c r="F194" s="5" t="s">
        <v>12</v>
      </c>
      <c r="G194" s="5" t="s">
        <v>3</v>
      </c>
      <c r="H194" s="6" t="n">
        <v>130000</v>
      </c>
    </row>
    <row r="195" customFormat="false" ht="15" hidden="false" customHeight="false" outlineLevel="0" collapsed="false">
      <c r="A195" s="11" t="n">
        <v>43077</v>
      </c>
      <c r="B195" s="11" t="n">
        <v>43097</v>
      </c>
      <c r="C195" s="11" t="n">
        <v>43090</v>
      </c>
      <c r="D195" s="5" t="s">
        <v>25</v>
      </c>
      <c r="E195" s="5" t="s">
        <v>12</v>
      </c>
      <c r="F195" s="5" t="s">
        <v>12</v>
      </c>
      <c r="G195" s="5" t="s">
        <v>40</v>
      </c>
      <c r="H195" s="6" t="n">
        <v>63000</v>
      </c>
    </row>
    <row r="196" customFormat="false" ht="15" hidden="false" customHeight="false" outlineLevel="0" collapsed="false">
      <c r="A196" s="11" t="n">
        <v>43077</v>
      </c>
      <c r="B196" s="11" t="n">
        <v>43097</v>
      </c>
      <c r="C196" s="11" t="n">
        <v>43090</v>
      </c>
      <c r="D196" s="5" t="s">
        <v>25</v>
      </c>
      <c r="E196" s="5" t="s">
        <v>13</v>
      </c>
      <c r="F196" s="5" t="s">
        <v>12</v>
      </c>
      <c r="G196" s="5" t="s">
        <v>40</v>
      </c>
      <c r="H196" s="6" t="n">
        <v>66000</v>
      </c>
    </row>
    <row r="197" customFormat="false" ht="15" hidden="false" customHeight="false" outlineLevel="0" collapsed="false">
      <c r="A197" s="11" t="n">
        <v>43080</v>
      </c>
      <c r="B197" s="11" t="n">
        <v>43097</v>
      </c>
      <c r="C197" s="11" t="n">
        <v>43090</v>
      </c>
      <c r="D197" s="5" t="s">
        <v>25</v>
      </c>
      <c r="E197" s="5" t="s">
        <v>12</v>
      </c>
      <c r="F197" s="5" t="s">
        <v>12</v>
      </c>
      <c r="G197" s="5" t="s">
        <v>40</v>
      </c>
      <c r="H197" s="6" t="n">
        <v>132000</v>
      </c>
    </row>
    <row r="198" customFormat="false" ht="15" hidden="false" customHeight="false" outlineLevel="0" collapsed="false">
      <c r="A198" s="11" t="n">
        <v>43081</v>
      </c>
      <c r="B198" s="11" t="n">
        <v>43097</v>
      </c>
      <c r="C198" s="11" t="n">
        <v>43090</v>
      </c>
      <c r="D198" s="5" t="s">
        <v>25</v>
      </c>
      <c r="E198" s="5" t="s">
        <v>12</v>
      </c>
      <c r="F198" s="5" t="s">
        <v>12</v>
      </c>
      <c r="G198" s="5" t="s">
        <v>40</v>
      </c>
      <c r="H198" s="6" t="n">
        <v>168300</v>
      </c>
    </row>
    <row r="199" customFormat="false" ht="15" hidden="false" customHeight="false" outlineLevel="0" collapsed="false">
      <c r="A199" s="11" t="n">
        <v>43084</v>
      </c>
      <c r="B199" s="11" t="n">
        <v>43104</v>
      </c>
      <c r="C199" s="11" t="n">
        <v>43097</v>
      </c>
      <c r="D199" s="5" t="s">
        <v>25</v>
      </c>
      <c r="E199" s="5" t="s">
        <v>12</v>
      </c>
      <c r="F199" s="5" t="s">
        <v>12</v>
      </c>
      <c r="G199" s="5" t="s">
        <v>40</v>
      </c>
      <c r="H199" s="6" t="n">
        <v>126000</v>
      </c>
    </row>
    <row r="200" customFormat="false" ht="15" hidden="false" customHeight="false" outlineLevel="0" collapsed="false">
      <c r="A200" s="11" t="n">
        <v>43088</v>
      </c>
      <c r="B200" s="11" t="n">
        <v>43104</v>
      </c>
      <c r="C200" s="11" t="n">
        <v>43097</v>
      </c>
      <c r="D200" s="5" t="s">
        <v>25</v>
      </c>
      <c r="E200" s="5" t="s">
        <v>13</v>
      </c>
      <c r="F200" s="5" t="s">
        <v>12</v>
      </c>
      <c r="G200" s="5" t="s">
        <v>40</v>
      </c>
      <c r="H200" s="6" t="n">
        <v>145000</v>
      </c>
    </row>
    <row r="201" customFormat="false" ht="15" hidden="false" customHeight="false" outlineLevel="0" collapsed="false">
      <c r="A201" s="11" t="n">
        <v>43108</v>
      </c>
      <c r="B201" s="11" t="n">
        <v>43125</v>
      </c>
      <c r="C201" s="11" t="n">
        <v>43118</v>
      </c>
      <c r="D201" s="5" t="s">
        <v>25</v>
      </c>
      <c r="E201" s="5" t="s">
        <v>12</v>
      </c>
      <c r="F201" s="5" t="s">
        <v>12</v>
      </c>
      <c r="G201" s="5" t="s">
        <v>40</v>
      </c>
      <c r="H201" s="6" t="n">
        <v>132000</v>
      </c>
    </row>
    <row r="202" customFormat="false" ht="15" hidden="false" customHeight="false" outlineLevel="0" collapsed="false">
      <c r="A202" s="11" t="n">
        <v>43110</v>
      </c>
      <c r="B202" s="11" t="n">
        <v>43125</v>
      </c>
      <c r="C202" s="11" t="n">
        <v>43118</v>
      </c>
      <c r="D202" s="5" t="s">
        <v>25</v>
      </c>
      <c r="E202" s="5" t="s">
        <v>12</v>
      </c>
      <c r="F202" s="5" t="s">
        <v>12</v>
      </c>
      <c r="G202" s="5" t="s">
        <v>40</v>
      </c>
      <c r="H202" s="6" t="n">
        <v>65000</v>
      </c>
    </row>
    <row r="203" customFormat="false" ht="15" hidden="false" customHeight="false" outlineLevel="0" collapsed="false">
      <c r="A203" s="11" t="n">
        <v>43110</v>
      </c>
      <c r="B203" s="11" t="n">
        <v>43125</v>
      </c>
      <c r="C203" s="11" t="n">
        <v>43118</v>
      </c>
      <c r="D203" s="5" t="s">
        <v>25</v>
      </c>
      <c r="E203" s="5" t="s">
        <v>13</v>
      </c>
      <c r="F203" s="5" t="s">
        <v>12</v>
      </c>
      <c r="G203" s="5" t="s">
        <v>40</v>
      </c>
      <c r="H203" s="6" t="n">
        <v>195000</v>
      </c>
    </row>
    <row r="204" customFormat="false" ht="15" hidden="false" customHeight="false" outlineLevel="0" collapsed="false">
      <c r="A204" s="11" t="n">
        <v>43111</v>
      </c>
      <c r="B204" s="11" t="n">
        <v>43125</v>
      </c>
      <c r="C204" s="11" t="n">
        <v>43118</v>
      </c>
      <c r="D204" s="5" t="s">
        <v>25</v>
      </c>
      <c r="E204" s="5" t="s">
        <v>12</v>
      </c>
      <c r="F204" s="5" t="s">
        <v>12</v>
      </c>
      <c r="G204" s="5" t="s">
        <v>40</v>
      </c>
      <c r="H204" s="6" t="n">
        <v>132000</v>
      </c>
    </row>
    <row r="205" customFormat="false" ht="15" hidden="false" customHeight="false" outlineLevel="0" collapsed="false">
      <c r="A205" s="11" t="n">
        <v>43112</v>
      </c>
      <c r="B205" s="11" t="n">
        <v>43132</v>
      </c>
      <c r="C205" s="11" t="n">
        <v>43125</v>
      </c>
      <c r="D205" s="5" t="s">
        <v>25</v>
      </c>
      <c r="E205" s="5" t="s">
        <v>12</v>
      </c>
      <c r="F205" s="5" t="s">
        <v>12</v>
      </c>
      <c r="G205" s="5" t="s">
        <v>3</v>
      </c>
      <c r="H205" s="6" t="n">
        <v>320000</v>
      </c>
    </row>
    <row r="206" customFormat="false" ht="15" hidden="false" customHeight="false" outlineLevel="0" collapsed="false">
      <c r="A206" s="11" t="n">
        <v>43117</v>
      </c>
      <c r="B206" s="11" t="n">
        <v>43132</v>
      </c>
      <c r="C206" s="11" t="n">
        <v>43125</v>
      </c>
      <c r="D206" s="5" t="s">
        <v>25</v>
      </c>
      <c r="E206" s="5" t="s">
        <v>13</v>
      </c>
      <c r="F206" s="5" t="s">
        <v>12</v>
      </c>
      <c r="G206" s="5" t="s">
        <v>40</v>
      </c>
      <c r="H206" s="6" t="n">
        <v>130000</v>
      </c>
    </row>
    <row r="207" customFormat="false" ht="15" hidden="false" customHeight="false" outlineLevel="0" collapsed="false">
      <c r="A207" s="11" t="n">
        <v>43123</v>
      </c>
      <c r="B207" s="11" t="n">
        <v>43139</v>
      </c>
      <c r="C207" s="11" t="n">
        <v>43132</v>
      </c>
      <c r="D207" s="5" t="s">
        <v>25</v>
      </c>
      <c r="E207" s="5" t="s">
        <v>12</v>
      </c>
      <c r="F207" s="5" t="s">
        <v>12</v>
      </c>
      <c r="G207" s="5" t="s">
        <v>3</v>
      </c>
      <c r="H207" s="6" t="n">
        <v>256096</v>
      </c>
    </row>
    <row r="208" customFormat="false" ht="15" hidden="false" customHeight="false" outlineLevel="0" collapsed="false">
      <c r="A208" s="11" t="n">
        <v>43124</v>
      </c>
      <c r="B208" s="11" t="n">
        <v>43139</v>
      </c>
      <c r="C208" s="11" t="n">
        <v>43132</v>
      </c>
      <c r="D208" s="5" t="s">
        <v>25</v>
      </c>
      <c r="E208" s="5" t="s">
        <v>12</v>
      </c>
      <c r="F208" s="5" t="s">
        <v>12</v>
      </c>
      <c r="G208" s="5" t="s">
        <v>3</v>
      </c>
      <c r="H208" s="6" t="n">
        <v>125000</v>
      </c>
    </row>
    <row r="209" customFormat="false" ht="15" hidden="false" customHeight="false" outlineLevel="0" collapsed="false">
      <c r="A209" s="11" t="n">
        <v>43124</v>
      </c>
      <c r="B209" s="11" t="n">
        <v>43139</v>
      </c>
      <c r="C209" s="11" t="n">
        <v>43132</v>
      </c>
      <c r="D209" s="5" t="s">
        <v>25</v>
      </c>
      <c r="E209" s="5" t="s">
        <v>12</v>
      </c>
      <c r="F209" s="5" t="s">
        <v>12</v>
      </c>
      <c r="G209" s="5" t="s">
        <v>40</v>
      </c>
      <c r="H209" s="6" t="n">
        <v>125000</v>
      </c>
    </row>
    <row r="210" customFormat="false" ht="15" hidden="false" customHeight="false" outlineLevel="0" collapsed="false">
      <c r="A210" s="11" t="n">
        <v>43126</v>
      </c>
      <c r="B210" s="11" t="n">
        <v>43146</v>
      </c>
      <c r="C210" s="11" t="n">
        <v>43139</v>
      </c>
      <c r="D210" s="5" t="s">
        <v>25</v>
      </c>
      <c r="E210" s="5" t="s">
        <v>12</v>
      </c>
      <c r="F210" s="5" t="s">
        <v>12</v>
      </c>
      <c r="G210" s="5" t="s">
        <v>3</v>
      </c>
      <c r="H210" s="6" t="n">
        <v>125000</v>
      </c>
    </row>
    <row r="211" customFormat="false" ht="15" hidden="false" customHeight="false" outlineLevel="0" collapsed="false">
      <c r="A211" s="11" t="n">
        <v>43131</v>
      </c>
      <c r="B211" s="11" t="n">
        <v>43146</v>
      </c>
      <c r="C211" s="11" t="n">
        <v>43139</v>
      </c>
      <c r="D211" s="5" t="s">
        <v>25</v>
      </c>
      <c r="E211" s="5" t="s">
        <v>12</v>
      </c>
      <c r="F211" s="5" t="s">
        <v>12</v>
      </c>
      <c r="G211" s="5" t="s">
        <v>3</v>
      </c>
      <c r="H211" s="6" t="n">
        <v>145000</v>
      </c>
    </row>
    <row r="212" customFormat="false" ht="15" hidden="false" customHeight="false" outlineLevel="0" collapsed="false">
      <c r="A212" s="11" t="n">
        <v>43133</v>
      </c>
      <c r="B212" s="11" t="n">
        <v>43153</v>
      </c>
      <c r="C212" s="11" t="n">
        <v>43146</v>
      </c>
      <c r="D212" s="5" t="s">
        <v>25</v>
      </c>
      <c r="E212" s="5" t="s">
        <v>12</v>
      </c>
      <c r="F212" s="5" t="s">
        <v>12</v>
      </c>
      <c r="G212" s="5" t="s">
        <v>3</v>
      </c>
      <c r="H212" s="6" t="n">
        <v>195000</v>
      </c>
    </row>
    <row r="213" customFormat="false" ht="15" hidden="false" customHeight="false" outlineLevel="0" collapsed="false">
      <c r="A213" s="11" t="n">
        <v>43136</v>
      </c>
      <c r="B213" s="11" t="n">
        <v>43153</v>
      </c>
      <c r="C213" s="11" t="n">
        <v>43146</v>
      </c>
      <c r="D213" s="5" t="s">
        <v>25</v>
      </c>
      <c r="E213" s="5" t="s">
        <v>12</v>
      </c>
      <c r="F213" s="5" t="s">
        <v>12</v>
      </c>
      <c r="G213" s="5" t="s">
        <v>40</v>
      </c>
      <c r="H213" s="6" t="n">
        <v>132000</v>
      </c>
    </row>
    <row r="214" customFormat="false" ht="15" hidden="false" customHeight="false" outlineLevel="0" collapsed="false">
      <c r="A214" s="11" t="n">
        <v>43136</v>
      </c>
      <c r="B214" s="11" t="n">
        <v>43153</v>
      </c>
      <c r="C214" s="11" t="n">
        <v>43146</v>
      </c>
      <c r="D214" s="5" t="s">
        <v>25</v>
      </c>
      <c r="E214" s="5" t="s">
        <v>13</v>
      </c>
      <c r="F214" s="5" t="s">
        <v>12</v>
      </c>
      <c r="G214" s="5" t="s">
        <v>40</v>
      </c>
      <c r="H214" s="6" t="n">
        <v>66600</v>
      </c>
    </row>
    <row r="215" customFormat="false" ht="15" hidden="false" customHeight="false" outlineLevel="0" collapsed="false">
      <c r="A215" s="11" t="n">
        <v>43137</v>
      </c>
      <c r="B215" s="11" t="n">
        <v>43153</v>
      </c>
      <c r="C215" s="11" t="n">
        <v>43146</v>
      </c>
      <c r="D215" s="5" t="s">
        <v>25</v>
      </c>
      <c r="E215" s="5" t="s">
        <v>12</v>
      </c>
      <c r="F215" s="5" t="s">
        <v>12</v>
      </c>
      <c r="G215" s="5" t="s">
        <v>3</v>
      </c>
      <c r="H215" s="6" t="n">
        <v>105000</v>
      </c>
    </row>
    <row r="216" customFormat="false" ht="15" hidden="false" customHeight="false" outlineLevel="0" collapsed="false">
      <c r="A216" s="11" t="n">
        <v>43143</v>
      </c>
      <c r="B216" s="11" t="n">
        <v>43160</v>
      </c>
      <c r="C216" s="11" t="n">
        <v>43153</v>
      </c>
      <c r="D216" s="5" t="s">
        <v>25</v>
      </c>
      <c r="E216" s="5" t="s">
        <v>12</v>
      </c>
      <c r="F216" s="5" t="s">
        <v>12</v>
      </c>
      <c r="G216" s="5" t="s">
        <v>40</v>
      </c>
      <c r="H216" s="6" t="n">
        <v>198000</v>
      </c>
    </row>
    <row r="217" customFormat="false" ht="15" hidden="false" customHeight="false" outlineLevel="0" collapsed="false">
      <c r="A217" s="11" t="n">
        <v>43143</v>
      </c>
      <c r="B217" s="11" t="n">
        <v>43160</v>
      </c>
      <c r="C217" s="11" t="n">
        <v>43153</v>
      </c>
      <c r="D217" s="5" t="s">
        <v>25</v>
      </c>
      <c r="E217" s="5" t="s">
        <v>13</v>
      </c>
      <c r="F217" s="5" t="s">
        <v>12</v>
      </c>
      <c r="G217" s="5" t="s">
        <v>40</v>
      </c>
      <c r="H217" s="6" t="n">
        <v>116000</v>
      </c>
    </row>
    <row r="218" customFormat="false" ht="15" hidden="false" customHeight="false" outlineLevel="0" collapsed="false">
      <c r="A218" s="11" t="n">
        <v>43145</v>
      </c>
      <c r="B218" s="11" t="n">
        <v>43160</v>
      </c>
      <c r="C218" s="11" t="n">
        <v>43153</v>
      </c>
      <c r="D218" s="5" t="s">
        <v>25</v>
      </c>
      <c r="E218" s="5" t="s">
        <v>12</v>
      </c>
      <c r="F218" s="5" t="s">
        <v>12</v>
      </c>
      <c r="G218" s="5" t="s">
        <v>3</v>
      </c>
      <c r="H218" s="6" t="n">
        <v>123000</v>
      </c>
    </row>
    <row r="219" customFormat="false" ht="15" hidden="false" customHeight="false" outlineLevel="0" collapsed="false">
      <c r="A219" s="11" t="n">
        <v>43153</v>
      </c>
      <c r="B219" s="11" t="n">
        <v>43167</v>
      </c>
      <c r="C219" s="11" t="n">
        <v>43160</v>
      </c>
      <c r="D219" s="5" t="s">
        <v>25</v>
      </c>
      <c r="E219" s="5" t="s">
        <v>12</v>
      </c>
      <c r="F219" s="5" t="s">
        <v>12</v>
      </c>
      <c r="G219" s="5" t="s">
        <v>3</v>
      </c>
      <c r="H219" s="6" t="n">
        <v>130000</v>
      </c>
    </row>
    <row r="220" customFormat="false" ht="15" hidden="false" customHeight="false" outlineLevel="0" collapsed="false">
      <c r="A220" s="11" t="n">
        <v>43153</v>
      </c>
      <c r="B220" s="11" t="n">
        <v>43167</v>
      </c>
      <c r="C220" s="11" t="n">
        <v>43160</v>
      </c>
      <c r="D220" s="5" t="s">
        <v>25</v>
      </c>
      <c r="E220" s="5" t="s">
        <v>12</v>
      </c>
      <c r="F220" s="5" t="s">
        <v>12</v>
      </c>
      <c r="G220" s="5" t="s">
        <v>40</v>
      </c>
      <c r="H220" s="6" t="n">
        <v>55000</v>
      </c>
    </row>
    <row r="221" customFormat="false" ht="15" hidden="false" customHeight="false" outlineLevel="0" collapsed="false">
      <c r="A221" s="11" t="n">
        <v>43153</v>
      </c>
      <c r="B221" s="11" t="n">
        <v>43167</v>
      </c>
      <c r="C221" s="11" t="n">
        <v>43160</v>
      </c>
      <c r="D221" s="5" t="s">
        <v>25</v>
      </c>
      <c r="E221" s="5" t="s">
        <v>13</v>
      </c>
      <c r="F221" s="5" t="s">
        <v>12</v>
      </c>
      <c r="G221" s="5" t="s">
        <v>40</v>
      </c>
      <c r="H221" s="6" t="n">
        <v>55000</v>
      </c>
    </row>
    <row r="222" customFormat="false" ht="15" hidden="false" customHeight="false" outlineLevel="0" collapsed="false">
      <c r="A222" s="11" t="n">
        <v>43154</v>
      </c>
      <c r="B222" s="11" t="n">
        <v>43174</v>
      </c>
      <c r="C222" s="11" t="n">
        <v>43167</v>
      </c>
      <c r="D222" s="5" t="s">
        <v>25</v>
      </c>
      <c r="E222" s="5" t="s">
        <v>12</v>
      </c>
      <c r="F222" s="5" t="s">
        <v>12</v>
      </c>
      <c r="G222" s="5" t="s">
        <v>40</v>
      </c>
      <c r="H222" s="6" t="n">
        <v>40000</v>
      </c>
    </row>
    <row r="223" customFormat="false" ht="15" hidden="false" customHeight="false" outlineLevel="0" collapsed="false">
      <c r="A223" s="11" t="n">
        <v>43154</v>
      </c>
      <c r="B223" s="11" t="n">
        <v>43174</v>
      </c>
      <c r="C223" s="11" t="n">
        <v>43167</v>
      </c>
      <c r="D223" s="5" t="s">
        <v>25</v>
      </c>
      <c r="E223" s="5" t="s">
        <v>13</v>
      </c>
      <c r="F223" s="5" t="s">
        <v>12</v>
      </c>
      <c r="G223" s="5" t="s">
        <v>40</v>
      </c>
      <c r="H223" s="6" t="n">
        <v>66000</v>
      </c>
    </row>
    <row r="224" customFormat="false" ht="15" hidden="false" customHeight="false" outlineLevel="0" collapsed="false">
      <c r="A224" s="11" t="n">
        <v>43157</v>
      </c>
      <c r="B224" s="11" t="n">
        <v>43174</v>
      </c>
      <c r="C224" s="11" t="n">
        <v>43167</v>
      </c>
      <c r="D224" s="5" t="s">
        <v>25</v>
      </c>
      <c r="E224" s="5" t="s">
        <v>12</v>
      </c>
      <c r="F224" s="5" t="s">
        <v>12</v>
      </c>
      <c r="G224" s="5" t="s">
        <v>3</v>
      </c>
      <c r="H224" s="6" t="n">
        <v>125000</v>
      </c>
    </row>
    <row r="225" customFormat="false" ht="15" hidden="false" customHeight="false" outlineLevel="0" collapsed="false">
      <c r="A225" s="11" t="n">
        <v>43158</v>
      </c>
      <c r="B225" s="11" t="n">
        <v>43174</v>
      </c>
      <c r="C225" s="11" t="n">
        <v>43167</v>
      </c>
      <c r="D225" s="5" t="s">
        <v>25</v>
      </c>
      <c r="E225" s="5" t="s">
        <v>12</v>
      </c>
      <c r="F225" s="5" t="s">
        <v>12</v>
      </c>
      <c r="G225" s="5" t="s">
        <v>3</v>
      </c>
      <c r="H225" s="6" t="n">
        <v>130000</v>
      </c>
    </row>
    <row r="226" customFormat="false" ht="15" hidden="false" customHeight="false" outlineLevel="0" collapsed="false">
      <c r="A226" s="11" t="n">
        <v>43159</v>
      </c>
      <c r="B226" s="11" t="n">
        <v>43174</v>
      </c>
      <c r="C226" s="11" t="n">
        <v>43167</v>
      </c>
      <c r="D226" s="5" t="s">
        <v>25</v>
      </c>
      <c r="E226" s="5" t="s">
        <v>12</v>
      </c>
      <c r="F226" s="5" t="s">
        <v>12</v>
      </c>
      <c r="G226" s="5" t="s">
        <v>40</v>
      </c>
      <c r="H226" s="6" t="n">
        <v>250000</v>
      </c>
    </row>
    <row r="227" customFormat="false" ht="15" hidden="false" customHeight="false" outlineLevel="0" collapsed="false">
      <c r="A227" s="11" t="n">
        <v>43160</v>
      </c>
      <c r="B227" s="11" t="n">
        <v>43174</v>
      </c>
      <c r="C227" s="11" t="n">
        <v>43167</v>
      </c>
      <c r="D227" s="5" t="s">
        <v>25</v>
      </c>
      <c r="E227" s="5" t="s">
        <v>12</v>
      </c>
      <c r="F227" s="5" t="s">
        <v>12</v>
      </c>
      <c r="G227" s="5" t="s">
        <v>40</v>
      </c>
      <c r="H227" s="6" t="n">
        <v>63000</v>
      </c>
    </row>
    <row r="228" customFormat="false" ht="15" hidden="false" customHeight="false" outlineLevel="0" collapsed="false">
      <c r="A228" s="11" t="n">
        <v>43160</v>
      </c>
      <c r="B228" s="11" t="n">
        <v>43174</v>
      </c>
      <c r="C228" s="11" t="n">
        <v>43167</v>
      </c>
      <c r="D228" s="5" t="s">
        <v>25</v>
      </c>
      <c r="E228" s="5" t="s">
        <v>13</v>
      </c>
      <c r="F228" s="5" t="s">
        <v>12</v>
      </c>
      <c r="G228" s="5" t="s">
        <v>40</v>
      </c>
      <c r="H228" s="6" t="n">
        <v>63000</v>
      </c>
    </row>
    <row r="229" customFormat="false" ht="15" hidden="false" customHeight="false" outlineLevel="0" collapsed="false">
      <c r="A229" s="11" t="n">
        <v>43161</v>
      </c>
      <c r="B229" s="11" t="n">
        <v>43181</v>
      </c>
      <c r="C229" s="11" t="n">
        <v>43174</v>
      </c>
      <c r="D229" s="5" t="s">
        <v>25</v>
      </c>
      <c r="E229" s="5" t="s">
        <v>12</v>
      </c>
      <c r="F229" s="5" t="s">
        <v>12</v>
      </c>
      <c r="G229" s="5" t="s">
        <v>40</v>
      </c>
      <c r="H229" s="6" t="n">
        <v>121000</v>
      </c>
    </row>
    <row r="230" customFormat="false" ht="15" hidden="false" customHeight="false" outlineLevel="0" collapsed="false">
      <c r="A230" s="11" t="n">
        <v>43168</v>
      </c>
      <c r="B230" s="11" t="n">
        <v>43188</v>
      </c>
      <c r="C230" s="11" t="n">
        <v>43181</v>
      </c>
      <c r="D230" s="5" t="s">
        <v>25</v>
      </c>
      <c r="E230" s="5" t="s">
        <v>12</v>
      </c>
      <c r="F230" s="5" t="s">
        <v>12</v>
      </c>
      <c r="G230" s="5" t="s">
        <v>3</v>
      </c>
      <c r="H230" s="6" t="n">
        <v>260000</v>
      </c>
    </row>
    <row r="231" customFormat="false" ht="15" hidden="false" customHeight="false" outlineLevel="0" collapsed="false">
      <c r="A231" s="11" t="n">
        <v>43168</v>
      </c>
      <c r="B231" s="11" t="n">
        <v>43188</v>
      </c>
      <c r="C231" s="11" t="n">
        <v>43181</v>
      </c>
      <c r="D231" s="5" t="s">
        <v>25</v>
      </c>
      <c r="E231" s="5" t="s">
        <v>12</v>
      </c>
      <c r="F231" s="5" t="s">
        <v>12</v>
      </c>
      <c r="G231" s="5" t="s">
        <v>40</v>
      </c>
      <c r="H231" s="6" t="n">
        <v>205000</v>
      </c>
    </row>
    <row r="232" customFormat="false" ht="15" hidden="false" customHeight="false" outlineLevel="0" collapsed="false">
      <c r="A232" s="11" t="n">
        <v>43171</v>
      </c>
      <c r="B232" s="11" t="n">
        <v>43188</v>
      </c>
      <c r="C232" s="11" t="n">
        <v>43181</v>
      </c>
      <c r="D232" s="5" t="s">
        <v>25</v>
      </c>
      <c r="E232" s="5" t="s">
        <v>12</v>
      </c>
      <c r="F232" s="5" t="s">
        <v>12</v>
      </c>
      <c r="G232" s="5" t="s">
        <v>3</v>
      </c>
      <c r="H232" s="6" t="n">
        <v>254800</v>
      </c>
    </row>
    <row r="233" customFormat="false" ht="15" hidden="false" customHeight="false" outlineLevel="0" collapsed="false">
      <c r="A233" s="11" t="n">
        <v>43178</v>
      </c>
      <c r="B233" s="11" t="n">
        <v>43195</v>
      </c>
      <c r="C233" s="11" t="n">
        <v>43188</v>
      </c>
      <c r="D233" s="5" t="s">
        <v>25</v>
      </c>
      <c r="E233" s="5" t="s">
        <v>12</v>
      </c>
      <c r="F233" s="5" t="s">
        <v>12</v>
      </c>
      <c r="G233" s="5" t="s">
        <v>3</v>
      </c>
      <c r="H233" s="6" t="n">
        <v>115000</v>
      </c>
    </row>
    <row r="234" customFormat="false" ht="15" hidden="false" customHeight="false" outlineLevel="0" collapsed="false">
      <c r="A234" s="11" t="n">
        <v>43185</v>
      </c>
      <c r="B234" s="11" t="n">
        <v>43202</v>
      </c>
      <c r="C234" s="11" t="n">
        <v>43195</v>
      </c>
      <c r="D234" s="5" t="s">
        <v>25</v>
      </c>
      <c r="E234" s="5" t="s">
        <v>12</v>
      </c>
      <c r="F234" s="5" t="s">
        <v>12</v>
      </c>
      <c r="G234" s="5" t="s">
        <v>40</v>
      </c>
      <c r="H234" s="6" t="n">
        <v>132000</v>
      </c>
    </row>
    <row r="235" customFormat="false" ht="15" hidden="false" customHeight="false" outlineLevel="0" collapsed="false">
      <c r="A235" s="11" t="n">
        <v>43188</v>
      </c>
      <c r="B235" s="11" t="n">
        <v>43202</v>
      </c>
      <c r="C235" s="11" t="n">
        <v>43195</v>
      </c>
      <c r="D235" s="5" t="s">
        <v>25</v>
      </c>
      <c r="E235" s="5" t="s">
        <v>12</v>
      </c>
      <c r="F235" s="5" t="s">
        <v>12</v>
      </c>
      <c r="G235" s="5" t="s">
        <v>40</v>
      </c>
      <c r="H235" s="6" t="n">
        <v>266500</v>
      </c>
    </row>
    <row r="236" customFormat="false" ht="15" hidden="false" customHeight="false" outlineLevel="0" collapsed="false">
      <c r="A236" s="11" t="n">
        <v>43194</v>
      </c>
      <c r="B236" s="11" t="n">
        <v>43209</v>
      </c>
      <c r="C236" s="11" t="n">
        <v>43202</v>
      </c>
      <c r="D236" s="5" t="s">
        <v>25</v>
      </c>
      <c r="E236" s="5" t="s">
        <v>12</v>
      </c>
      <c r="F236" s="5" t="s">
        <v>12</v>
      </c>
      <c r="G236" s="5" t="s">
        <v>40</v>
      </c>
      <c r="H236" s="6" t="n">
        <v>130000</v>
      </c>
    </row>
    <row r="237" customFormat="false" ht="15" hidden="false" customHeight="false" outlineLevel="0" collapsed="false">
      <c r="A237" s="11" t="n">
        <v>43194</v>
      </c>
      <c r="B237" s="11" t="n">
        <v>43209</v>
      </c>
      <c r="C237" s="11" t="n">
        <v>43202</v>
      </c>
      <c r="D237" s="5" t="s">
        <v>25</v>
      </c>
      <c r="E237" s="5" t="s">
        <v>13</v>
      </c>
      <c r="F237" s="5" t="s">
        <v>12</v>
      </c>
      <c r="G237" s="5" t="s">
        <v>40</v>
      </c>
      <c r="H237" s="6" t="n">
        <v>520000</v>
      </c>
    </row>
    <row r="238" customFormat="false" ht="15" hidden="false" customHeight="false" outlineLevel="0" collapsed="false">
      <c r="A238" s="11" t="n">
        <v>43196</v>
      </c>
      <c r="B238" s="11" t="n">
        <v>43216</v>
      </c>
      <c r="C238" s="11" t="n">
        <v>43209</v>
      </c>
      <c r="D238" s="5" t="s">
        <v>25</v>
      </c>
      <c r="E238" s="5" t="s">
        <v>12</v>
      </c>
      <c r="F238" s="5" t="s">
        <v>12</v>
      </c>
      <c r="G238" s="5" t="s">
        <v>40</v>
      </c>
      <c r="H238" s="6" t="n">
        <v>327000</v>
      </c>
    </row>
    <row r="239" customFormat="false" ht="15" hidden="false" customHeight="false" outlineLevel="0" collapsed="false">
      <c r="A239" s="11" t="n">
        <v>43196</v>
      </c>
      <c r="B239" s="11" t="n">
        <v>43216</v>
      </c>
      <c r="C239" s="11" t="n">
        <v>43209</v>
      </c>
      <c r="D239" s="5" t="s">
        <v>25</v>
      </c>
      <c r="E239" s="5" t="s">
        <v>13</v>
      </c>
      <c r="F239" s="5" t="s">
        <v>12</v>
      </c>
      <c r="G239" s="5" t="s">
        <v>40</v>
      </c>
      <c r="H239" s="6" t="n">
        <v>131000</v>
      </c>
    </row>
    <row r="240" customFormat="false" ht="15" hidden="false" customHeight="false" outlineLevel="0" collapsed="false">
      <c r="A240" s="11" t="n">
        <v>43199</v>
      </c>
      <c r="B240" s="11" t="n">
        <v>43216</v>
      </c>
      <c r="C240" s="11" t="n">
        <v>43209</v>
      </c>
      <c r="D240" s="5" t="s">
        <v>25</v>
      </c>
      <c r="E240" s="5" t="s">
        <v>12</v>
      </c>
      <c r="F240" s="5" t="s">
        <v>12</v>
      </c>
      <c r="G240" s="5" t="s">
        <v>40</v>
      </c>
      <c r="H240" s="6" t="n">
        <v>232500</v>
      </c>
    </row>
    <row r="241" customFormat="false" ht="15" hidden="false" customHeight="false" outlineLevel="0" collapsed="false">
      <c r="A241" s="11" t="n">
        <v>43200</v>
      </c>
      <c r="B241" s="11" t="n">
        <v>43216</v>
      </c>
      <c r="C241" s="11" t="n">
        <v>43209</v>
      </c>
      <c r="D241" s="5" t="s">
        <v>25</v>
      </c>
      <c r="E241" s="5" t="s">
        <v>12</v>
      </c>
      <c r="F241" s="5" t="s">
        <v>12</v>
      </c>
      <c r="G241" s="5" t="s">
        <v>40</v>
      </c>
      <c r="H241" s="6" t="n">
        <v>279000</v>
      </c>
    </row>
    <row r="242" customFormat="false" ht="15" hidden="false" customHeight="false" outlineLevel="0" collapsed="false">
      <c r="A242" s="11" t="n">
        <v>43216</v>
      </c>
      <c r="B242" s="11" t="n">
        <v>43230</v>
      </c>
      <c r="C242" s="11" t="n">
        <v>43223</v>
      </c>
      <c r="D242" s="5" t="s">
        <v>25</v>
      </c>
      <c r="E242" s="5" t="s">
        <v>12</v>
      </c>
      <c r="F242" s="5" t="s">
        <v>12</v>
      </c>
      <c r="G242" s="5" t="s">
        <v>3</v>
      </c>
      <c r="H242" s="6" t="n">
        <v>107600</v>
      </c>
    </row>
    <row r="243" customFormat="false" ht="15" hidden="false" customHeight="false" outlineLevel="0" collapsed="false">
      <c r="A243" s="11" t="n">
        <v>43237</v>
      </c>
      <c r="B243" s="11" t="n">
        <v>43251</v>
      </c>
      <c r="C243" s="11" t="n">
        <v>43244</v>
      </c>
      <c r="D243" s="5" t="s">
        <v>25</v>
      </c>
      <c r="E243" s="5" t="s">
        <v>12</v>
      </c>
      <c r="F243" s="5" t="s">
        <v>12</v>
      </c>
      <c r="G243" s="5" t="s">
        <v>40</v>
      </c>
      <c r="H243" s="6" t="n">
        <v>132000</v>
      </c>
    </row>
    <row r="244" customFormat="false" ht="15" hidden="false" customHeight="false" outlineLevel="0" collapsed="false">
      <c r="A244" s="11" t="n">
        <v>43238</v>
      </c>
      <c r="B244" s="11" t="n">
        <v>43258</v>
      </c>
      <c r="C244" s="11" t="n">
        <v>43251</v>
      </c>
      <c r="D244" s="5" t="s">
        <v>25</v>
      </c>
      <c r="E244" s="5" t="s">
        <v>12</v>
      </c>
      <c r="F244" s="5" t="s">
        <v>12</v>
      </c>
      <c r="G244" s="5" t="s">
        <v>40</v>
      </c>
      <c r="H244" s="6" t="n">
        <v>885000</v>
      </c>
    </row>
    <row r="245" customFormat="false" ht="15" hidden="false" customHeight="false" outlineLevel="0" collapsed="false">
      <c r="A245" s="11" t="n">
        <v>43238</v>
      </c>
      <c r="B245" s="11" t="n">
        <v>43258</v>
      </c>
      <c r="C245" s="11" t="n">
        <v>43251</v>
      </c>
      <c r="D245" s="5" t="s">
        <v>25</v>
      </c>
      <c r="E245" s="5" t="s">
        <v>13</v>
      </c>
      <c r="F245" s="5" t="s">
        <v>12</v>
      </c>
      <c r="G245" s="5" t="s">
        <v>40</v>
      </c>
      <c r="H245" s="6" t="n">
        <v>232000</v>
      </c>
    </row>
    <row r="246" customFormat="false" ht="15" hidden="false" customHeight="false" outlineLevel="0" collapsed="false">
      <c r="A246" s="11" t="n">
        <v>43244</v>
      </c>
      <c r="B246" s="11" t="n">
        <v>43258</v>
      </c>
      <c r="C246" s="11" t="n">
        <v>43251</v>
      </c>
      <c r="D246" s="5" t="s">
        <v>25</v>
      </c>
      <c r="E246" s="5" t="s">
        <v>13</v>
      </c>
      <c r="F246" s="5" t="s">
        <v>12</v>
      </c>
      <c r="G246" s="5" t="s">
        <v>40</v>
      </c>
      <c r="H246" s="6" t="n">
        <v>264000</v>
      </c>
    </row>
    <row r="247" customFormat="false" ht="15" hidden="false" customHeight="false" outlineLevel="0" collapsed="false">
      <c r="A247" s="11" t="n">
        <v>43249</v>
      </c>
      <c r="B247" s="11" t="n">
        <v>43265</v>
      </c>
      <c r="C247" s="11" t="n">
        <v>43258</v>
      </c>
      <c r="D247" s="5" t="s">
        <v>25</v>
      </c>
      <c r="E247" s="5" t="s">
        <v>12</v>
      </c>
      <c r="F247" s="5" t="s">
        <v>12</v>
      </c>
      <c r="G247" s="5" t="s">
        <v>3</v>
      </c>
      <c r="H247" s="6" t="n">
        <v>28048</v>
      </c>
    </row>
    <row r="248" customFormat="false" ht="15" hidden="false" customHeight="false" outlineLevel="0" collapsed="false">
      <c r="A248" s="11" t="n">
        <v>43249</v>
      </c>
      <c r="B248" s="11" t="n">
        <v>43265</v>
      </c>
      <c r="C248" s="11" t="n">
        <v>43258</v>
      </c>
      <c r="D248" s="5" t="s">
        <v>25</v>
      </c>
      <c r="E248" s="5" t="s">
        <v>13</v>
      </c>
      <c r="F248" s="5" t="s">
        <v>12</v>
      </c>
      <c r="G248" s="5" t="s">
        <v>3</v>
      </c>
      <c r="H248" s="6" t="n">
        <v>203200</v>
      </c>
    </row>
    <row r="249" customFormat="false" ht="15" hidden="false" customHeight="false" outlineLevel="0" collapsed="false">
      <c r="A249" s="11" t="n">
        <v>43264</v>
      </c>
      <c r="B249" s="11" t="n">
        <v>43279</v>
      </c>
      <c r="C249" s="11" t="n">
        <v>43272</v>
      </c>
      <c r="D249" s="5" t="s">
        <v>25</v>
      </c>
      <c r="E249" s="5" t="s">
        <v>12</v>
      </c>
      <c r="F249" s="5" t="s">
        <v>12</v>
      </c>
      <c r="G249" s="5" t="s">
        <v>40</v>
      </c>
      <c r="H249" s="6" t="n">
        <v>5000</v>
      </c>
    </row>
    <row r="250" customFormat="false" ht="15" hidden="false" customHeight="false" outlineLevel="0" collapsed="false">
      <c r="A250" s="11" t="n">
        <v>43264</v>
      </c>
      <c r="B250" s="11" t="n">
        <v>43279</v>
      </c>
      <c r="C250" s="11" t="n">
        <v>43272</v>
      </c>
      <c r="D250" s="5" t="s">
        <v>25</v>
      </c>
      <c r="E250" s="5" t="s">
        <v>13</v>
      </c>
      <c r="F250" s="5" t="s">
        <v>12</v>
      </c>
      <c r="G250" s="5" t="s">
        <v>40</v>
      </c>
      <c r="H250" s="6" t="n">
        <v>172000</v>
      </c>
    </row>
    <row r="251" customFormat="false" ht="15" hidden="false" customHeight="false" outlineLevel="0" collapsed="false">
      <c r="A251" s="11" t="n">
        <v>43276</v>
      </c>
      <c r="B251" s="11" t="n">
        <v>43293</v>
      </c>
      <c r="C251" s="11" t="n">
        <v>43286</v>
      </c>
      <c r="D251" s="5" t="s">
        <v>25</v>
      </c>
      <c r="E251" s="5" t="s">
        <v>12</v>
      </c>
      <c r="F251" s="5" t="s">
        <v>12</v>
      </c>
      <c r="G251" s="5" t="s">
        <v>40</v>
      </c>
      <c r="H251" s="6" t="n">
        <v>186000</v>
      </c>
    </row>
    <row r="252" customFormat="false" ht="15" hidden="false" customHeight="false" outlineLevel="0" collapsed="false">
      <c r="A252" s="11" t="n">
        <v>43290</v>
      </c>
      <c r="B252" s="11" t="n">
        <v>43307</v>
      </c>
      <c r="C252" s="11" t="n">
        <v>43300</v>
      </c>
      <c r="D252" s="5" t="s">
        <v>25</v>
      </c>
      <c r="E252" s="5" t="s">
        <v>13</v>
      </c>
      <c r="F252" s="5" t="s">
        <v>12</v>
      </c>
      <c r="G252" s="5" t="s">
        <v>40</v>
      </c>
      <c r="H252" s="6" t="n">
        <v>132000</v>
      </c>
    </row>
    <row r="253" customFormat="false" ht="15" hidden="false" customHeight="false" outlineLevel="0" collapsed="false">
      <c r="A253" s="11" t="n">
        <v>43308</v>
      </c>
      <c r="B253" s="11" t="n">
        <v>43328</v>
      </c>
      <c r="C253" s="11" t="n">
        <v>43321</v>
      </c>
      <c r="D253" s="5" t="s">
        <v>25</v>
      </c>
      <c r="E253" s="5" t="s">
        <v>13</v>
      </c>
      <c r="F253" s="5" t="s">
        <v>12</v>
      </c>
      <c r="G253" s="5" t="s">
        <v>3</v>
      </c>
      <c r="H253" s="6" t="n">
        <v>270000</v>
      </c>
    </row>
    <row r="254" customFormat="false" ht="15" hidden="false" customHeight="false" outlineLevel="0" collapsed="false">
      <c r="A254" s="11" t="n">
        <v>43308</v>
      </c>
      <c r="B254" s="11" t="n">
        <v>43328</v>
      </c>
      <c r="C254" s="11" t="n">
        <v>43321</v>
      </c>
      <c r="D254" s="5" t="s">
        <v>25</v>
      </c>
      <c r="E254" s="5" t="s">
        <v>13</v>
      </c>
      <c r="F254" s="5" t="s">
        <v>12</v>
      </c>
      <c r="G254" s="5" t="s">
        <v>40</v>
      </c>
      <c r="H254" s="6" t="n">
        <v>154100</v>
      </c>
    </row>
    <row r="255" customFormat="false" ht="15" hidden="false" customHeight="false" outlineLevel="0" collapsed="false">
      <c r="A255" s="11" t="n">
        <v>43319</v>
      </c>
      <c r="B255" s="11" t="n">
        <v>43335</v>
      </c>
      <c r="C255" s="11" t="n">
        <v>43328</v>
      </c>
      <c r="D255" s="5" t="s">
        <v>25</v>
      </c>
      <c r="E255" s="5" t="s">
        <v>13</v>
      </c>
      <c r="F255" s="5" t="s">
        <v>12</v>
      </c>
      <c r="G255" s="5" t="s">
        <v>3</v>
      </c>
      <c r="H255" s="6" t="n">
        <v>179000</v>
      </c>
    </row>
    <row r="256" customFormat="false" ht="15" hidden="false" customHeight="false" outlineLevel="0" collapsed="false">
      <c r="A256" s="11" t="n">
        <v>43319</v>
      </c>
      <c r="B256" s="11" t="n">
        <v>43335</v>
      </c>
      <c r="C256" s="11" t="n">
        <v>43328</v>
      </c>
      <c r="D256" s="5" t="s">
        <v>25</v>
      </c>
      <c r="E256" s="5" t="s">
        <v>13</v>
      </c>
      <c r="F256" s="5" t="s">
        <v>12</v>
      </c>
      <c r="G256" s="5" t="s">
        <v>40</v>
      </c>
      <c r="H256" s="6" t="n">
        <v>145000</v>
      </c>
    </row>
    <row r="257" customFormat="false" ht="15" hidden="false" customHeight="false" outlineLevel="0" collapsed="false">
      <c r="A257" s="11" t="n">
        <v>43322</v>
      </c>
      <c r="B257" s="11" t="n">
        <v>43342</v>
      </c>
      <c r="C257" s="11" t="n">
        <v>43335</v>
      </c>
      <c r="D257" s="5" t="s">
        <v>25</v>
      </c>
      <c r="E257" s="5" t="s">
        <v>12</v>
      </c>
      <c r="F257" s="5" t="s">
        <v>12</v>
      </c>
      <c r="G257" s="5" t="s">
        <v>40</v>
      </c>
      <c r="H257" s="6" t="n">
        <v>80000</v>
      </c>
    </row>
    <row r="258" customFormat="false" ht="15" hidden="false" customHeight="false" outlineLevel="0" collapsed="false">
      <c r="A258" s="11" t="n">
        <v>43322</v>
      </c>
      <c r="B258" s="11" t="n">
        <v>43342</v>
      </c>
      <c r="C258" s="11" t="n">
        <v>43335</v>
      </c>
      <c r="D258" s="5" t="s">
        <v>25</v>
      </c>
      <c r="E258" s="5" t="s">
        <v>13</v>
      </c>
      <c r="F258" s="5" t="s">
        <v>12</v>
      </c>
      <c r="G258" s="5" t="s">
        <v>40</v>
      </c>
      <c r="H258" s="6" t="n">
        <v>130000</v>
      </c>
    </row>
    <row r="259" customFormat="false" ht="15" hidden="false" customHeight="false" outlineLevel="0" collapsed="false">
      <c r="A259" s="11" t="n">
        <v>43327</v>
      </c>
      <c r="B259" s="11" t="n">
        <v>43342</v>
      </c>
      <c r="C259" s="11" t="n">
        <v>43335</v>
      </c>
      <c r="D259" s="5" t="s">
        <v>25</v>
      </c>
      <c r="E259" s="5" t="s">
        <v>12</v>
      </c>
      <c r="F259" s="5" t="s">
        <v>12</v>
      </c>
      <c r="G259" s="5" t="s">
        <v>3</v>
      </c>
      <c r="H259" s="6" t="n">
        <v>55000</v>
      </c>
    </row>
    <row r="260" customFormat="false" ht="15" hidden="false" customHeight="false" outlineLevel="0" collapsed="false">
      <c r="A260" s="11" t="n">
        <v>43327</v>
      </c>
      <c r="B260" s="11" t="n">
        <v>43342</v>
      </c>
      <c r="C260" s="11" t="n">
        <v>43335</v>
      </c>
      <c r="D260" s="5" t="s">
        <v>25</v>
      </c>
      <c r="E260" s="5" t="s">
        <v>13</v>
      </c>
      <c r="F260" s="5" t="s">
        <v>12</v>
      </c>
      <c r="G260" s="5" t="s">
        <v>3</v>
      </c>
      <c r="H260" s="6" t="n">
        <v>59572</v>
      </c>
    </row>
    <row r="261" customFormat="false" ht="15" hidden="false" customHeight="false" outlineLevel="0" collapsed="false">
      <c r="A261" s="11" t="n">
        <v>43336</v>
      </c>
      <c r="B261" s="11" t="n">
        <v>43356</v>
      </c>
      <c r="C261" s="11" t="n">
        <v>43349</v>
      </c>
      <c r="D261" s="5" t="s">
        <v>25</v>
      </c>
      <c r="E261" s="5" t="s">
        <v>13</v>
      </c>
      <c r="F261" s="5" t="s">
        <v>12</v>
      </c>
      <c r="G261" s="5" t="s">
        <v>40</v>
      </c>
      <c r="H261" s="6" t="n">
        <v>146000</v>
      </c>
    </row>
    <row r="262" customFormat="false" ht="15" hidden="false" customHeight="false" outlineLevel="0" collapsed="false">
      <c r="A262" s="11" t="n">
        <v>43343</v>
      </c>
      <c r="B262" s="11" t="n">
        <v>43363</v>
      </c>
      <c r="C262" s="11" t="n">
        <v>43356</v>
      </c>
      <c r="D262" s="5" t="s">
        <v>25</v>
      </c>
      <c r="E262" s="5" t="s">
        <v>13</v>
      </c>
      <c r="F262" s="5" t="s">
        <v>12</v>
      </c>
      <c r="G262" s="5" t="s">
        <v>3</v>
      </c>
      <c r="H262" s="6" t="n">
        <v>273800</v>
      </c>
    </row>
    <row r="263" customFormat="false" ht="15" hidden="false" customHeight="false" outlineLevel="0" collapsed="false">
      <c r="A263" s="11" t="n">
        <v>43343</v>
      </c>
      <c r="B263" s="11" t="n">
        <v>43363</v>
      </c>
      <c r="C263" s="11" t="n">
        <v>43356</v>
      </c>
      <c r="D263" s="5" t="s">
        <v>25</v>
      </c>
      <c r="E263" s="5" t="s">
        <v>13</v>
      </c>
      <c r="F263" s="5" t="s">
        <v>12</v>
      </c>
      <c r="G263" s="5" t="s">
        <v>40</v>
      </c>
      <c r="H263" s="6" t="n">
        <v>250000</v>
      </c>
    </row>
    <row r="264" customFormat="false" ht="15" hidden="false" customHeight="false" outlineLevel="0" collapsed="false">
      <c r="A264" s="11" t="n">
        <v>43353</v>
      </c>
      <c r="B264" s="11" t="n">
        <v>43370</v>
      </c>
      <c r="C264" s="11" t="n">
        <v>43363</v>
      </c>
      <c r="D264" s="5" t="s">
        <v>25</v>
      </c>
      <c r="E264" s="5" t="s">
        <v>13</v>
      </c>
      <c r="F264" s="5" t="s">
        <v>13</v>
      </c>
      <c r="G264" s="5" t="s">
        <v>40</v>
      </c>
      <c r="H264" s="6" t="n">
        <v>132000</v>
      </c>
    </row>
    <row r="265" customFormat="false" ht="15" hidden="false" customHeight="false" outlineLevel="0" collapsed="false">
      <c r="A265" s="11" t="n">
        <v>43354</v>
      </c>
      <c r="B265" s="11" t="n">
        <v>43370</v>
      </c>
      <c r="C265" s="11" t="n">
        <v>43363</v>
      </c>
      <c r="D265" s="5" t="s">
        <v>25</v>
      </c>
      <c r="E265" s="5" t="s">
        <v>13</v>
      </c>
      <c r="F265" s="5" t="s">
        <v>13</v>
      </c>
      <c r="G265" s="5" t="s">
        <v>40</v>
      </c>
      <c r="H265" s="6" t="n">
        <v>192000</v>
      </c>
    </row>
    <row r="266" customFormat="false" ht="15" hidden="false" customHeight="false" outlineLevel="0" collapsed="false">
      <c r="A266" s="11" t="n">
        <v>43356</v>
      </c>
      <c r="B266" s="11" t="n">
        <v>43370</v>
      </c>
      <c r="C266" s="11" t="n">
        <v>43363</v>
      </c>
      <c r="D266" s="5" t="s">
        <v>25</v>
      </c>
      <c r="E266" s="5" t="s">
        <v>13</v>
      </c>
      <c r="F266" s="5" t="s">
        <v>13</v>
      </c>
      <c r="G266" s="5" t="s">
        <v>40</v>
      </c>
      <c r="H266" s="6" t="n">
        <v>40000</v>
      </c>
    </row>
    <row r="267" customFormat="false" ht="15" hidden="false" customHeight="false" outlineLevel="0" collapsed="false">
      <c r="A267" s="11" t="n">
        <v>43356</v>
      </c>
      <c r="B267" s="11" t="n">
        <v>43370</v>
      </c>
      <c r="C267" s="11" t="n">
        <v>43363</v>
      </c>
      <c r="D267" s="5" t="s">
        <v>25</v>
      </c>
      <c r="E267" s="5" t="s">
        <v>14</v>
      </c>
      <c r="F267" s="5" t="s">
        <v>13</v>
      </c>
      <c r="G267" s="5" t="s">
        <v>40</v>
      </c>
      <c r="H267" s="6" t="n">
        <v>80000</v>
      </c>
    </row>
    <row r="268" customFormat="false" ht="15" hidden="false" customHeight="false" outlineLevel="0" collapsed="false">
      <c r="A268" s="11" t="n">
        <v>43360</v>
      </c>
      <c r="B268" s="11" t="n">
        <v>43377</v>
      </c>
      <c r="C268" s="11" t="n">
        <v>43370</v>
      </c>
      <c r="D268" s="5" t="s">
        <v>25</v>
      </c>
      <c r="E268" s="5" t="s">
        <v>13</v>
      </c>
      <c r="F268" s="5" t="s">
        <v>13</v>
      </c>
      <c r="G268" s="5" t="s">
        <v>40</v>
      </c>
      <c r="H268" s="6" t="n">
        <v>241000</v>
      </c>
    </row>
    <row r="269" customFormat="false" ht="15" hidden="false" customHeight="false" outlineLevel="0" collapsed="false">
      <c r="A269" s="11" t="n">
        <v>43364</v>
      </c>
      <c r="B269" s="11" t="n">
        <v>43384</v>
      </c>
      <c r="C269" s="11" t="n">
        <v>43377</v>
      </c>
      <c r="D269" s="5" t="s">
        <v>25</v>
      </c>
      <c r="E269" s="5" t="s">
        <v>13</v>
      </c>
      <c r="F269" s="5" t="s">
        <v>13</v>
      </c>
      <c r="G269" s="5" t="s">
        <v>3</v>
      </c>
      <c r="H269" s="6" t="n">
        <v>121700</v>
      </c>
    </row>
    <row r="270" customFormat="false" ht="15" hidden="false" customHeight="false" outlineLevel="0" collapsed="false">
      <c r="A270" s="11" t="n">
        <v>43367</v>
      </c>
      <c r="B270" s="11" t="n">
        <v>43384</v>
      </c>
      <c r="C270" s="11" t="n">
        <v>43377</v>
      </c>
      <c r="D270" s="5" t="s">
        <v>25</v>
      </c>
      <c r="E270" s="5" t="s">
        <v>13</v>
      </c>
      <c r="F270" s="5" t="s">
        <v>13</v>
      </c>
      <c r="G270" s="5" t="s">
        <v>40</v>
      </c>
      <c r="H270" s="6" t="n">
        <v>162000</v>
      </c>
    </row>
    <row r="271" customFormat="false" ht="15" hidden="false" customHeight="false" outlineLevel="0" collapsed="false">
      <c r="A271" s="11" t="n">
        <v>43384</v>
      </c>
      <c r="B271" s="11" t="n">
        <v>43398</v>
      </c>
      <c r="C271" s="11" t="n">
        <v>43391</v>
      </c>
      <c r="D271" s="5" t="s">
        <v>25</v>
      </c>
      <c r="E271" s="5" t="s">
        <v>13</v>
      </c>
      <c r="F271" s="5" t="s">
        <v>13</v>
      </c>
      <c r="G271" s="5" t="s">
        <v>3</v>
      </c>
      <c r="H271" s="6" t="n">
        <v>140000</v>
      </c>
    </row>
    <row r="272" customFormat="false" ht="15" hidden="false" customHeight="false" outlineLevel="0" collapsed="false">
      <c r="A272" s="11" t="n">
        <v>43392</v>
      </c>
      <c r="B272" s="11" t="n">
        <v>43412</v>
      </c>
      <c r="C272" s="11" t="n">
        <v>43405</v>
      </c>
      <c r="D272" s="5" t="s">
        <v>25</v>
      </c>
      <c r="E272" s="5" t="s">
        <v>13</v>
      </c>
      <c r="F272" s="5" t="s">
        <v>13</v>
      </c>
      <c r="G272" s="5" t="s">
        <v>40</v>
      </c>
      <c r="H272" s="6" t="n">
        <v>120000</v>
      </c>
    </row>
    <row r="273" customFormat="false" ht="15" hidden="false" customHeight="false" outlineLevel="0" collapsed="false">
      <c r="A273" s="11" t="n">
        <v>43395</v>
      </c>
      <c r="B273" s="11" t="n">
        <v>43412</v>
      </c>
      <c r="C273" s="11" t="n">
        <v>43405</v>
      </c>
      <c r="D273" s="5" t="s">
        <v>25</v>
      </c>
      <c r="E273" s="5" t="s">
        <v>13</v>
      </c>
      <c r="F273" s="5" t="s">
        <v>13</v>
      </c>
      <c r="G273" s="5" t="s">
        <v>40</v>
      </c>
      <c r="H273" s="6" t="n">
        <v>180000</v>
      </c>
    </row>
    <row r="274" customFormat="false" ht="15" hidden="false" customHeight="false" outlineLevel="0" collapsed="false">
      <c r="A274" s="11" t="n">
        <v>43399</v>
      </c>
      <c r="B274" s="11" t="n">
        <v>43419</v>
      </c>
      <c r="C274" s="11" t="n">
        <v>43412</v>
      </c>
      <c r="D274" s="5" t="s">
        <v>25</v>
      </c>
      <c r="E274" s="5" t="s">
        <v>13</v>
      </c>
      <c r="F274" s="5" t="s">
        <v>13</v>
      </c>
      <c r="G274" s="5" t="s">
        <v>40</v>
      </c>
      <c r="H274" s="6" t="n">
        <v>200000</v>
      </c>
    </row>
    <row r="275" customFormat="false" ht="15" hidden="false" customHeight="false" outlineLevel="0" collapsed="false">
      <c r="A275" s="11" t="n">
        <v>43399</v>
      </c>
      <c r="B275" s="11" t="n">
        <v>43419</v>
      </c>
      <c r="C275" s="11" t="n">
        <v>43412</v>
      </c>
      <c r="D275" s="5" t="s">
        <v>25</v>
      </c>
      <c r="E275" s="5" t="s">
        <v>14</v>
      </c>
      <c r="F275" s="5" t="s">
        <v>13</v>
      </c>
      <c r="G275" s="5" t="s">
        <v>40</v>
      </c>
      <c r="H275" s="6" t="n">
        <v>60000</v>
      </c>
    </row>
    <row r="276" customFormat="false" ht="15" hidden="false" customHeight="false" outlineLevel="0" collapsed="false">
      <c r="A276" s="11" t="n">
        <v>43402</v>
      </c>
      <c r="B276" s="11" t="n">
        <v>43419</v>
      </c>
      <c r="C276" s="11" t="n">
        <v>43412</v>
      </c>
      <c r="D276" s="5" t="s">
        <v>25</v>
      </c>
      <c r="E276" s="5" t="s">
        <v>13</v>
      </c>
      <c r="F276" s="5" t="s">
        <v>13</v>
      </c>
      <c r="G276" s="5" t="s">
        <v>40</v>
      </c>
      <c r="H276" s="6" t="n">
        <v>120000</v>
      </c>
    </row>
    <row r="277" customFormat="false" ht="15" hidden="false" customHeight="false" outlineLevel="0" collapsed="false">
      <c r="A277" s="11" t="n">
        <v>43417</v>
      </c>
      <c r="B277" s="11" t="n">
        <v>43433</v>
      </c>
      <c r="C277" s="11" t="n">
        <v>43426</v>
      </c>
      <c r="D277" s="5" t="s">
        <v>25</v>
      </c>
      <c r="E277" s="5" t="s">
        <v>13</v>
      </c>
      <c r="F277" s="5" t="s">
        <v>13</v>
      </c>
      <c r="G277" s="5" t="s">
        <v>40</v>
      </c>
      <c r="H277" s="6" t="n">
        <v>276732</v>
      </c>
    </row>
    <row r="278" customFormat="false" ht="15" hidden="false" customHeight="false" outlineLevel="0" collapsed="false">
      <c r="A278" s="11" t="n">
        <v>43418</v>
      </c>
      <c r="B278" s="11" t="n">
        <v>43433</v>
      </c>
      <c r="C278" s="11" t="n">
        <v>43426</v>
      </c>
      <c r="D278" s="5" t="s">
        <v>25</v>
      </c>
      <c r="E278" s="5" t="s">
        <v>13</v>
      </c>
      <c r="F278" s="5" t="s">
        <v>13</v>
      </c>
      <c r="G278" s="5" t="s">
        <v>40</v>
      </c>
      <c r="H278" s="6" t="n">
        <v>148000</v>
      </c>
    </row>
    <row r="279" customFormat="false" ht="15" hidden="false" customHeight="false" outlineLevel="0" collapsed="false">
      <c r="A279" s="11" t="n">
        <v>43420</v>
      </c>
      <c r="B279" s="11" t="n">
        <v>43440</v>
      </c>
      <c r="C279" s="11" t="n">
        <v>43433</v>
      </c>
      <c r="D279" s="5" t="s">
        <v>25</v>
      </c>
      <c r="E279" s="5" t="s">
        <v>13</v>
      </c>
      <c r="F279" s="5" t="s">
        <v>13</v>
      </c>
      <c r="G279" s="5" t="s">
        <v>40</v>
      </c>
      <c r="H279" s="6" t="n">
        <v>100000</v>
      </c>
    </row>
    <row r="280" customFormat="false" ht="15" hidden="false" customHeight="false" outlineLevel="0" collapsed="false">
      <c r="A280" s="11" t="n">
        <v>43424</v>
      </c>
      <c r="B280" s="11" t="n">
        <v>43440</v>
      </c>
      <c r="C280" s="11" t="n">
        <v>43433</v>
      </c>
      <c r="D280" s="5" t="s">
        <v>25</v>
      </c>
      <c r="E280" s="5" t="s">
        <v>13</v>
      </c>
      <c r="F280" s="5" t="s">
        <v>13</v>
      </c>
      <c r="G280" s="5" t="s">
        <v>3</v>
      </c>
      <c r="H280" s="6" t="n">
        <v>200588</v>
      </c>
    </row>
    <row r="281" customFormat="false" ht="15" hidden="false" customHeight="false" outlineLevel="0" collapsed="false">
      <c r="A281" s="11" t="n">
        <v>43424</v>
      </c>
      <c r="B281" s="11" t="n">
        <v>43440</v>
      </c>
      <c r="C281" s="11" t="n">
        <v>43433</v>
      </c>
      <c r="D281" s="5" t="s">
        <v>25</v>
      </c>
      <c r="E281" s="5" t="s">
        <v>13</v>
      </c>
      <c r="F281" s="5" t="s">
        <v>13</v>
      </c>
      <c r="G281" s="5" t="s">
        <v>40</v>
      </c>
      <c r="H281" s="6" t="n">
        <v>123567</v>
      </c>
    </row>
    <row r="282" customFormat="false" ht="15" hidden="false" customHeight="false" outlineLevel="0" collapsed="false">
      <c r="A282" s="11" t="n">
        <v>43427</v>
      </c>
      <c r="B282" s="11" t="n">
        <v>43447</v>
      </c>
      <c r="C282" s="11" t="n">
        <v>43440</v>
      </c>
      <c r="D282" s="5" t="s">
        <v>25</v>
      </c>
      <c r="E282" s="5" t="s">
        <v>13</v>
      </c>
      <c r="F282" s="5" t="s">
        <v>13</v>
      </c>
      <c r="G282" s="5" t="s">
        <v>40</v>
      </c>
      <c r="H282" s="6" t="n">
        <v>120000</v>
      </c>
    </row>
    <row r="283" customFormat="false" ht="15" hidden="false" customHeight="false" outlineLevel="0" collapsed="false">
      <c r="A283" s="11" t="n">
        <v>43432</v>
      </c>
      <c r="B283" s="11" t="n">
        <v>43447</v>
      </c>
      <c r="C283" s="11" t="n">
        <v>43440</v>
      </c>
      <c r="D283" s="5" t="s">
        <v>25</v>
      </c>
      <c r="E283" s="5" t="s">
        <v>13</v>
      </c>
      <c r="F283" s="5" t="s">
        <v>13</v>
      </c>
      <c r="G283" s="5" t="s">
        <v>40</v>
      </c>
      <c r="H283" s="6" t="n">
        <v>268748</v>
      </c>
    </row>
    <row r="284" customFormat="false" ht="15" hidden="false" customHeight="false" outlineLevel="0" collapsed="false">
      <c r="A284" s="11" t="n">
        <v>43434</v>
      </c>
      <c r="B284" s="11" t="n">
        <v>43454</v>
      </c>
      <c r="C284" s="11" t="n">
        <v>43447</v>
      </c>
      <c r="D284" s="5" t="s">
        <v>25</v>
      </c>
      <c r="E284" s="5" t="s">
        <v>13</v>
      </c>
      <c r="F284" s="5" t="s">
        <v>13</v>
      </c>
      <c r="G284" s="5" t="s">
        <v>40</v>
      </c>
      <c r="H284" s="6" t="n">
        <v>120000</v>
      </c>
    </row>
    <row r="285" customFormat="false" ht="15" hidden="false" customHeight="false" outlineLevel="0" collapsed="false">
      <c r="A285" s="11" t="n">
        <v>43437</v>
      </c>
      <c r="B285" s="11" t="n">
        <v>43454</v>
      </c>
      <c r="C285" s="11" t="n">
        <v>43447</v>
      </c>
      <c r="D285" s="5" t="s">
        <v>25</v>
      </c>
      <c r="E285" s="5" t="s">
        <v>13</v>
      </c>
      <c r="F285" s="5" t="s">
        <v>13</v>
      </c>
      <c r="G285" s="5" t="s">
        <v>40</v>
      </c>
      <c r="H285" s="6" t="n">
        <v>147500</v>
      </c>
    </row>
    <row r="286" customFormat="false" ht="15" hidden="false" customHeight="false" outlineLevel="0" collapsed="false">
      <c r="A286" s="11" t="n">
        <v>43444</v>
      </c>
      <c r="B286" s="11" t="n">
        <v>43461</v>
      </c>
      <c r="C286" s="11" t="n">
        <v>43454</v>
      </c>
      <c r="D286" s="5" t="s">
        <v>25</v>
      </c>
      <c r="E286" s="5" t="s">
        <v>14</v>
      </c>
      <c r="F286" s="5" t="s">
        <v>13</v>
      </c>
      <c r="G286" s="5" t="s">
        <v>40</v>
      </c>
      <c r="H286" s="6" t="n">
        <v>125000</v>
      </c>
    </row>
    <row r="287" customFormat="false" ht="15" hidden="false" customHeight="false" outlineLevel="0" collapsed="false">
      <c r="A287" s="11" t="n">
        <v>43446</v>
      </c>
      <c r="B287" s="11" t="n">
        <v>43461</v>
      </c>
      <c r="C287" s="11" t="n">
        <v>43454</v>
      </c>
      <c r="D287" s="5" t="s">
        <v>25</v>
      </c>
      <c r="E287" s="5" t="s">
        <v>13</v>
      </c>
      <c r="F287" s="5" t="s">
        <v>13</v>
      </c>
      <c r="G287" s="5" t="s">
        <v>40</v>
      </c>
      <c r="H287" s="6" t="n">
        <v>110000</v>
      </c>
    </row>
    <row r="288" customFormat="false" ht="15" hidden="false" customHeight="false" outlineLevel="0" collapsed="false">
      <c r="A288" s="11" t="n">
        <v>43448</v>
      </c>
      <c r="B288" s="11" t="n">
        <v>43468</v>
      </c>
      <c r="C288" s="11" t="n">
        <v>43461</v>
      </c>
      <c r="D288" s="5" t="s">
        <v>25</v>
      </c>
      <c r="E288" s="5" t="s">
        <v>13</v>
      </c>
      <c r="F288" s="5" t="s">
        <v>13</v>
      </c>
      <c r="G288" s="5" t="s">
        <v>40</v>
      </c>
      <c r="H288" s="6" t="n">
        <v>130000</v>
      </c>
    </row>
    <row r="289" customFormat="false" ht="15" hidden="false" customHeight="false" outlineLevel="0" collapsed="false">
      <c r="A289" s="11" t="n">
        <v>43454</v>
      </c>
      <c r="B289" s="11" t="n">
        <v>43468</v>
      </c>
      <c r="C289" s="11" t="n">
        <v>43461</v>
      </c>
      <c r="D289" s="5" t="s">
        <v>25</v>
      </c>
      <c r="E289" s="5" t="s">
        <v>13</v>
      </c>
      <c r="F289" s="5" t="s">
        <v>13</v>
      </c>
      <c r="G289" s="5" t="s">
        <v>40</v>
      </c>
      <c r="H289" s="6" t="n">
        <v>257000</v>
      </c>
    </row>
    <row r="290" customFormat="false" ht="15" hidden="false" customHeight="false" outlineLevel="0" collapsed="false">
      <c r="A290" s="11" t="n">
        <v>43455</v>
      </c>
      <c r="B290" s="11" t="n">
        <v>43475</v>
      </c>
      <c r="C290" s="11" t="n">
        <v>43468</v>
      </c>
      <c r="D290" s="5" t="s">
        <v>25</v>
      </c>
      <c r="E290" s="5" t="s">
        <v>13</v>
      </c>
      <c r="F290" s="5" t="s">
        <v>13</v>
      </c>
      <c r="G290" s="5" t="s">
        <v>3</v>
      </c>
      <c r="H290" s="6" t="n">
        <v>222504</v>
      </c>
    </row>
    <row r="291" customFormat="false" ht="15" hidden="false" customHeight="false" outlineLevel="0" collapsed="false">
      <c r="A291" s="11" t="n">
        <v>43455</v>
      </c>
      <c r="B291" s="11" t="n">
        <v>43475</v>
      </c>
      <c r="C291" s="11" t="n">
        <v>43468</v>
      </c>
      <c r="D291" s="5" t="s">
        <v>25</v>
      </c>
      <c r="E291" s="5" t="s">
        <v>13</v>
      </c>
      <c r="F291" s="5" t="s">
        <v>13</v>
      </c>
      <c r="G291" s="5" t="s">
        <v>40</v>
      </c>
      <c r="H291" s="6" t="n">
        <v>115500</v>
      </c>
    </row>
    <row r="292" customFormat="false" ht="15" hidden="false" customHeight="false" outlineLevel="0" collapsed="false">
      <c r="A292" s="11" t="n">
        <v>43501</v>
      </c>
      <c r="B292" s="11" t="n">
        <v>43517</v>
      </c>
      <c r="C292" s="11" t="n">
        <v>43510</v>
      </c>
      <c r="D292" s="5" t="s">
        <v>25</v>
      </c>
      <c r="E292" s="5" t="s">
        <v>13</v>
      </c>
      <c r="F292" s="5" t="s">
        <v>13</v>
      </c>
      <c r="G292" s="5" t="s">
        <v>40</v>
      </c>
      <c r="H292" s="6" t="n">
        <v>274000</v>
      </c>
    </row>
    <row r="293" customFormat="false" ht="15" hidden="false" customHeight="false" outlineLevel="0" collapsed="false">
      <c r="A293" s="11" t="n">
        <v>43502</v>
      </c>
      <c r="B293" s="11" t="n">
        <v>43517</v>
      </c>
      <c r="C293" s="11" t="n">
        <v>43510</v>
      </c>
      <c r="D293" s="5" t="s">
        <v>25</v>
      </c>
      <c r="E293" s="5" t="s">
        <v>13</v>
      </c>
      <c r="F293" s="5" t="s">
        <v>13</v>
      </c>
      <c r="G293" s="5" t="s">
        <v>40</v>
      </c>
      <c r="H293" s="6" t="n">
        <v>182000</v>
      </c>
    </row>
    <row r="294" customFormat="false" ht="15" hidden="false" customHeight="false" outlineLevel="0" collapsed="false">
      <c r="A294" s="11" t="n">
        <v>43508</v>
      </c>
      <c r="B294" s="11" t="n">
        <v>43524</v>
      </c>
      <c r="C294" s="11" t="n">
        <v>43517</v>
      </c>
      <c r="D294" s="5" t="s">
        <v>25</v>
      </c>
      <c r="E294" s="5" t="s">
        <v>13</v>
      </c>
      <c r="F294" s="5" t="s">
        <v>13</v>
      </c>
      <c r="G294" s="5" t="s">
        <v>3</v>
      </c>
      <c r="H294" s="6" t="n">
        <v>122376</v>
      </c>
    </row>
    <row r="295" customFormat="false" ht="15" hidden="false" customHeight="false" outlineLevel="0" collapsed="false">
      <c r="A295" s="11" t="n">
        <v>43511</v>
      </c>
      <c r="B295" s="11" t="n">
        <v>43531</v>
      </c>
      <c r="C295" s="11" t="n">
        <v>43524</v>
      </c>
      <c r="D295" s="5" t="s">
        <v>25</v>
      </c>
      <c r="E295" s="5" t="s">
        <v>13</v>
      </c>
      <c r="F295" s="5" t="s">
        <v>13</v>
      </c>
      <c r="G295" s="5" t="s">
        <v>3</v>
      </c>
      <c r="H295" s="6" t="n">
        <v>205744</v>
      </c>
    </row>
    <row r="296" customFormat="false" ht="15" hidden="false" customHeight="false" outlineLevel="0" collapsed="false">
      <c r="A296" s="11" t="n">
        <v>43565</v>
      </c>
      <c r="B296" s="11" t="n">
        <v>43580</v>
      </c>
      <c r="C296" s="11" t="n">
        <v>43573</v>
      </c>
      <c r="D296" s="5" t="s">
        <v>25</v>
      </c>
      <c r="E296" s="5" t="s">
        <v>13</v>
      </c>
      <c r="F296" s="5" t="s">
        <v>13</v>
      </c>
      <c r="G296" s="5" t="s">
        <v>40</v>
      </c>
      <c r="H296" s="6" t="n">
        <v>133759</v>
      </c>
    </row>
    <row r="297" customFormat="false" ht="15" hidden="false" customHeight="false" outlineLevel="0" collapsed="false">
      <c r="A297" s="11" t="n">
        <v>43570</v>
      </c>
      <c r="B297" s="11" t="n">
        <v>43587</v>
      </c>
      <c r="C297" s="11" t="n">
        <v>43580</v>
      </c>
      <c r="D297" s="5" t="s">
        <v>25</v>
      </c>
      <c r="E297" s="5" t="s">
        <v>13</v>
      </c>
      <c r="F297" s="5" t="s">
        <v>13</v>
      </c>
      <c r="G297" s="5" t="s">
        <v>40</v>
      </c>
      <c r="H297" s="6" t="n">
        <v>140000</v>
      </c>
    </row>
    <row r="298" customFormat="false" ht="15" hidden="false" customHeight="false" outlineLevel="0" collapsed="false">
      <c r="A298" s="11" t="n">
        <v>43594</v>
      </c>
      <c r="B298" s="11" t="n">
        <v>43608</v>
      </c>
      <c r="C298" s="11" t="n">
        <v>43601</v>
      </c>
      <c r="D298" s="5" t="s">
        <v>25</v>
      </c>
      <c r="E298" s="5" t="s">
        <v>13</v>
      </c>
      <c r="F298" s="5" t="s">
        <v>13</v>
      </c>
      <c r="G298" s="5" t="s">
        <v>40</v>
      </c>
      <c r="H298" s="6" t="n">
        <v>429000</v>
      </c>
    </row>
    <row r="299" customFormat="false" ht="15" hidden="false" customHeight="false" outlineLevel="0" collapsed="false">
      <c r="A299" s="11" t="n">
        <v>43594</v>
      </c>
      <c r="B299" s="11" t="n">
        <v>43608</v>
      </c>
      <c r="C299" s="11" t="n">
        <v>43601</v>
      </c>
      <c r="D299" s="5" t="s">
        <v>25</v>
      </c>
      <c r="E299" s="5" t="s">
        <v>14</v>
      </c>
      <c r="F299" s="5" t="s">
        <v>13</v>
      </c>
      <c r="G299" s="5" t="s">
        <v>40</v>
      </c>
      <c r="H299" s="6" t="n">
        <v>309000</v>
      </c>
    </row>
    <row r="300" customFormat="false" ht="15" hidden="false" customHeight="false" outlineLevel="0" collapsed="false">
      <c r="A300" s="11" t="n">
        <v>43599</v>
      </c>
      <c r="B300" s="11" t="n">
        <v>43615</v>
      </c>
      <c r="C300" s="11" t="n">
        <v>43608</v>
      </c>
      <c r="D300" s="5" t="s">
        <v>25</v>
      </c>
      <c r="E300" s="5" t="s">
        <v>13</v>
      </c>
      <c r="F300" s="5" t="s">
        <v>13</v>
      </c>
      <c r="G300" s="5" t="s">
        <v>40</v>
      </c>
      <c r="H300" s="6" t="n">
        <v>180000</v>
      </c>
    </row>
    <row r="301" customFormat="false" ht="15" hidden="false" customHeight="false" outlineLevel="0" collapsed="false">
      <c r="A301" s="11" t="n">
        <v>43607</v>
      </c>
      <c r="B301" s="11" t="n">
        <v>43622</v>
      </c>
      <c r="C301" s="11" t="n">
        <v>43615</v>
      </c>
      <c r="D301" s="5" t="s">
        <v>25</v>
      </c>
      <c r="E301" s="5" t="s">
        <v>13</v>
      </c>
      <c r="F301" s="5" t="s">
        <v>13</v>
      </c>
      <c r="G301" s="5" t="s">
        <v>40</v>
      </c>
      <c r="H301" s="6" t="n">
        <v>110000</v>
      </c>
    </row>
    <row r="302" customFormat="false" ht="15" hidden="false" customHeight="false" outlineLevel="0" collapsed="false">
      <c r="A302" s="11" t="n">
        <v>43607</v>
      </c>
      <c r="B302" s="11" t="n">
        <v>43622</v>
      </c>
      <c r="C302" s="11" t="n">
        <v>43615</v>
      </c>
      <c r="D302" s="5" t="s">
        <v>25</v>
      </c>
      <c r="E302" s="5" t="s">
        <v>14</v>
      </c>
      <c r="F302" s="5" t="s">
        <v>13</v>
      </c>
      <c r="G302" s="5" t="s">
        <v>40</v>
      </c>
      <c r="H302" s="6" t="n">
        <v>21000</v>
      </c>
    </row>
    <row r="303" customFormat="false" ht="15" hidden="false" customHeight="false" outlineLevel="0" collapsed="false">
      <c r="A303" s="11" t="n">
        <v>43630</v>
      </c>
      <c r="B303" s="11" t="n">
        <v>43650</v>
      </c>
      <c r="C303" s="11" t="n">
        <v>43643</v>
      </c>
      <c r="D303" s="5" t="s">
        <v>25</v>
      </c>
      <c r="E303" s="5" t="s">
        <v>14</v>
      </c>
      <c r="F303" s="5" t="s">
        <v>13</v>
      </c>
      <c r="G303" s="5" t="s">
        <v>3</v>
      </c>
      <c r="H303" s="6" t="n">
        <v>125613</v>
      </c>
    </row>
    <row r="304" customFormat="false" ht="15" hidden="false" customHeight="false" outlineLevel="0" collapsed="false">
      <c r="A304" s="11" t="n">
        <v>43630</v>
      </c>
      <c r="B304" s="11" t="n">
        <v>43650</v>
      </c>
      <c r="C304" s="11" t="n">
        <v>43643</v>
      </c>
      <c r="D304" s="5" t="s">
        <v>25</v>
      </c>
      <c r="E304" s="5" t="s">
        <v>13</v>
      </c>
      <c r="F304" s="5" t="s">
        <v>13</v>
      </c>
      <c r="G304" s="5" t="s">
        <v>40</v>
      </c>
      <c r="H304" s="6" t="n">
        <v>130000</v>
      </c>
    </row>
    <row r="305" customFormat="false" ht="15" hidden="false" customHeight="false" outlineLevel="0" collapsed="false">
      <c r="A305" s="11" t="n">
        <v>43636</v>
      </c>
      <c r="B305" s="11" t="n">
        <v>43650</v>
      </c>
      <c r="C305" s="11" t="n">
        <v>43643</v>
      </c>
      <c r="D305" s="5" t="s">
        <v>25</v>
      </c>
      <c r="E305" s="5" t="s">
        <v>13</v>
      </c>
      <c r="F305" s="5" t="s">
        <v>13</v>
      </c>
      <c r="G305" s="5" t="s">
        <v>40</v>
      </c>
      <c r="H305" s="6" t="n">
        <v>126000</v>
      </c>
    </row>
    <row r="306" customFormat="false" ht="15" hidden="false" customHeight="false" outlineLevel="0" collapsed="false">
      <c r="A306" s="11" t="n">
        <v>43636</v>
      </c>
      <c r="B306" s="11" t="n">
        <v>43650</v>
      </c>
      <c r="C306" s="11" t="n">
        <v>43643</v>
      </c>
      <c r="D306" s="5" t="s">
        <v>25</v>
      </c>
      <c r="E306" s="5" t="s">
        <v>14</v>
      </c>
      <c r="F306" s="5" t="s">
        <v>13</v>
      </c>
      <c r="G306" s="5" t="s">
        <v>40</v>
      </c>
      <c r="H306" s="6" t="n">
        <v>63000</v>
      </c>
    </row>
    <row r="307" customFormat="false" ht="15" hidden="false" customHeight="false" outlineLevel="0" collapsed="false">
      <c r="A307" s="11" t="n">
        <v>43642</v>
      </c>
      <c r="B307" s="11" t="n">
        <v>43657</v>
      </c>
      <c r="C307" s="11" t="n">
        <v>43650</v>
      </c>
      <c r="D307" s="5" t="s">
        <v>25</v>
      </c>
      <c r="E307" s="5" t="s">
        <v>13</v>
      </c>
      <c r="F307" s="5" t="s">
        <v>13</v>
      </c>
      <c r="G307" s="5" t="s">
        <v>40</v>
      </c>
      <c r="H307" s="6" t="n">
        <v>145000</v>
      </c>
    </row>
    <row r="308" customFormat="false" ht="15" hidden="false" customHeight="false" outlineLevel="0" collapsed="false">
      <c r="A308" s="11" t="n">
        <v>43670</v>
      </c>
      <c r="B308" s="11" t="n">
        <v>43685</v>
      </c>
      <c r="C308" s="11" t="n">
        <v>43678</v>
      </c>
      <c r="D308" s="5" t="s">
        <v>25</v>
      </c>
      <c r="E308" s="5" t="s">
        <v>13</v>
      </c>
      <c r="F308" s="5" t="s">
        <v>13</v>
      </c>
      <c r="G308" s="5" t="s">
        <v>40</v>
      </c>
      <c r="H308" s="6" t="n">
        <v>100000</v>
      </c>
    </row>
    <row r="309" customFormat="false" ht="15" hidden="false" customHeight="false" outlineLevel="0" collapsed="false">
      <c r="A309" s="11" t="n">
        <v>43677</v>
      </c>
      <c r="B309" s="11" t="n">
        <v>43692</v>
      </c>
      <c r="C309" s="11" t="n">
        <v>43685</v>
      </c>
      <c r="D309" s="5" t="s">
        <v>25</v>
      </c>
      <c r="E309" s="5" t="s">
        <v>13</v>
      </c>
      <c r="F309" s="5" t="s">
        <v>13</v>
      </c>
      <c r="G309" s="5" t="s">
        <v>40</v>
      </c>
      <c r="H309" s="6" t="n">
        <v>500</v>
      </c>
    </row>
    <row r="310" customFormat="false" ht="15" hidden="false" customHeight="false" outlineLevel="0" collapsed="false">
      <c r="A310" s="11" t="n">
        <v>43677</v>
      </c>
      <c r="B310" s="11" t="n">
        <v>43692</v>
      </c>
      <c r="C310" s="11" t="n">
        <v>43685</v>
      </c>
      <c r="D310" s="5" t="s">
        <v>25</v>
      </c>
      <c r="E310" s="5" t="s">
        <v>14</v>
      </c>
      <c r="F310" s="5" t="s">
        <v>13</v>
      </c>
      <c r="G310" s="5" t="s">
        <v>40</v>
      </c>
      <c r="H310" s="6" t="n">
        <v>104000</v>
      </c>
    </row>
    <row r="311" customFormat="false" ht="15" hidden="false" customHeight="false" outlineLevel="0" collapsed="false">
      <c r="A311" s="11" t="n">
        <v>43684</v>
      </c>
      <c r="B311" s="11" t="n">
        <v>43699</v>
      </c>
      <c r="C311" s="11" t="n">
        <v>43692</v>
      </c>
      <c r="D311" s="5" t="s">
        <v>25</v>
      </c>
      <c r="E311" s="5" t="s">
        <v>14</v>
      </c>
      <c r="F311" s="5" t="s">
        <v>13</v>
      </c>
      <c r="G311" s="5" t="s">
        <v>40</v>
      </c>
      <c r="H311" s="6" t="n">
        <v>165000</v>
      </c>
    </row>
    <row r="312" customFormat="false" ht="15" hidden="false" customHeight="false" outlineLevel="0" collapsed="false">
      <c r="A312" s="11" t="n">
        <v>43693</v>
      </c>
      <c r="B312" s="11" t="n">
        <v>43713</v>
      </c>
      <c r="C312" s="11" t="n">
        <v>43706</v>
      </c>
      <c r="D312" s="5" t="s">
        <v>25</v>
      </c>
      <c r="E312" s="5" t="s">
        <v>14</v>
      </c>
      <c r="F312" s="5" t="s">
        <v>13</v>
      </c>
      <c r="G312" s="5" t="s">
        <v>40</v>
      </c>
      <c r="H312" s="6" t="n">
        <v>296500</v>
      </c>
    </row>
    <row r="313" customFormat="false" ht="15" hidden="false" customHeight="false" outlineLevel="0" collapsed="false">
      <c r="A313" s="11" t="n">
        <v>43745</v>
      </c>
      <c r="B313" s="11" t="n">
        <v>43762</v>
      </c>
      <c r="C313" s="11" t="n">
        <v>43755</v>
      </c>
      <c r="D313" s="5" t="s">
        <v>25</v>
      </c>
      <c r="E313" s="5" t="s">
        <v>14</v>
      </c>
      <c r="F313" s="5" t="s">
        <v>14</v>
      </c>
      <c r="G313" s="5" t="s">
        <v>40</v>
      </c>
      <c r="H313" s="6" t="n">
        <v>240000</v>
      </c>
    </row>
    <row r="314" customFormat="false" ht="15" hidden="false" customHeight="false" outlineLevel="0" collapsed="false">
      <c r="A314" s="11" t="n">
        <v>43753</v>
      </c>
      <c r="B314" s="11" t="n">
        <v>43769</v>
      </c>
      <c r="C314" s="11" t="n">
        <v>43762</v>
      </c>
      <c r="D314" s="5" t="s">
        <v>25</v>
      </c>
      <c r="E314" s="5" t="s">
        <v>14</v>
      </c>
      <c r="F314" s="5" t="s">
        <v>14</v>
      </c>
      <c r="G314" s="5" t="s">
        <v>40</v>
      </c>
      <c r="H314" s="6" t="n">
        <v>142579</v>
      </c>
    </row>
    <row r="315" customFormat="false" ht="15" hidden="false" customHeight="false" outlineLevel="0" collapsed="false">
      <c r="A315" s="11" t="n">
        <v>43761</v>
      </c>
      <c r="B315" s="11" t="n">
        <v>43776</v>
      </c>
      <c r="C315" s="11" t="n">
        <v>43769</v>
      </c>
      <c r="D315" s="5" t="s">
        <v>25</v>
      </c>
      <c r="E315" s="5" t="s">
        <v>14</v>
      </c>
      <c r="F315" s="5" t="s">
        <v>14</v>
      </c>
      <c r="G315" s="5" t="s">
        <v>40</v>
      </c>
      <c r="H315" s="6" t="n">
        <v>128000</v>
      </c>
    </row>
    <row r="316" customFormat="false" ht="15" hidden="false" customHeight="false" outlineLevel="0" collapsed="false">
      <c r="A316" s="11" t="n">
        <v>43768</v>
      </c>
      <c r="B316" s="11" t="n">
        <v>43783</v>
      </c>
      <c r="C316" s="11" t="n">
        <v>43776</v>
      </c>
      <c r="D316" s="5" t="s">
        <v>25</v>
      </c>
      <c r="E316" s="5" t="s">
        <v>14</v>
      </c>
      <c r="F316" s="5" t="s">
        <v>14</v>
      </c>
      <c r="G316" s="5" t="s">
        <v>40</v>
      </c>
      <c r="H316" s="6" t="n">
        <v>132000</v>
      </c>
    </row>
    <row r="317" customFormat="false" ht="15" hidden="false" customHeight="false" outlineLevel="0" collapsed="false">
      <c r="A317" s="11" t="n">
        <v>43777</v>
      </c>
      <c r="B317" s="11" t="n">
        <v>43797</v>
      </c>
      <c r="C317" s="11" t="n">
        <v>43790</v>
      </c>
      <c r="D317" s="5" t="s">
        <v>25</v>
      </c>
      <c r="E317" s="5" t="s">
        <v>14</v>
      </c>
      <c r="F317" s="5" t="s">
        <v>14</v>
      </c>
      <c r="G317" s="5" t="s">
        <v>3</v>
      </c>
      <c r="H317" s="6" t="n">
        <v>217040</v>
      </c>
    </row>
    <row r="318" customFormat="false" ht="15" hidden="false" customHeight="false" outlineLevel="0" collapsed="false">
      <c r="A318" s="11" t="n">
        <v>43777</v>
      </c>
      <c r="B318" s="11" t="n">
        <v>43797</v>
      </c>
      <c r="C318" s="11" t="n">
        <v>43790</v>
      </c>
      <c r="D318" s="5" t="s">
        <v>25</v>
      </c>
      <c r="E318" s="5" t="s">
        <v>14</v>
      </c>
      <c r="F318" s="5" t="s">
        <v>14</v>
      </c>
      <c r="G318" s="5" t="s">
        <v>40</v>
      </c>
      <c r="H318" s="6" t="n">
        <v>270000</v>
      </c>
    </row>
    <row r="319" customFormat="false" ht="15" hidden="false" customHeight="false" outlineLevel="0" collapsed="false">
      <c r="A319" s="11" t="n">
        <v>43782</v>
      </c>
      <c r="B319" s="11" t="n">
        <v>43797</v>
      </c>
      <c r="C319" s="11" t="n">
        <v>43790</v>
      </c>
      <c r="D319" s="5" t="s">
        <v>25</v>
      </c>
      <c r="E319" s="5" t="s">
        <v>14</v>
      </c>
      <c r="F319" s="5" t="s">
        <v>14</v>
      </c>
      <c r="G319" s="5" t="s">
        <v>40</v>
      </c>
      <c r="H319" s="6" t="n">
        <v>106000</v>
      </c>
    </row>
    <row r="320" customFormat="false" ht="15" hidden="false" customHeight="false" outlineLevel="0" collapsed="false">
      <c r="A320" s="11" t="n">
        <v>43787</v>
      </c>
      <c r="B320" s="11" t="n">
        <v>43804</v>
      </c>
      <c r="C320" s="11" t="n">
        <v>43797</v>
      </c>
      <c r="D320" s="5" t="s">
        <v>25</v>
      </c>
      <c r="E320" s="5" t="s">
        <v>14</v>
      </c>
      <c r="F320" s="5" t="s">
        <v>14</v>
      </c>
      <c r="G320" s="5" t="s">
        <v>3</v>
      </c>
      <c r="H320" s="6" t="n">
        <v>132000</v>
      </c>
    </row>
    <row r="321" customFormat="false" ht="15" hidden="false" customHeight="false" outlineLevel="0" collapsed="false">
      <c r="A321" s="11" t="n">
        <v>43788</v>
      </c>
      <c r="B321" s="11" t="n">
        <v>43804</v>
      </c>
      <c r="C321" s="11" t="n">
        <v>43797</v>
      </c>
      <c r="D321" s="5" t="s">
        <v>25</v>
      </c>
      <c r="E321" s="5" t="s">
        <v>14</v>
      </c>
      <c r="F321" s="5" t="s">
        <v>14</v>
      </c>
      <c r="G321" s="5" t="s">
        <v>3</v>
      </c>
      <c r="H321" s="6" t="n">
        <v>191000</v>
      </c>
    </row>
    <row r="322" customFormat="false" ht="15" hidden="false" customHeight="false" outlineLevel="0" collapsed="false">
      <c r="A322" s="11" t="n">
        <v>43790</v>
      </c>
      <c r="B322" s="11" t="n">
        <v>43804</v>
      </c>
      <c r="C322" s="11" t="n">
        <v>43797</v>
      </c>
      <c r="D322" s="5" t="s">
        <v>25</v>
      </c>
      <c r="E322" s="5" t="s">
        <v>14</v>
      </c>
      <c r="F322" s="5" t="s">
        <v>14</v>
      </c>
      <c r="G322" s="5" t="s">
        <v>3</v>
      </c>
      <c r="H322" s="6" t="n">
        <v>106000</v>
      </c>
    </row>
    <row r="323" customFormat="false" ht="15" hidden="false" customHeight="false" outlineLevel="0" collapsed="false">
      <c r="A323" s="11" t="n">
        <v>43794</v>
      </c>
      <c r="B323" s="11" t="n">
        <v>43811</v>
      </c>
      <c r="C323" s="11" t="n">
        <v>43804</v>
      </c>
      <c r="D323" s="5" t="s">
        <v>25</v>
      </c>
      <c r="E323" s="5" t="s">
        <v>14</v>
      </c>
      <c r="F323" s="5" t="s">
        <v>14</v>
      </c>
      <c r="G323" s="5" t="s">
        <v>40</v>
      </c>
      <c r="H323" s="6" t="n">
        <v>323000</v>
      </c>
    </row>
    <row r="324" customFormat="false" ht="15" hidden="false" customHeight="false" outlineLevel="0" collapsed="false">
      <c r="A324" s="11" t="n">
        <v>43804</v>
      </c>
      <c r="B324" s="11" t="n">
        <v>43818</v>
      </c>
      <c r="C324" s="11" t="n">
        <v>43811</v>
      </c>
      <c r="D324" s="5" t="s">
        <v>25</v>
      </c>
      <c r="E324" s="5" t="s">
        <v>14</v>
      </c>
      <c r="F324" s="5" t="s">
        <v>14</v>
      </c>
      <c r="G324" s="5" t="s">
        <v>40</v>
      </c>
      <c r="H324" s="6" t="n">
        <v>120000</v>
      </c>
    </row>
    <row r="325" customFormat="false" ht="15" hidden="false" customHeight="false" outlineLevel="0" collapsed="false">
      <c r="A325" s="11" t="n">
        <v>43804</v>
      </c>
      <c r="B325" s="11" t="n">
        <v>43818</v>
      </c>
      <c r="C325" s="11" t="n">
        <v>43811</v>
      </c>
      <c r="D325" s="5" t="s">
        <v>25</v>
      </c>
      <c r="E325" s="5" t="s">
        <v>15</v>
      </c>
      <c r="F325" s="5" t="s">
        <v>14</v>
      </c>
      <c r="G325" s="5" t="s">
        <v>40</v>
      </c>
      <c r="H325" s="6" t="n">
        <v>125000</v>
      </c>
    </row>
    <row r="326" customFormat="false" ht="15" hidden="false" customHeight="false" outlineLevel="0" collapsed="false">
      <c r="A326" s="11" t="n">
        <v>43810</v>
      </c>
      <c r="B326" s="11" t="n">
        <v>43825</v>
      </c>
      <c r="C326" s="11" t="n">
        <v>43818</v>
      </c>
      <c r="D326" s="5" t="s">
        <v>25</v>
      </c>
      <c r="E326" s="5" t="s">
        <v>14</v>
      </c>
      <c r="F326" s="5" t="s">
        <v>14</v>
      </c>
      <c r="G326" s="5" t="s">
        <v>40</v>
      </c>
      <c r="H326" s="6" t="n">
        <v>140000</v>
      </c>
    </row>
    <row r="327" customFormat="false" ht="15" hidden="false" customHeight="false" outlineLevel="0" collapsed="false">
      <c r="A327" s="11" t="n">
        <v>43811</v>
      </c>
      <c r="B327" s="11" t="n">
        <v>43825</v>
      </c>
      <c r="C327" s="11" t="n">
        <v>43818</v>
      </c>
      <c r="D327" s="5" t="s">
        <v>25</v>
      </c>
      <c r="E327" s="5" t="s">
        <v>14</v>
      </c>
      <c r="F327" s="5" t="s">
        <v>14</v>
      </c>
      <c r="G327" s="5" t="s">
        <v>3</v>
      </c>
      <c r="H327" s="6" t="n">
        <v>110744</v>
      </c>
    </row>
    <row r="328" customFormat="false" ht="15" hidden="false" customHeight="false" outlineLevel="0" collapsed="false">
      <c r="A328" s="11" t="n">
        <v>43838</v>
      </c>
      <c r="B328" s="11" t="n">
        <v>43853</v>
      </c>
      <c r="C328" s="11" t="n">
        <v>43846</v>
      </c>
      <c r="D328" s="5" t="s">
        <v>25</v>
      </c>
      <c r="E328" s="5" t="s">
        <v>15</v>
      </c>
      <c r="F328" s="5" t="s">
        <v>14</v>
      </c>
      <c r="G328" s="5" t="s">
        <v>3</v>
      </c>
      <c r="H328" s="6" t="n">
        <v>207000</v>
      </c>
    </row>
    <row r="329" customFormat="false" ht="15" hidden="false" customHeight="false" outlineLevel="0" collapsed="false">
      <c r="A329" s="11" t="n">
        <v>43844</v>
      </c>
      <c r="B329" s="11" t="n">
        <v>43860</v>
      </c>
      <c r="C329" s="11" t="n">
        <v>43853</v>
      </c>
      <c r="D329" s="5" t="s">
        <v>25</v>
      </c>
      <c r="E329" s="5" t="s">
        <v>15</v>
      </c>
      <c r="F329" s="5" t="s">
        <v>14</v>
      </c>
      <c r="G329" s="5" t="s">
        <v>40</v>
      </c>
      <c r="H329" s="6" t="n">
        <v>120000</v>
      </c>
    </row>
    <row r="330" customFormat="false" ht="15" hidden="false" customHeight="false" outlineLevel="0" collapsed="false">
      <c r="A330" s="11" t="n">
        <v>43853</v>
      </c>
      <c r="B330" s="11" t="n">
        <v>43867</v>
      </c>
      <c r="C330" s="11" t="n">
        <v>43860</v>
      </c>
      <c r="D330" s="5" t="s">
        <v>25</v>
      </c>
      <c r="E330" s="5" t="s">
        <v>14</v>
      </c>
      <c r="F330" s="5" t="s">
        <v>14</v>
      </c>
      <c r="G330" s="5" t="s">
        <v>3</v>
      </c>
      <c r="H330" s="6" t="n">
        <v>141000</v>
      </c>
    </row>
    <row r="331" customFormat="false" ht="15" hidden="false" customHeight="false" outlineLevel="0" collapsed="false">
      <c r="A331" s="11" t="n">
        <v>43854</v>
      </c>
      <c r="B331" s="11" t="n">
        <v>43874</v>
      </c>
      <c r="C331" s="11" t="n">
        <v>43867</v>
      </c>
      <c r="D331" s="5" t="s">
        <v>25</v>
      </c>
      <c r="E331" s="5" t="s">
        <v>14</v>
      </c>
      <c r="F331" s="5" t="s">
        <v>14</v>
      </c>
      <c r="G331" s="5" t="s">
        <v>3</v>
      </c>
      <c r="H331" s="6" t="n">
        <v>142428</v>
      </c>
    </row>
    <row r="332" customFormat="false" ht="15" hidden="false" customHeight="false" outlineLevel="0" collapsed="false">
      <c r="A332" s="11" t="n">
        <v>43896</v>
      </c>
      <c r="B332" s="11" t="n">
        <v>43916</v>
      </c>
      <c r="C332" s="11" t="n">
        <v>43909</v>
      </c>
      <c r="D332" s="5" t="s">
        <v>25</v>
      </c>
      <c r="E332" s="5" t="s">
        <v>14</v>
      </c>
      <c r="F332" s="5" t="s">
        <v>14</v>
      </c>
      <c r="G332" s="5" t="s">
        <v>3</v>
      </c>
      <c r="H332" s="6" t="n">
        <v>211336</v>
      </c>
    </row>
    <row r="333" customFormat="false" ht="15" hidden="false" customHeight="false" outlineLevel="0" collapsed="false">
      <c r="A333" s="11" t="n">
        <v>43899</v>
      </c>
      <c r="B333" s="11" t="n">
        <v>43916</v>
      </c>
      <c r="C333" s="11" t="n">
        <v>43909</v>
      </c>
      <c r="D333" s="5" t="s">
        <v>25</v>
      </c>
      <c r="E333" s="5" t="s">
        <v>14</v>
      </c>
      <c r="F333" s="5" t="s">
        <v>14</v>
      </c>
      <c r="G333" s="5" t="s">
        <v>40</v>
      </c>
      <c r="H333" s="6" t="n">
        <v>123500</v>
      </c>
    </row>
    <row r="334" customFormat="false" ht="15" hidden="false" customHeight="false" outlineLevel="0" collapsed="false">
      <c r="A334" s="11" t="n">
        <v>43900</v>
      </c>
      <c r="B334" s="11" t="n">
        <v>43916</v>
      </c>
      <c r="C334" s="11" t="n">
        <v>43909</v>
      </c>
      <c r="D334" s="5" t="s">
        <v>25</v>
      </c>
      <c r="E334" s="5" t="s">
        <v>14</v>
      </c>
      <c r="F334" s="5" t="s">
        <v>14</v>
      </c>
      <c r="G334" s="5" t="s">
        <v>40</v>
      </c>
      <c r="H334" s="6" t="n">
        <v>123000</v>
      </c>
    </row>
    <row r="335" customFormat="false" ht="15" hidden="false" customHeight="false" outlineLevel="0" collapsed="false">
      <c r="A335" s="11" t="n">
        <v>43901</v>
      </c>
      <c r="B335" s="11" t="n">
        <v>43916</v>
      </c>
      <c r="C335" s="11" t="n">
        <v>43909</v>
      </c>
      <c r="D335" s="5" t="s">
        <v>25</v>
      </c>
      <c r="E335" s="5" t="s">
        <v>14</v>
      </c>
      <c r="F335" s="5" t="s">
        <v>14</v>
      </c>
      <c r="G335" s="5" t="s">
        <v>40</v>
      </c>
      <c r="H335" s="6" t="n">
        <v>126000</v>
      </c>
    </row>
    <row r="336" customFormat="false" ht="15" hidden="false" customHeight="false" outlineLevel="0" collapsed="false">
      <c r="A336" s="11" t="n">
        <v>43901</v>
      </c>
      <c r="B336" s="11" t="n">
        <v>43916</v>
      </c>
      <c r="C336" s="11" t="n">
        <v>43909</v>
      </c>
      <c r="D336" s="5" t="s">
        <v>25</v>
      </c>
      <c r="E336" s="5" t="s">
        <v>15</v>
      </c>
      <c r="F336" s="5" t="s">
        <v>14</v>
      </c>
      <c r="G336" s="5" t="s">
        <v>40</v>
      </c>
      <c r="H336" s="6" t="n">
        <v>68000</v>
      </c>
    </row>
    <row r="337" customFormat="false" ht="15" hidden="false" customHeight="false" outlineLevel="0" collapsed="false">
      <c r="A337" s="11" t="n">
        <v>43910</v>
      </c>
      <c r="B337" s="11" t="n">
        <v>43930</v>
      </c>
      <c r="C337" s="11" t="n">
        <v>43923</v>
      </c>
      <c r="D337" s="5" t="s">
        <v>25</v>
      </c>
      <c r="E337" s="5" t="s">
        <v>14</v>
      </c>
      <c r="F337" s="5" t="s">
        <v>14</v>
      </c>
      <c r="G337" s="5" t="s">
        <v>40</v>
      </c>
      <c r="H337" s="6" t="n">
        <v>110000</v>
      </c>
    </row>
    <row r="338" customFormat="false" ht="15" hidden="false" customHeight="false" outlineLevel="0" collapsed="false">
      <c r="A338" s="11" t="n">
        <v>43915</v>
      </c>
      <c r="B338" s="11" t="n">
        <v>43930</v>
      </c>
      <c r="C338" s="11" t="n">
        <v>43923</v>
      </c>
      <c r="D338" s="5" t="s">
        <v>25</v>
      </c>
      <c r="E338" s="5" t="s">
        <v>14</v>
      </c>
      <c r="F338" s="5" t="s">
        <v>14</v>
      </c>
      <c r="G338" s="5" t="s">
        <v>3</v>
      </c>
      <c r="H338" s="6" t="n">
        <v>138000</v>
      </c>
    </row>
    <row r="339" customFormat="false" ht="15" hidden="false" customHeight="false" outlineLevel="0" collapsed="false">
      <c r="A339" s="11" t="n">
        <v>43917</v>
      </c>
      <c r="B339" s="11" t="n">
        <v>43937</v>
      </c>
      <c r="C339" s="11" t="n">
        <v>43930</v>
      </c>
      <c r="D339" s="5" t="s">
        <v>25</v>
      </c>
      <c r="E339" s="5" t="s">
        <v>14</v>
      </c>
      <c r="F339" s="5" t="s">
        <v>14</v>
      </c>
      <c r="G339" s="5" t="s">
        <v>3</v>
      </c>
      <c r="H339" s="6" t="n">
        <v>114048</v>
      </c>
    </row>
    <row r="340" customFormat="false" ht="15" hidden="false" customHeight="false" outlineLevel="0" collapsed="false">
      <c r="A340" s="11" t="n">
        <v>43931</v>
      </c>
      <c r="B340" s="11" t="n">
        <v>43951</v>
      </c>
      <c r="C340" s="11" t="n">
        <v>43944</v>
      </c>
      <c r="D340" s="5" t="s">
        <v>25</v>
      </c>
      <c r="E340" s="5" t="s">
        <v>14</v>
      </c>
      <c r="F340" s="5" t="s">
        <v>14</v>
      </c>
      <c r="G340" s="5" t="s">
        <v>40</v>
      </c>
      <c r="H340" s="6" t="n">
        <v>60000</v>
      </c>
    </row>
    <row r="341" customFormat="false" ht="15" hidden="false" customHeight="false" outlineLevel="0" collapsed="false">
      <c r="A341" s="11" t="n">
        <v>43931</v>
      </c>
      <c r="B341" s="11" t="n">
        <v>43951</v>
      </c>
      <c r="C341" s="11" t="n">
        <v>43944</v>
      </c>
      <c r="D341" s="5" t="s">
        <v>25</v>
      </c>
      <c r="E341" s="5" t="s">
        <v>15</v>
      </c>
      <c r="F341" s="5" t="s">
        <v>14</v>
      </c>
      <c r="G341" s="5" t="s">
        <v>40</v>
      </c>
      <c r="H341" s="6" t="n">
        <v>60000</v>
      </c>
    </row>
    <row r="342" customFormat="false" ht="15" hidden="false" customHeight="false" outlineLevel="0" collapsed="false">
      <c r="A342" s="11" t="n">
        <v>43938</v>
      </c>
      <c r="B342" s="11" t="n">
        <v>43958</v>
      </c>
      <c r="C342" s="11" t="n">
        <v>43951</v>
      </c>
      <c r="D342" s="5" t="s">
        <v>25</v>
      </c>
      <c r="E342" s="5" t="s">
        <v>14</v>
      </c>
      <c r="F342" s="5" t="s">
        <v>14</v>
      </c>
      <c r="G342" s="5" t="s">
        <v>40</v>
      </c>
      <c r="H342" s="6" t="n">
        <v>120000</v>
      </c>
    </row>
    <row r="343" customFormat="false" ht="15" hidden="false" customHeight="false" outlineLevel="0" collapsed="false">
      <c r="A343" s="11" t="n">
        <v>43955</v>
      </c>
      <c r="B343" s="11" t="n">
        <v>43972</v>
      </c>
      <c r="C343" s="11" t="n">
        <v>43965</v>
      </c>
      <c r="D343" s="5" t="s">
        <v>25</v>
      </c>
      <c r="E343" s="5" t="s">
        <v>14</v>
      </c>
      <c r="F343" s="5" t="s">
        <v>14</v>
      </c>
      <c r="G343" s="5" t="s">
        <v>3</v>
      </c>
      <c r="H343" s="6" t="n">
        <v>115800</v>
      </c>
    </row>
    <row r="344" customFormat="false" ht="15" hidden="false" customHeight="false" outlineLevel="0" collapsed="false">
      <c r="A344" s="11" t="n">
        <v>43959</v>
      </c>
      <c r="B344" s="11" t="n">
        <v>43979</v>
      </c>
      <c r="C344" s="11" t="n">
        <v>43972</v>
      </c>
      <c r="D344" s="5" t="s">
        <v>25</v>
      </c>
      <c r="E344" s="5" t="s">
        <v>14</v>
      </c>
      <c r="F344" s="5" t="s">
        <v>14</v>
      </c>
      <c r="G344" s="5" t="s">
        <v>40</v>
      </c>
      <c r="H344" s="6" t="n">
        <v>120000</v>
      </c>
    </row>
    <row r="345" customFormat="false" ht="15" hidden="false" customHeight="false" outlineLevel="0" collapsed="false">
      <c r="A345" s="11" t="n">
        <v>43980</v>
      </c>
      <c r="B345" s="11" t="n">
        <v>44000</v>
      </c>
      <c r="C345" s="11" t="n">
        <v>43993</v>
      </c>
      <c r="D345" s="5" t="s">
        <v>25</v>
      </c>
      <c r="E345" s="5" t="s">
        <v>14</v>
      </c>
      <c r="F345" s="5" t="s">
        <v>14</v>
      </c>
      <c r="G345" s="5" t="s">
        <v>3</v>
      </c>
      <c r="H345" s="6" t="n">
        <v>101600</v>
      </c>
    </row>
    <row r="346" customFormat="false" ht="15" hidden="false" customHeight="false" outlineLevel="0" collapsed="false">
      <c r="A346" s="11" t="n">
        <v>43985</v>
      </c>
      <c r="B346" s="11" t="n">
        <v>44000</v>
      </c>
      <c r="C346" s="11" t="n">
        <v>43993</v>
      </c>
      <c r="D346" s="5" t="s">
        <v>25</v>
      </c>
      <c r="E346" s="5" t="s">
        <v>14</v>
      </c>
      <c r="F346" s="5" t="s">
        <v>14</v>
      </c>
      <c r="G346" s="5" t="s">
        <v>40</v>
      </c>
      <c r="H346" s="6" t="n">
        <v>66000</v>
      </c>
    </row>
    <row r="347" customFormat="false" ht="15" hidden="false" customHeight="false" outlineLevel="0" collapsed="false">
      <c r="A347" s="11" t="n">
        <v>43985</v>
      </c>
      <c r="B347" s="11" t="n">
        <v>44000</v>
      </c>
      <c r="C347" s="11" t="n">
        <v>43993</v>
      </c>
      <c r="D347" s="5" t="s">
        <v>25</v>
      </c>
      <c r="E347" s="5" t="s">
        <v>15</v>
      </c>
      <c r="F347" s="5" t="s">
        <v>14</v>
      </c>
      <c r="G347" s="5" t="s">
        <v>40</v>
      </c>
      <c r="H347" s="6" t="n">
        <v>120000</v>
      </c>
    </row>
    <row r="348" customFormat="false" ht="15" hidden="false" customHeight="false" outlineLevel="0" collapsed="false">
      <c r="A348" s="11" t="n">
        <v>43986</v>
      </c>
      <c r="B348" s="11" t="n">
        <v>44000</v>
      </c>
      <c r="C348" s="11" t="n">
        <v>43993</v>
      </c>
      <c r="D348" s="5" t="s">
        <v>25</v>
      </c>
      <c r="E348" s="5" t="s">
        <v>14</v>
      </c>
      <c r="F348" s="5" t="s">
        <v>14</v>
      </c>
      <c r="G348" s="5" t="s">
        <v>40</v>
      </c>
      <c r="H348" s="6" t="n">
        <v>60000</v>
      </c>
    </row>
    <row r="349" customFormat="false" ht="15" hidden="false" customHeight="false" outlineLevel="0" collapsed="false">
      <c r="A349" s="11" t="n">
        <v>43986</v>
      </c>
      <c r="B349" s="11" t="n">
        <v>44000</v>
      </c>
      <c r="C349" s="11" t="n">
        <v>43993</v>
      </c>
      <c r="D349" s="5" t="s">
        <v>25</v>
      </c>
      <c r="E349" s="5" t="s">
        <v>15</v>
      </c>
      <c r="F349" s="5" t="s">
        <v>14</v>
      </c>
      <c r="G349" s="5" t="s">
        <v>40</v>
      </c>
      <c r="H349" s="6" t="n">
        <v>60000</v>
      </c>
    </row>
    <row r="350" customFormat="false" ht="15" hidden="false" customHeight="false" outlineLevel="0" collapsed="false">
      <c r="A350" s="11" t="n">
        <v>43987</v>
      </c>
      <c r="B350" s="11" t="n">
        <v>44007</v>
      </c>
      <c r="C350" s="11" t="n">
        <v>44000</v>
      </c>
      <c r="D350" s="5" t="s">
        <v>25</v>
      </c>
      <c r="E350" s="5" t="s">
        <v>14</v>
      </c>
      <c r="F350" s="5" t="s">
        <v>14</v>
      </c>
      <c r="G350" s="5" t="s">
        <v>40</v>
      </c>
      <c r="H350" s="6" t="n">
        <v>256000</v>
      </c>
    </row>
    <row r="351" customFormat="false" ht="15" hidden="false" customHeight="false" outlineLevel="0" collapsed="false">
      <c r="A351" s="11" t="n">
        <v>43987</v>
      </c>
      <c r="B351" s="11" t="n">
        <v>44007</v>
      </c>
      <c r="C351" s="11" t="n">
        <v>44000</v>
      </c>
      <c r="D351" s="5" t="s">
        <v>25</v>
      </c>
      <c r="E351" s="5" t="s">
        <v>15</v>
      </c>
      <c r="F351" s="5" t="s">
        <v>14</v>
      </c>
      <c r="G351" s="5" t="s">
        <v>40</v>
      </c>
      <c r="H351" s="6" t="n">
        <v>332000</v>
      </c>
    </row>
    <row r="352" customFormat="false" ht="15" hidden="false" customHeight="false" outlineLevel="0" collapsed="false">
      <c r="A352" s="11" t="n">
        <v>43994</v>
      </c>
      <c r="B352" s="11" t="n">
        <v>44014</v>
      </c>
      <c r="C352" s="11" t="n">
        <v>44007</v>
      </c>
      <c r="D352" s="5" t="s">
        <v>25</v>
      </c>
      <c r="E352" s="5" t="s">
        <v>15</v>
      </c>
      <c r="F352" s="5" t="s">
        <v>14</v>
      </c>
      <c r="G352" s="5" t="s">
        <v>40</v>
      </c>
      <c r="H352" s="6" t="n">
        <v>120000</v>
      </c>
    </row>
    <row r="353" customFormat="false" ht="15" hidden="false" customHeight="false" outlineLevel="0" collapsed="false">
      <c r="A353" s="11" t="n">
        <v>44028</v>
      </c>
      <c r="B353" s="11" t="n">
        <v>44042</v>
      </c>
      <c r="C353" s="11" t="n">
        <v>44035</v>
      </c>
      <c r="D353" s="5" t="s">
        <v>25</v>
      </c>
      <c r="E353" s="5" t="s">
        <v>14</v>
      </c>
      <c r="F353" s="5" t="s">
        <v>14</v>
      </c>
      <c r="G353" s="5" t="s">
        <v>40</v>
      </c>
      <c r="H353" s="6" t="n">
        <v>65000</v>
      </c>
    </row>
    <row r="354" customFormat="false" ht="15" hidden="false" customHeight="false" outlineLevel="0" collapsed="false">
      <c r="A354" s="11" t="n">
        <v>44028</v>
      </c>
      <c r="B354" s="11" t="n">
        <v>44042</v>
      </c>
      <c r="C354" s="11" t="n">
        <v>44035</v>
      </c>
      <c r="D354" s="5" t="s">
        <v>25</v>
      </c>
      <c r="E354" s="5" t="s">
        <v>15</v>
      </c>
      <c r="F354" s="5" t="s">
        <v>14</v>
      </c>
      <c r="G354" s="5" t="s">
        <v>40</v>
      </c>
      <c r="H354" s="6" t="n">
        <v>286000</v>
      </c>
    </row>
    <row r="355" customFormat="false" ht="15" hidden="false" customHeight="false" outlineLevel="0" collapsed="false">
      <c r="A355" s="11" t="n">
        <v>44029</v>
      </c>
      <c r="B355" s="11" t="n">
        <v>44049</v>
      </c>
      <c r="C355" s="11" t="n">
        <v>44042</v>
      </c>
      <c r="D355" s="5" t="s">
        <v>25</v>
      </c>
      <c r="E355" s="5" t="s">
        <v>15</v>
      </c>
      <c r="F355" s="5" t="s">
        <v>14</v>
      </c>
      <c r="G355" s="5" t="s">
        <v>40</v>
      </c>
      <c r="H355" s="6" t="n">
        <v>126000</v>
      </c>
    </row>
    <row r="356" customFormat="false" ht="15" hidden="false" customHeight="false" outlineLevel="0" collapsed="false">
      <c r="A356" s="11" t="n">
        <v>44033</v>
      </c>
      <c r="B356" s="11" t="n">
        <v>44049</v>
      </c>
      <c r="C356" s="11" t="n">
        <v>44042</v>
      </c>
      <c r="D356" s="5" t="s">
        <v>25</v>
      </c>
      <c r="E356" s="5" t="s">
        <v>14</v>
      </c>
      <c r="F356" s="5" t="s">
        <v>14</v>
      </c>
      <c r="G356" s="5" t="s">
        <v>3</v>
      </c>
      <c r="H356" s="6" t="n">
        <v>25400</v>
      </c>
    </row>
    <row r="357" customFormat="false" ht="15" hidden="false" customHeight="false" outlineLevel="0" collapsed="false">
      <c r="A357" s="11" t="n">
        <v>44033</v>
      </c>
      <c r="B357" s="11" t="n">
        <v>44049</v>
      </c>
      <c r="C357" s="11" t="n">
        <v>44042</v>
      </c>
      <c r="D357" s="5" t="s">
        <v>25</v>
      </c>
      <c r="E357" s="5" t="s">
        <v>15</v>
      </c>
      <c r="F357" s="5" t="s">
        <v>14</v>
      </c>
      <c r="G357" s="5" t="s">
        <v>3</v>
      </c>
      <c r="H357" s="6" t="n">
        <v>182480</v>
      </c>
    </row>
    <row r="358" customFormat="false" ht="15" hidden="false" customHeight="false" outlineLevel="0" collapsed="false">
      <c r="A358" s="11" t="n">
        <v>44033</v>
      </c>
      <c r="B358" s="11" t="n">
        <v>44049</v>
      </c>
      <c r="C358" s="11" t="n">
        <v>44042</v>
      </c>
      <c r="D358" s="5" t="s">
        <v>25</v>
      </c>
      <c r="E358" s="5" t="s">
        <v>15</v>
      </c>
      <c r="F358" s="5" t="s">
        <v>14</v>
      </c>
      <c r="G358" s="5" t="s">
        <v>40</v>
      </c>
      <c r="H358" s="6" t="n">
        <v>180000</v>
      </c>
    </row>
    <row r="359" customFormat="false" ht="15" hidden="false" customHeight="false" outlineLevel="0" collapsed="false">
      <c r="A359" s="11" t="n">
        <v>44034</v>
      </c>
      <c r="B359" s="11" t="n">
        <v>44049</v>
      </c>
      <c r="C359" s="11" t="n">
        <v>44042</v>
      </c>
      <c r="D359" s="5" t="s">
        <v>25</v>
      </c>
      <c r="E359" s="5" t="s">
        <v>15</v>
      </c>
      <c r="F359" s="5" t="s">
        <v>14</v>
      </c>
      <c r="G359" s="5" t="s">
        <v>40</v>
      </c>
      <c r="H359" s="6" t="n">
        <v>211300</v>
      </c>
    </row>
    <row r="360" customFormat="false" ht="15" hidden="false" customHeight="false" outlineLevel="0" collapsed="false">
      <c r="A360" s="11" t="n">
        <v>44036</v>
      </c>
      <c r="B360" s="11" t="n">
        <v>44056</v>
      </c>
      <c r="C360" s="11" t="n">
        <v>44049</v>
      </c>
      <c r="D360" s="5" t="s">
        <v>25</v>
      </c>
      <c r="E360" s="5" t="s">
        <v>14</v>
      </c>
      <c r="F360" s="5" t="s">
        <v>14</v>
      </c>
      <c r="G360" s="5" t="s">
        <v>40</v>
      </c>
      <c r="H360" s="6" t="n">
        <v>6000</v>
      </c>
    </row>
    <row r="361" customFormat="false" ht="15" hidden="false" customHeight="false" outlineLevel="0" collapsed="false">
      <c r="A361" s="11" t="n">
        <v>44036</v>
      </c>
      <c r="B361" s="11" t="n">
        <v>44056</v>
      </c>
      <c r="C361" s="11" t="n">
        <v>44049</v>
      </c>
      <c r="D361" s="5" t="s">
        <v>25</v>
      </c>
      <c r="E361" s="5" t="s">
        <v>15</v>
      </c>
      <c r="F361" s="5" t="s">
        <v>14</v>
      </c>
      <c r="G361" s="5" t="s">
        <v>40</v>
      </c>
      <c r="H361" s="6" t="n">
        <v>246000</v>
      </c>
    </row>
    <row r="362" customFormat="false" ht="15" hidden="false" customHeight="false" outlineLevel="0" collapsed="false">
      <c r="A362" s="11" t="n">
        <v>44042</v>
      </c>
      <c r="B362" s="11" t="n">
        <v>44056</v>
      </c>
      <c r="C362" s="11" t="n">
        <v>44049</v>
      </c>
      <c r="D362" s="5" t="s">
        <v>25</v>
      </c>
      <c r="E362" s="5" t="s">
        <v>15</v>
      </c>
      <c r="F362" s="5" t="s">
        <v>14</v>
      </c>
      <c r="G362" s="5" t="s">
        <v>3</v>
      </c>
      <c r="H362" s="6" t="n">
        <v>130000</v>
      </c>
    </row>
    <row r="363" customFormat="false" ht="15" hidden="false" customHeight="false" outlineLevel="0" collapsed="false">
      <c r="A363" s="11" t="n">
        <v>44046</v>
      </c>
      <c r="B363" s="11" t="n">
        <v>44063</v>
      </c>
      <c r="C363" s="11" t="n">
        <v>44056</v>
      </c>
      <c r="D363" s="5" t="s">
        <v>25</v>
      </c>
      <c r="E363" s="5" t="s">
        <v>14</v>
      </c>
      <c r="F363" s="5" t="s">
        <v>14</v>
      </c>
      <c r="G363" s="5" t="s">
        <v>40</v>
      </c>
      <c r="H363" s="6" t="n">
        <v>8000</v>
      </c>
    </row>
    <row r="364" customFormat="false" ht="15" hidden="false" customHeight="false" outlineLevel="0" collapsed="false">
      <c r="A364" s="11" t="n">
        <v>44046</v>
      </c>
      <c r="B364" s="11" t="n">
        <v>44063</v>
      </c>
      <c r="C364" s="11" t="n">
        <v>44056</v>
      </c>
      <c r="D364" s="5" t="s">
        <v>25</v>
      </c>
      <c r="E364" s="5" t="s">
        <v>15</v>
      </c>
      <c r="F364" s="5" t="s">
        <v>14</v>
      </c>
      <c r="G364" s="5" t="s">
        <v>40</v>
      </c>
      <c r="H364" s="6" t="n">
        <v>252000</v>
      </c>
    </row>
    <row r="365" customFormat="false" ht="15" hidden="false" customHeight="false" outlineLevel="0" collapsed="false">
      <c r="A365" s="11" t="n">
        <v>44053</v>
      </c>
      <c r="B365" s="11" t="n">
        <v>44070</v>
      </c>
      <c r="C365" s="11" t="n">
        <v>44063</v>
      </c>
      <c r="D365" s="5" t="s">
        <v>25</v>
      </c>
      <c r="E365" s="5" t="s">
        <v>15</v>
      </c>
      <c r="F365" s="5" t="s">
        <v>14</v>
      </c>
      <c r="G365" s="5" t="s">
        <v>40</v>
      </c>
      <c r="H365" s="6" t="n">
        <v>111000</v>
      </c>
    </row>
    <row r="366" customFormat="false" ht="15" hidden="false" customHeight="false" outlineLevel="0" collapsed="false">
      <c r="A366" s="11" t="n">
        <v>44055</v>
      </c>
      <c r="B366" s="11" t="n">
        <v>44070</v>
      </c>
      <c r="C366" s="11" t="n">
        <v>44063</v>
      </c>
      <c r="D366" s="5" t="s">
        <v>25</v>
      </c>
      <c r="E366" s="5" t="s">
        <v>15</v>
      </c>
      <c r="F366" s="5" t="s">
        <v>14</v>
      </c>
      <c r="G366" s="5" t="s">
        <v>40</v>
      </c>
      <c r="H366" s="6" t="n">
        <v>120000</v>
      </c>
    </row>
    <row r="367" customFormat="false" ht="15" hidden="false" customHeight="false" outlineLevel="0" collapsed="false">
      <c r="A367" s="11" t="n">
        <v>44056</v>
      </c>
      <c r="B367" s="11" t="n">
        <v>44070</v>
      </c>
      <c r="C367" s="11" t="n">
        <v>44063</v>
      </c>
      <c r="D367" s="5" t="s">
        <v>25</v>
      </c>
      <c r="E367" s="5" t="s">
        <v>14</v>
      </c>
      <c r="F367" s="5" t="s">
        <v>14</v>
      </c>
      <c r="G367" s="5" t="s">
        <v>3</v>
      </c>
      <c r="H367" s="6" t="n">
        <v>30000</v>
      </c>
    </row>
    <row r="368" customFormat="false" ht="15" hidden="false" customHeight="false" outlineLevel="0" collapsed="false">
      <c r="A368" s="11" t="n">
        <v>44056</v>
      </c>
      <c r="B368" s="11" t="n">
        <v>44070</v>
      </c>
      <c r="C368" s="11" t="n">
        <v>44063</v>
      </c>
      <c r="D368" s="5" t="s">
        <v>25</v>
      </c>
      <c r="E368" s="5" t="s">
        <v>15</v>
      </c>
      <c r="F368" s="5" t="s">
        <v>14</v>
      </c>
      <c r="G368" s="5" t="s">
        <v>3</v>
      </c>
      <c r="H368" s="6" t="n">
        <v>80000</v>
      </c>
    </row>
    <row r="369" customFormat="false" ht="15" hidden="false" customHeight="false" outlineLevel="0" collapsed="false">
      <c r="A369" s="11" t="n">
        <v>44056</v>
      </c>
      <c r="B369" s="11" t="n">
        <v>44070</v>
      </c>
      <c r="C369" s="11" t="n">
        <v>44063</v>
      </c>
      <c r="D369" s="5" t="s">
        <v>25</v>
      </c>
      <c r="E369" s="5" t="s">
        <v>15</v>
      </c>
      <c r="F369" s="5" t="s">
        <v>14</v>
      </c>
      <c r="G369" s="5" t="s">
        <v>40</v>
      </c>
      <c r="H369" s="6" t="n">
        <v>202000</v>
      </c>
    </row>
    <row r="370" customFormat="false" ht="15" hidden="false" customHeight="false" outlineLevel="0" collapsed="false">
      <c r="A370" s="11" t="n">
        <v>44061</v>
      </c>
      <c r="B370" s="11" t="n">
        <v>44077</v>
      </c>
      <c r="C370" s="11" t="n">
        <v>44070</v>
      </c>
      <c r="D370" s="5" t="s">
        <v>25</v>
      </c>
      <c r="E370" s="5" t="s">
        <v>15</v>
      </c>
      <c r="F370" s="5" t="s">
        <v>14</v>
      </c>
      <c r="G370" s="5" t="s">
        <v>3</v>
      </c>
      <c r="H370" s="6" t="n">
        <v>130000</v>
      </c>
    </row>
    <row r="371" customFormat="false" ht="15" hidden="false" customHeight="false" outlineLevel="0" collapsed="false">
      <c r="A371" s="11" t="n">
        <v>44061</v>
      </c>
      <c r="B371" s="11" t="n">
        <v>44077</v>
      </c>
      <c r="C371" s="11" t="n">
        <v>44070</v>
      </c>
      <c r="D371" s="5" t="s">
        <v>25</v>
      </c>
      <c r="E371" s="5" t="s">
        <v>15</v>
      </c>
      <c r="F371" s="5" t="s">
        <v>14</v>
      </c>
      <c r="G371" s="5" t="s">
        <v>40</v>
      </c>
      <c r="H371" s="6" t="n">
        <v>130000</v>
      </c>
    </row>
    <row r="372" customFormat="false" ht="15" hidden="false" customHeight="false" outlineLevel="0" collapsed="false">
      <c r="A372" s="11" t="n">
        <v>44064</v>
      </c>
      <c r="B372" s="11" t="n">
        <v>44084</v>
      </c>
      <c r="C372" s="11" t="n">
        <v>44077</v>
      </c>
      <c r="D372" s="5" t="s">
        <v>25</v>
      </c>
      <c r="E372" s="5" t="s">
        <v>15</v>
      </c>
      <c r="F372" s="5" t="s">
        <v>14</v>
      </c>
      <c r="G372" s="5" t="s">
        <v>40</v>
      </c>
      <c r="H372" s="6" t="n">
        <v>368000</v>
      </c>
    </row>
    <row r="373" customFormat="false" ht="15" hidden="false" customHeight="false" outlineLevel="0" collapsed="false">
      <c r="A373" s="11" t="n">
        <v>44068</v>
      </c>
      <c r="B373" s="11" t="n">
        <v>44084</v>
      </c>
      <c r="C373" s="11" t="n">
        <v>44077</v>
      </c>
      <c r="D373" s="5" t="s">
        <v>25</v>
      </c>
      <c r="E373" s="5" t="s">
        <v>15</v>
      </c>
      <c r="F373" s="5" t="s">
        <v>14</v>
      </c>
      <c r="G373" s="5" t="s">
        <v>40</v>
      </c>
      <c r="H373" s="6" t="n">
        <v>142500</v>
      </c>
    </row>
    <row r="374" customFormat="false" ht="15" hidden="false" customHeight="false" outlineLevel="0" collapsed="false">
      <c r="A374" s="11" t="n">
        <v>44070</v>
      </c>
      <c r="B374" s="11" t="n">
        <v>44084</v>
      </c>
      <c r="C374" s="11" t="n">
        <v>44077</v>
      </c>
      <c r="D374" s="5" t="s">
        <v>25</v>
      </c>
      <c r="E374" s="5" t="s">
        <v>15</v>
      </c>
      <c r="F374" s="5" t="s">
        <v>14</v>
      </c>
      <c r="G374" s="5" t="s">
        <v>3</v>
      </c>
      <c r="H374" s="6" t="n">
        <v>140000</v>
      </c>
    </row>
    <row r="375" customFormat="false" ht="15" hidden="false" customHeight="false" outlineLevel="0" collapsed="false">
      <c r="A375" s="11" t="n">
        <v>44071</v>
      </c>
      <c r="B375" s="11" t="n">
        <v>44091</v>
      </c>
      <c r="C375" s="11" t="n">
        <v>44084</v>
      </c>
      <c r="D375" s="5" t="s">
        <v>25</v>
      </c>
      <c r="E375" s="5" t="s">
        <v>15</v>
      </c>
      <c r="F375" s="5" t="s">
        <v>14</v>
      </c>
      <c r="G375" s="5" t="s">
        <v>3</v>
      </c>
      <c r="H375" s="6" t="n">
        <v>324032</v>
      </c>
    </row>
    <row r="376" customFormat="false" ht="15" hidden="false" customHeight="false" outlineLevel="0" collapsed="false">
      <c r="A376" s="11" t="n">
        <v>44075</v>
      </c>
      <c r="B376" s="11" t="n">
        <v>44091</v>
      </c>
      <c r="C376" s="11" t="n">
        <v>44084</v>
      </c>
      <c r="D376" s="5" t="s">
        <v>25</v>
      </c>
      <c r="E376" s="5" t="s">
        <v>15</v>
      </c>
      <c r="F376" s="5" t="s">
        <v>15</v>
      </c>
      <c r="G376" s="5" t="s">
        <v>40</v>
      </c>
      <c r="H376" s="6" t="n">
        <v>132000</v>
      </c>
    </row>
    <row r="377" customFormat="false" ht="15" hidden="false" customHeight="false" outlineLevel="0" collapsed="false">
      <c r="A377" s="11" t="n">
        <v>44077</v>
      </c>
      <c r="B377" s="11" t="n">
        <v>44091</v>
      </c>
      <c r="C377" s="11" t="n">
        <v>44084</v>
      </c>
      <c r="D377" s="5" t="s">
        <v>25</v>
      </c>
      <c r="E377" s="5" t="s">
        <v>15</v>
      </c>
      <c r="F377" s="5" t="s">
        <v>15</v>
      </c>
      <c r="G377" s="5" t="s">
        <v>40</v>
      </c>
      <c r="H377" s="6" t="n">
        <v>318000</v>
      </c>
    </row>
    <row r="378" customFormat="false" ht="15" hidden="false" customHeight="false" outlineLevel="0" collapsed="false">
      <c r="A378" s="11" t="n">
        <v>44082</v>
      </c>
      <c r="B378" s="11" t="n">
        <v>44098</v>
      </c>
      <c r="C378" s="11" t="n">
        <v>44091</v>
      </c>
      <c r="D378" s="5" t="s">
        <v>25</v>
      </c>
      <c r="E378" s="5" t="s">
        <v>15</v>
      </c>
      <c r="F378" s="5" t="s">
        <v>15</v>
      </c>
      <c r="G378" s="5" t="s">
        <v>3</v>
      </c>
      <c r="H378" s="6" t="n">
        <v>101600</v>
      </c>
    </row>
    <row r="379" customFormat="false" ht="15" hidden="false" customHeight="false" outlineLevel="0" collapsed="false">
      <c r="A379" s="11" t="n">
        <v>44083</v>
      </c>
      <c r="B379" s="11" t="n">
        <v>44098</v>
      </c>
      <c r="C379" s="11" t="n">
        <v>44091</v>
      </c>
      <c r="D379" s="5" t="s">
        <v>25</v>
      </c>
      <c r="E379" s="5" t="s">
        <v>15</v>
      </c>
      <c r="F379" s="5" t="s">
        <v>15</v>
      </c>
      <c r="G379" s="5" t="s">
        <v>40</v>
      </c>
      <c r="H379" s="6" t="n">
        <v>132000</v>
      </c>
    </row>
    <row r="380" customFormat="false" ht="15" hidden="false" customHeight="false" outlineLevel="0" collapsed="false">
      <c r="A380" s="11" t="n">
        <v>44085</v>
      </c>
      <c r="B380" s="11" t="n">
        <v>44105</v>
      </c>
      <c r="C380" s="11" t="n">
        <v>44098</v>
      </c>
      <c r="D380" s="5" t="s">
        <v>25</v>
      </c>
      <c r="E380" s="5" t="s">
        <v>15</v>
      </c>
      <c r="F380" s="5" t="s">
        <v>15</v>
      </c>
      <c r="G380" s="5" t="s">
        <v>40</v>
      </c>
      <c r="H380" s="6" t="n">
        <v>222000</v>
      </c>
    </row>
    <row r="381" customFormat="false" ht="15" hidden="false" customHeight="false" outlineLevel="0" collapsed="false">
      <c r="A381" s="11" t="n">
        <v>44088</v>
      </c>
      <c r="B381" s="11" t="n">
        <v>44105</v>
      </c>
      <c r="C381" s="11" t="n">
        <v>44098</v>
      </c>
      <c r="D381" s="5" t="s">
        <v>25</v>
      </c>
      <c r="E381" s="5" t="s">
        <v>15</v>
      </c>
      <c r="F381" s="5" t="s">
        <v>15</v>
      </c>
      <c r="G381" s="5" t="s">
        <v>40</v>
      </c>
      <c r="H381" s="6" t="n">
        <v>318000</v>
      </c>
    </row>
    <row r="382" customFormat="false" ht="15" hidden="false" customHeight="false" outlineLevel="0" collapsed="false">
      <c r="A382" s="11" t="n">
        <v>44089</v>
      </c>
      <c r="B382" s="11" t="n">
        <v>44105</v>
      </c>
      <c r="C382" s="11" t="n">
        <v>44098</v>
      </c>
      <c r="D382" s="5" t="s">
        <v>25</v>
      </c>
      <c r="E382" s="5" t="s">
        <v>15</v>
      </c>
      <c r="F382" s="5" t="s">
        <v>15</v>
      </c>
      <c r="G382" s="5" t="s">
        <v>3</v>
      </c>
      <c r="H382" s="6" t="n">
        <v>120000</v>
      </c>
    </row>
    <row r="383" customFormat="false" ht="15" hidden="false" customHeight="false" outlineLevel="0" collapsed="false">
      <c r="A383" s="11" t="n">
        <v>44089</v>
      </c>
      <c r="B383" s="11" t="n">
        <v>44105</v>
      </c>
      <c r="C383" s="11" t="n">
        <v>44098</v>
      </c>
      <c r="D383" s="5" t="s">
        <v>25</v>
      </c>
      <c r="E383" s="5" t="s">
        <v>15</v>
      </c>
      <c r="F383" s="5" t="s">
        <v>15</v>
      </c>
      <c r="G383" s="5" t="s">
        <v>40</v>
      </c>
      <c r="H383" s="6" t="n">
        <v>132000</v>
      </c>
    </row>
    <row r="384" customFormat="false" ht="15" hidden="false" customHeight="false" outlineLevel="0" collapsed="false">
      <c r="A384" s="11" t="n">
        <v>44091</v>
      </c>
      <c r="B384" s="11" t="n">
        <v>44105</v>
      </c>
      <c r="C384" s="11" t="n">
        <v>44098</v>
      </c>
      <c r="D384" s="5" t="s">
        <v>25</v>
      </c>
      <c r="E384" s="5" t="s">
        <v>15</v>
      </c>
      <c r="F384" s="5" t="s">
        <v>15</v>
      </c>
      <c r="G384" s="5" t="s">
        <v>3</v>
      </c>
      <c r="H384" s="6" t="n">
        <v>120000</v>
      </c>
    </row>
    <row r="385" customFormat="false" ht="15" hidden="false" customHeight="false" outlineLevel="0" collapsed="false">
      <c r="A385" s="11" t="n">
        <v>44091</v>
      </c>
      <c r="B385" s="11" t="n">
        <v>44105</v>
      </c>
      <c r="C385" s="11" t="n">
        <v>44098</v>
      </c>
      <c r="D385" s="5" t="s">
        <v>25</v>
      </c>
      <c r="E385" s="5" t="s">
        <v>15</v>
      </c>
      <c r="F385" s="5" t="s">
        <v>15</v>
      </c>
      <c r="G385" s="5" t="s">
        <v>40</v>
      </c>
      <c r="H385" s="6" t="n">
        <v>360500</v>
      </c>
    </row>
    <row r="386" customFormat="false" ht="15" hidden="false" customHeight="false" outlineLevel="0" collapsed="false">
      <c r="A386" s="11" t="n">
        <v>44095</v>
      </c>
      <c r="B386" s="11" t="n">
        <v>44112</v>
      </c>
      <c r="C386" s="11" t="n">
        <v>44105</v>
      </c>
      <c r="D386" s="5" t="s">
        <v>25</v>
      </c>
      <c r="E386" s="5" t="s">
        <v>15</v>
      </c>
      <c r="F386" s="5" t="s">
        <v>15</v>
      </c>
      <c r="G386" s="5" t="s">
        <v>40</v>
      </c>
      <c r="H386" s="6" t="n">
        <v>171000</v>
      </c>
    </row>
    <row r="387" customFormat="false" ht="15" hidden="false" customHeight="false" outlineLevel="0" collapsed="false">
      <c r="A387" s="11" t="n">
        <v>44096</v>
      </c>
      <c r="B387" s="11" t="n">
        <v>44112</v>
      </c>
      <c r="C387" s="11" t="n">
        <v>44105</v>
      </c>
      <c r="D387" s="5" t="s">
        <v>25</v>
      </c>
      <c r="E387" s="5" t="s">
        <v>15</v>
      </c>
      <c r="F387" s="5" t="s">
        <v>15</v>
      </c>
      <c r="G387" s="5" t="s">
        <v>3</v>
      </c>
      <c r="H387" s="6" t="n">
        <v>320000</v>
      </c>
    </row>
    <row r="388" customFormat="false" ht="15" hidden="false" customHeight="false" outlineLevel="0" collapsed="false">
      <c r="A388" s="11" t="n">
        <v>44096</v>
      </c>
      <c r="B388" s="11" t="n">
        <v>44112</v>
      </c>
      <c r="C388" s="11" t="n">
        <v>44105</v>
      </c>
      <c r="D388" s="5" t="s">
        <v>25</v>
      </c>
      <c r="E388" s="5" t="s">
        <v>15</v>
      </c>
      <c r="F388" s="5" t="s">
        <v>15</v>
      </c>
      <c r="G388" s="5" t="s">
        <v>40</v>
      </c>
      <c r="H388" s="6" t="n">
        <v>264000</v>
      </c>
    </row>
    <row r="389" customFormat="false" ht="15" hidden="false" customHeight="false" outlineLevel="0" collapsed="false">
      <c r="A389" s="11" t="n">
        <v>44097</v>
      </c>
      <c r="B389" s="11" t="n">
        <v>44112</v>
      </c>
      <c r="C389" s="11" t="n">
        <v>44105</v>
      </c>
      <c r="D389" s="5" t="s">
        <v>25</v>
      </c>
      <c r="E389" s="5" t="s">
        <v>15</v>
      </c>
      <c r="F389" s="5" t="s">
        <v>15</v>
      </c>
      <c r="G389" s="5" t="s">
        <v>40</v>
      </c>
      <c r="H389" s="6" t="n">
        <v>126000</v>
      </c>
    </row>
    <row r="390" customFormat="false" ht="15" hidden="false" customHeight="false" outlineLevel="0" collapsed="false">
      <c r="A390" s="11" t="n">
        <v>44102</v>
      </c>
      <c r="B390" s="11" t="n">
        <v>44119</v>
      </c>
      <c r="C390" s="11" t="n">
        <v>44112</v>
      </c>
      <c r="D390" s="5" t="s">
        <v>25</v>
      </c>
      <c r="E390" s="5" t="s">
        <v>15</v>
      </c>
      <c r="F390" s="5" t="s">
        <v>15</v>
      </c>
      <c r="G390" s="5" t="s">
        <v>3</v>
      </c>
      <c r="H390" s="6" t="n">
        <v>207140</v>
      </c>
    </row>
    <row r="391" customFormat="false" ht="15" hidden="false" customHeight="false" outlineLevel="0" collapsed="false">
      <c r="A391" s="11" t="n">
        <v>44102</v>
      </c>
      <c r="B391" s="11" t="n">
        <v>44119</v>
      </c>
      <c r="C391" s="11" t="n">
        <v>44112</v>
      </c>
      <c r="D391" s="5" t="s">
        <v>25</v>
      </c>
      <c r="E391" s="5" t="s">
        <v>15</v>
      </c>
      <c r="F391" s="5" t="s">
        <v>15</v>
      </c>
      <c r="G391" s="5" t="s">
        <v>40</v>
      </c>
      <c r="H391" s="6" t="n">
        <v>218300</v>
      </c>
    </row>
    <row r="392" customFormat="false" ht="15" hidden="false" customHeight="false" outlineLevel="0" collapsed="false">
      <c r="A392" s="11" t="n">
        <v>44104</v>
      </c>
      <c r="B392" s="11" t="n">
        <v>44119</v>
      </c>
      <c r="C392" s="11" t="n">
        <v>44112</v>
      </c>
      <c r="D392" s="5" t="s">
        <v>25</v>
      </c>
      <c r="E392" s="5" t="s">
        <v>15</v>
      </c>
      <c r="F392" s="5" t="s">
        <v>15</v>
      </c>
      <c r="G392" s="5" t="s">
        <v>40</v>
      </c>
      <c r="H392" s="6" t="n">
        <v>215000</v>
      </c>
    </row>
    <row r="393" customFormat="false" ht="15" hidden="false" customHeight="false" outlineLevel="0" collapsed="false">
      <c r="A393" s="11" t="n">
        <v>44106</v>
      </c>
      <c r="B393" s="11" t="n">
        <v>44126</v>
      </c>
      <c r="C393" s="11" t="n">
        <v>44119</v>
      </c>
      <c r="D393" s="5" t="s">
        <v>25</v>
      </c>
      <c r="E393" s="5" t="s">
        <v>15</v>
      </c>
      <c r="F393" s="5" t="s">
        <v>15</v>
      </c>
      <c r="G393" s="5" t="s">
        <v>40</v>
      </c>
      <c r="H393" s="6" t="n">
        <v>252000</v>
      </c>
    </row>
    <row r="394" customFormat="false" ht="15" hidden="false" customHeight="false" outlineLevel="0" collapsed="false">
      <c r="A394" s="11" t="n">
        <v>44110</v>
      </c>
      <c r="B394" s="11" t="n">
        <v>44126</v>
      </c>
      <c r="C394" s="11" t="n">
        <v>44119</v>
      </c>
      <c r="D394" s="5" t="s">
        <v>25</v>
      </c>
      <c r="E394" s="5" t="s">
        <v>15</v>
      </c>
      <c r="F394" s="5" t="s">
        <v>15</v>
      </c>
      <c r="G394" s="5" t="s">
        <v>40</v>
      </c>
      <c r="H394" s="6" t="n">
        <v>154400</v>
      </c>
    </row>
    <row r="395" customFormat="false" ht="15" hidden="false" customHeight="false" outlineLevel="0" collapsed="false">
      <c r="A395" s="11" t="n">
        <v>44111</v>
      </c>
      <c r="B395" s="11" t="n">
        <v>44126</v>
      </c>
      <c r="C395" s="11" t="n">
        <v>44119</v>
      </c>
      <c r="D395" s="5" t="s">
        <v>25</v>
      </c>
      <c r="E395" s="5" t="s">
        <v>15</v>
      </c>
      <c r="F395" s="5" t="s">
        <v>15</v>
      </c>
      <c r="G395" s="5" t="s">
        <v>40</v>
      </c>
      <c r="H395" s="6" t="n">
        <v>120000</v>
      </c>
    </row>
    <row r="396" customFormat="false" ht="15" hidden="false" customHeight="false" outlineLevel="0" collapsed="false">
      <c r="A396" s="11" t="n">
        <v>44112</v>
      </c>
      <c r="B396" s="11" t="n">
        <v>44126</v>
      </c>
      <c r="C396" s="11" t="n">
        <v>44119</v>
      </c>
      <c r="D396" s="5" t="s">
        <v>25</v>
      </c>
      <c r="E396" s="5" t="s">
        <v>15</v>
      </c>
      <c r="F396" s="5" t="s">
        <v>15</v>
      </c>
      <c r="G396" s="5" t="s">
        <v>40</v>
      </c>
      <c r="H396" s="6" t="n">
        <v>132000</v>
      </c>
    </row>
    <row r="397" customFormat="false" ht="15" hidden="false" customHeight="false" outlineLevel="0" collapsed="false">
      <c r="A397" s="11" t="n">
        <v>44120</v>
      </c>
      <c r="B397" s="11" t="n">
        <v>44140</v>
      </c>
      <c r="C397" s="11" t="n">
        <v>44133</v>
      </c>
      <c r="D397" s="5" t="s">
        <v>25</v>
      </c>
      <c r="E397" s="5" t="s">
        <v>15</v>
      </c>
      <c r="F397" s="5" t="s">
        <v>15</v>
      </c>
      <c r="G397" s="5" t="s">
        <v>40</v>
      </c>
      <c r="H397" s="6" t="n">
        <v>391150</v>
      </c>
    </row>
    <row r="398" customFormat="false" ht="15" hidden="false" customHeight="false" outlineLevel="0" collapsed="false">
      <c r="A398" s="11" t="n">
        <v>44123</v>
      </c>
      <c r="B398" s="11" t="n">
        <v>44140</v>
      </c>
      <c r="C398" s="11" t="n">
        <v>44133</v>
      </c>
      <c r="D398" s="5" t="s">
        <v>25</v>
      </c>
      <c r="E398" s="5" t="s">
        <v>15</v>
      </c>
      <c r="F398" s="5" t="s">
        <v>15</v>
      </c>
      <c r="G398" s="5" t="s">
        <v>3</v>
      </c>
      <c r="H398" s="6" t="n">
        <v>345000</v>
      </c>
    </row>
    <row r="399" customFormat="false" ht="15" hidden="false" customHeight="false" outlineLevel="0" collapsed="false">
      <c r="A399" s="11" t="n">
        <v>44124</v>
      </c>
      <c r="B399" s="11" t="n">
        <v>44140</v>
      </c>
      <c r="C399" s="11" t="n">
        <v>44133</v>
      </c>
      <c r="D399" s="5" t="s">
        <v>25</v>
      </c>
      <c r="E399" s="5" t="s">
        <v>15</v>
      </c>
      <c r="F399" s="5" t="s">
        <v>15</v>
      </c>
      <c r="G399" s="5" t="s">
        <v>40</v>
      </c>
      <c r="H399" s="6" t="n">
        <v>132000</v>
      </c>
    </row>
    <row r="400" customFormat="false" ht="15" hidden="false" customHeight="false" outlineLevel="0" collapsed="false">
      <c r="A400" s="11" t="n">
        <v>44126</v>
      </c>
      <c r="B400" s="11" t="n">
        <v>44140</v>
      </c>
      <c r="C400" s="11" t="n">
        <v>44133</v>
      </c>
      <c r="D400" s="5" t="s">
        <v>25</v>
      </c>
      <c r="E400" s="5" t="s">
        <v>15</v>
      </c>
      <c r="F400" s="5" t="s">
        <v>15</v>
      </c>
      <c r="G400" s="5" t="s">
        <v>40</v>
      </c>
      <c r="H400" s="6" t="n">
        <v>132000</v>
      </c>
    </row>
    <row r="401" customFormat="false" ht="15" hidden="false" customHeight="false" outlineLevel="0" collapsed="false">
      <c r="A401" s="11" t="n">
        <v>44127</v>
      </c>
      <c r="B401" s="11" t="n">
        <v>44147</v>
      </c>
      <c r="C401" s="11" t="n">
        <v>44140</v>
      </c>
      <c r="D401" s="5" t="s">
        <v>25</v>
      </c>
      <c r="E401" s="5" t="s">
        <v>15</v>
      </c>
      <c r="F401" s="5" t="s">
        <v>15</v>
      </c>
      <c r="G401" s="5" t="s">
        <v>3</v>
      </c>
      <c r="H401" s="6" t="n">
        <v>100000</v>
      </c>
    </row>
    <row r="402" customFormat="false" ht="15" hidden="false" customHeight="false" outlineLevel="0" collapsed="false">
      <c r="A402" s="11" t="n">
        <v>44130</v>
      </c>
      <c r="B402" s="11" t="n">
        <v>44147</v>
      </c>
      <c r="C402" s="11" t="n">
        <v>44140</v>
      </c>
      <c r="D402" s="5" t="s">
        <v>25</v>
      </c>
      <c r="E402" s="5" t="s">
        <v>15</v>
      </c>
      <c r="F402" s="5" t="s">
        <v>15</v>
      </c>
      <c r="G402" s="5" t="s">
        <v>40</v>
      </c>
      <c r="H402" s="6" t="n">
        <v>120700</v>
      </c>
    </row>
    <row r="403" customFormat="false" ht="15" hidden="false" customHeight="false" outlineLevel="0" collapsed="false">
      <c r="A403" s="11" t="n">
        <v>44132</v>
      </c>
      <c r="B403" s="11" t="n">
        <v>44147</v>
      </c>
      <c r="C403" s="11" t="n">
        <v>44140</v>
      </c>
      <c r="D403" s="5" t="s">
        <v>25</v>
      </c>
      <c r="E403" s="5" t="s">
        <v>15</v>
      </c>
      <c r="F403" s="5" t="s">
        <v>15</v>
      </c>
      <c r="G403" s="5" t="s">
        <v>40</v>
      </c>
      <c r="H403" s="6" t="n">
        <v>120000</v>
      </c>
    </row>
    <row r="404" customFormat="false" ht="15" hidden="false" customHeight="false" outlineLevel="0" collapsed="false">
      <c r="A404" s="11" t="n">
        <v>44133</v>
      </c>
      <c r="B404" s="11" t="n">
        <v>44147</v>
      </c>
      <c r="C404" s="11" t="n">
        <v>44140</v>
      </c>
      <c r="D404" s="5" t="s">
        <v>25</v>
      </c>
      <c r="E404" s="5" t="s">
        <v>15</v>
      </c>
      <c r="F404" s="5" t="s">
        <v>15</v>
      </c>
      <c r="G404" s="5" t="s">
        <v>3</v>
      </c>
      <c r="H404" s="6" t="n">
        <v>140000</v>
      </c>
    </row>
    <row r="405" customFormat="false" ht="15" hidden="false" customHeight="false" outlineLevel="0" collapsed="false">
      <c r="A405" s="11" t="n">
        <v>44134</v>
      </c>
      <c r="B405" s="11" t="n">
        <v>44154</v>
      </c>
      <c r="C405" s="11" t="n">
        <v>44147</v>
      </c>
      <c r="D405" s="5" t="s">
        <v>25</v>
      </c>
      <c r="E405" s="5" t="s">
        <v>15</v>
      </c>
      <c r="F405" s="5" t="s">
        <v>15</v>
      </c>
      <c r="G405" s="5" t="s">
        <v>40</v>
      </c>
      <c r="H405" s="6" t="n">
        <v>121500</v>
      </c>
    </row>
    <row r="406" customFormat="false" ht="15" hidden="false" customHeight="false" outlineLevel="0" collapsed="false">
      <c r="A406" s="11" t="n">
        <v>44137</v>
      </c>
      <c r="B406" s="11" t="n">
        <v>44154</v>
      </c>
      <c r="C406" s="11" t="n">
        <v>44147</v>
      </c>
      <c r="D406" s="5" t="s">
        <v>25</v>
      </c>
      <c r="E406" s="5" t="s">
        <v>15</v>
      </c>
      <c r="F406" s="5" t="s">
        <v>15</v>
      </c>
      <c r="G406" s="5" t="s">
        <v>3</v>
      </c>
      <c r="H406" s="6" t="n">
        <v>204000</v>
      </c>
    </row>
    <row r="407" customFormat="false" ht="15" hidden="false" customHeight="false" outlineLevel="0" collapsed="false">
      <c r="A407" s="11" t="n">
        <v>44141</v>
      </c>
      <c r="B407" s="11" t="n">
        <v>44161</v>
      </c>
      <c r="C407" s="11" t="n">
        <v>44154</v>
      </c>
      <c r="D407" s="5" t="s">
        <v>25</v>
      </c>
      <c r="E407" s="5" t="s">
        <v>15</v>
      </c>
      <c r="F407" s="5" t="s">
        <v>15</v>
      </c>
      <c r="G407" s="5" t="s">
        <v>3</v>
      </c>
      <c r="H407" s="6" t="n">
        <v>206900</v>
      </c>
    </row>
    <row r="408" customFormat="false" ht="15" hidden="false" customHeight="false" outlineLevel="0" collapsed="false">
      <c r="A408" s="11" t="n">
        <v>44141</v>
      </c>
      <c r="B408" s="11" t="n">
        <v>44161</v>
      </c>
      <c r="C408" s="11" t="n">
        <v>44154</v>
      </c>
      <c r="D408" s="5" t="s">
        <v>25</v>
      </c>
      <c r="E408" s="5" t="s">
        <v>15</v>
      </c>
      <c r="F408" s="5" t="s">
        <v>15</v>
      </c>
      <c r="G408" s="5" t="s">
        <v>40</v>
      </c>
      <c r="H408" s="6" t="n">
        <v>272150</v>
      </c>
    </row>
    <row r="409" customFormat="false" ht="15" hidden="false" customHeight="false" outlineLevel="0" collapsed="false">
      <c r="A409" s="11" t="n">
        <v>44144</v>
      </c>
      <c r="B409" s="11" t="n">
        <v>44161</v>
      </c>
      <c r="C409" s="11" t="n">
        <v>44154</v>
      </c>
      <c r="D409" s="5" t="s">
        <v>25</v>
      </c>
      <c r="E409" s="5" t="s">
        <v>15</v>
      </c>
      <c r="F409" s="5" t="s">
        <v>15</v>
      </c>
      <c r="G409" s="5" t="s">
        <v>40</v>
      </c>
      <c r="H409" s="6" t="n">
        <v>123000</v>
      </c>
    </row>
    <row r="410" customFormat="false" ht="15" hidden="false" customHeight="false" outlineLevel="0" collapsed="false">
      <c r="A410" s="11" t="n">
        <v>44153</v>
      </c>
      <c r="B410" s="11" t="n">
        <v>44168</v>
      </c>
      <c r="C410" s="11" t="n">
        <v>44161</v>
      </c>
      <c r="D410" s="5" t="s">
        <v>25</v>
      </c>
      <c r="E410" s="5" t="s">
        <v>15</v>
      </c>
      <c r="F410" s="5" t="s">
        <v>15</v>
      </c>
      <c r="G410" s="5" t="s">
        <v>3</v>
      </c>
      <c r="H410" s="6" t="n">
        <v>140000</v>
      </c>
    </row>
    <row r="411" customFormat="false" ht="15" hidden="false" customHeight="false" outlineLevel="0" collapsed="false">
      <c r="A411" s="11" t="n">
        <v>44155</v>
      </c>
      <c r="B411" s="11" t="n">
        <v>44175</v>
      </c>
      <c r="C411" s="11" t="n">
        <v>44168</v>
      </c>
      <c r="D411" s="5" t="s">
        <v>25</v>
      </c>
      <c r="E411" s="5" t="s">
        <v>15</v>
      </c>
      <c r="F411" s="5" t="s">
        <v>15</v>
      </c>
      <c r="G411" s="5" t="s">
        <v>3</v>
      </c>
      <c r="H411" s="6" t="n">
        <v>131000</v>
      </c>
    </row>
    <row r="412" customFormat="false" ht="15" hidden="false" customHeight="false" outlineLevel="0" collapsed="false">
      <c r="A412" s="11" t="n">
        <v>44158</v>
      </c>
      <c r="B412" s="11" t="n">
        <v>44175</v>
      </c>
      <c r="C412" s="11" t="n">
        <v>44168</v>
      </c>
      <c r="D412" s="5" t="s">
        <v>25</v>
      </c>
      <c r="E412" s="5" t="s">
        <v>15</v>
      </c>
      <c r="F412" s="5" t="s">
        <v>15</v>
      </c>
      <c r="G412" s="5" t="s">
        <v>3</v>
      </c>
      <c r="H412" s="6" t="n">
        <v>334000</v>
      </c>
    </row>
    <row r="413" customFormat="false" ht="15" hidden="false" customHeight="false" outlineLevel="0" collapsed="false">
      <c r="A413" s="11" t="n">
        <v>44165</v>
      </c>
      <c r="B413" s="11" t="n">
        <v>44182</v>
      </c>
      <c r="C413" s="11" t="n">
        <v>44175</v>
      </c>
      <c r="D413" s="5" t="s">
        <v>25</v>
      </c>
      <c r="E413" s="5" t="s">
        <v>15</v>
      </c>
      <c r="F413" s="5" t="s">
        <v>15</v>
      </c>
      <c r="G413" s="5" t="s">
        <v>3</v>
      </c>
      <c r="H413" s="6" t="n">
        <v>344000</v>
      </c>
    </row>
    <row r="414" customFormat="false" ht="15" hidden="false" customHeight="false" outlineLevel="0" collapsed="false">
      <c r="A414" s="11" t="n">
        <v>44193</v>
      </c>
      <c r="B414" s="11" t="n">
        <v>44210</v>
      </c>
      <c r="C414" s="11" t="n">
        <v>44203</v>
      </c>
      <c r="D414" s="5" t="s">
        <v>25</v>
      </c>
      <c r="E414" s="5" t="s">
        <v>15</v>
      </c>
      <c r="F414" s="5" t="s">
        <v>15</v>
      </c>
      <c r="G414" s="5" t="s">
        <v>3</v>
      </c>
      <c r="H414" s="6" t="n">
        <v>149572</v>
      </c>
    </row>
    <row r="415" customFormat="false" ht="15" hidden="false" customHeight="false" outlineLevel="0" collapsed="false">
      <c r="A415" s="11" t="n">
        <v>44193</v>
      </c>
      <c r="B415" s="11" t="n">
        <v>44210</v>
      </c>
      <c r="C415" s="11" t="n">
        <v>44203</v>
      </c>
      <c r="D415" s="5" t="s">
        <v>25</v>
      </c>
      <c r="E415" s="5" t="s">
        <v>15</v>
      </c>
      <c r="F415" s="5" t="s">
        <v>15</v>
      </c>
      <c r="G415" s="5" t="s">
        <v>40</v>
      </c>
      <c r="H415" s="6" t="n">
        <v>233700</v>
      </c>
    </row>
    <row r="416" customFormat="false" ht="15" hidden="false" customHeight="false" outlineLevel="0" collapsed="false">
      <c r="A416" s="11" t="n">
        <v>44193</v>
      </c>
      <c r="B416" s="11" t="n">
        <v>44210</v>
      </c>
      <c r="C416" s="11" t="n">
        <v>44203</v>
      </c>
      <c r="D416" s="5" t="s">
        <v>25</v>
      </c>
      <c r="E416" s="5" t="s">
        <v>16</v>
      </c>
      <c r="F416" s="5" t="s">
        <v>15</v>
      </c>
      <c r="G416" s="5" t="s">
        <v>40</v>
      </c>
      <c r="H416" s="6" t="n">
        <v>125000</v>
      </c>
    </row>
    <row r="417" customFormat="false" ht="15" hidden="false" customHeight="false" outlineLevel="0" collapsed="false">
      <c r="A417" s="11" t="n">
        <v>44202</v>
      </c>
      <c r="B417" s="11" t="n">
        <v>44217</v>
      </c>
      <c r="C417" s="11" t="n">
        <v>44210</v>
      </c>
      <c r="D417" s="5" t="s">
        <v>25</v>
      </c>
      <c r="E417" s="5" t="s">
        <v>15</v>
      </c>
      <c r="F417" s="5" t="s">
        <v>15</v>
      </c>
      <c r="G417" s="5" t="s">
        <v>3</v>
      </c>
      <c r="H417" s="6" t="n">
        <v>102616</v>
      </c>
    </row>
    <row r="418" customFormat="false" ht="15" hidden="false" customHeight="false" outlineLevel="0" collapsed="false">
      <c r="A418" s="11" t="n">
        <v>44203</v>
      </c>
      <c r="B418" s="11" t="n">
        <v>44217</v>
      </c>
      <c r="C418" s="11" t="n">
        <v>44210</v>
      </c>
      <c r="D418" s="5" t="s">
        <v>25</v>
      </c>
      <c r="E418" s="5" t="s">
        <v>15</v>
      </c>
      <c r="F418" s="5" t="s">
        <v>15</v>
      </c>
      <c r="G418" s="5" t="s">
        <v>40</v>
      </c>
      <c r="H418" s="6" t="n">
        <v>213350</v>
      </c>
    </row>
    <row r="419" customFormat="false" ht="15" hidden="false" customHeight="false" outlineLevel="0" collapsed="false">
      <c r="A419" s="11" t="n">
        <v>44203</v>
      </c>
      <c r="B419" s="11" t="n">
        <v>44217</v>
      </c>
      <c r="C419" s="11" t="n">
        <v>44210</v>
      </c>
      <c r="D419" s="5" t="s">
        <v>25</v>
      </c>
      <c r="E419" s="5" t="s">
        <v>16</v>
      </c>
      <c r="F419" s="5" t="s">
        <v>15</v>
      </c>
      <c r="G419" s="5" t="s">
        <v>40</v>
      </c>
      <c r="H419" s="6" t="n">
        <v>130000</v>
      </c>
    </row>
    <row r="420" customFormat="false" ht="15" hidden="false" customHeight="false" outlineLevel="0" collapsed="false">
      <c r="A420" s="11" t="n">
        <v>44208</v>
      </c>
      <c r="B420" s="11" t="n">
        <v>44224</v>
      </c>
      <c r="C420" s="11" t="n">
        <v>44217</v>
      </c>
      <c r="D420" s="5" t="s">
        <v>25</v>
      </c>
      <c r="E420" s="5" t="s">
        <v>15</v>
      </c>
      <c r="F420" s="5" t="s">
        <v>15</v>
      </c>
      <c r="G420" s="5" t="s">
        <v>40</v>
      </c>
      <c r="H420" s="6" t="n">
        <v>120000</v>
      </c>
    </row>
    <row r="421" customFormat="false" ht="15" hidden="false" customHeight="false" outlineLevel="0" collapsed="false">
      <c r="A421" s="11" t="n">
        <v>44209</v>
      </c>
      <c r="B421" s="11" t="n">
        <v>44224</v>
      </c>
      <c r="C421" s="11" t="n">
        <v>44217</v>
      </c>
      <c r="D421" s="5" t="s">
        <v>25</v>
      </c>
      <c r="E421" s="5" t="s">
        <v>15</v>
      </c>
      <c r="F421" s="5" t="s">
        <v>15</v>
      </c>
      <c r="G421" s="5" t="s">
        <v>40</v>
      </c>
      <c r="H421" s="6" t="n">
        <v>396300</v>
      </c>
    </row>
    <row r="422" customFormat="false" ht="15" hidden="false" customHeight="false" outlineLevel="0" collapsed="false">
      <c r="A422" s="11" t="n">
        <v>44209</v>
      </c>
      <c r="B422" s="11" t="n">
        <v>44224</v>
      </c>
      <c r="C422" s="11" t="n">
        <v>44217</v>
      </c>
      <c r="D422" s="5" t="s">
        <v>25</v>
      </c>
      <c r="E422" s="5" t="s">
        <v>16</v>
      </c>
      <c r="F422" s="5" t="s">
        <v>15</v>
      </c>
      <c r="G422" s="5" t="s">
        <v>40</v>
      </c>
      <c r="H422" s="6" t="n">
        <v>68000</v>
      </c>
    </row>
    <row r="423" customFormat="false" ht="15" hidden="false" customHeight="false" outlineLevel="0" collapsed="false">
      <c r="A423" s="11" t="n">
        <v>44211</v>
      </c>
      <c r="B423" s="11" t="n">
        <v>44231</v>
      </c>
      <c r="C423" s="11" t="n">
        <v>44224</v>
      </c>
      <c r="D423" s="5" t="s">
        <v>25</v>
      </c>
      <c r="E423" s="5" t="s">
        <v>16</v>
      </c>
      <c r="F423" s="5" t="s">
        <v>15</v>
      </c>
      <c r="G423" s="5" t="s">
        <v>40</v>
      </c>
      <c r="H423" s="6" t="n">
        <v>318000</v>
      </c>
    </row>
    <row r="424" customFormat="false" ht="15" hidden="false" customHeight="false" outlineLevel="0" collapsed="false">
      <c r="A424" s="11" t="n">
        <v>44217</v>
      </c>
      <c r="B424" s="11" t="n">
        <v>44231</v>
      </c>
      <c r="C424" s="11" t="n">
        <v>44224</v>
      </c>
      <c r="D424" s="5" t="s">
        <v>25</v>
      </c>
      <c r="E424" s="5" t="s">
        <v>15</v>
      </c>
      <c r="F424" s="5" t="s">
        <v>15</v>
      </c>
      <c r="G424" s="5" t="s">
        <v>3</v>
      </c>
      <c r="H424" s="6" t="n">
        <v>336500</v>
      </c>
    </row>
    <row r="425" customFormat="false" ht="15" hidden="false" customHeight="false" outlineLevel="0" collapsed="false">
      <c r="A425" s="11" t="n">
        <v>44222</v>
      </c>
      <c r="B425" s="11" t="n">
        <v>44238</v>
      </c>
      <c r="C425" s="11" t="n">
        <v>44231</v>
      </c>
      <c r="D425" s="5" t="s">
        <v>25</v>
      </c>
      <c r="E425" s="5" t="s">
        <v>15</v>
      </c>
      <c r="F425" s="5" t="s">
        <v>15</v>
      </c>
      <c r="G425" s="5" t="s">
        <v>3</v>
      </c>
      <c r="H425" s="6" t="n">
        <v>102800</v>
      </c>
    </row>
    <row r="426" customFormat="false" ht="15" hidden="false" customHeight="false" outlineLevel="0" collapsed="false">
      <c r="A426" s="11" t="n">
        <v>44223</v>
      </c>
      <c r="B426" s="11" t="n">
        <v>44238</v>
      </c>
      <c r="C426" s="11" t="n">
        <v>44231</v>
      </c>
      <c r="D426" s="5" t="s">
        <v>25</v>
      </c>
      <c r="E426" s="5" t="s">
        <v>15</v>
      </c>
      <c r="F426" s="5" t="s">
        <v>15</v>
      </c>
      <c r="G426" s="5" t="s">
        <v>40</v>
      </c>
      <c r="H426" s="6" t="n">
        <v>126500</v>
      </c>
    </row>
    <row r="427" customFormat="false" ht="15" hidden="false" customHeight="false" outlineLevel="0" collapsed="false">
      <c r="A427" s="11" t="n">
        <v>44224</v>
      </c>
      <c r="B427" s="11" t="n">
        <v>44238</v>
      </c>
      <c r="C427" s="11" t="n">
        <v>44231</v>
      </c>
      <c r="D427" s="5" t="s">
        <v>25</v>
      </c>
      <c r="E427" s="5" t="s">
        <v>15</v>
      </c>
      <c r="F427" s="5" t="s">
        <v>15</v>
      </c>
      <c r="G427" s="5" t="s">
        <v>3</v>
      </c>
      <c r="H427" s="6" t="n">
        <v>213600</v>
      </c>
    </row>
    <row r="428" customFormat="false" ht="15" hidden="false" customHeight="false" outlineLevel="0" collapsed="false">
      <c r="A428" s="11" t="n">
        <v>44232</v>
      </c>
      <c r="B428" s="11" t="n">
        <v>44252</v>
      </c>
      <c r="C428" s="11" t="n">
        <v>44245</v>
      </c>
      <c r="D428" s="5" t="s">
        <v>25</v>
      </c>
      <c r="E428" s="5" t="s">
        <v>15</v>
      </c>
      <c r="F428" s="5" t="s">
        <v>15</v>
      </c>
      <c r="G428" s="5" t="s">
        <v>3</v>
      </c>
      <c r="H428" s="6" t="n">
        <v>101600</v>
      </c>
    </row>
    <row r="429" customFormat="false" ht="15" hidden="false" customHeight="false" outlineLevel="0" collapsed="false">
      <c r="A429" s="11" t="n">
        <v>44237</v>
      </c>
      <c r="B429" s="11" t="n">
        <v>44252</v>
      </c>
      <c r="C429" s="11" t="n">
        <v>44245</v>
      </c>
      <c r="D429" s="5" t="s">
        <v>25</v>
      </c>
      <c r="E429" s="5" t="s">
        <v>15</v>
      </c>
      <c r="F429" s="5" t="s">
        <v>15</v>
      </c>
      <c r="G429" s="5" t="s">
        <v>3</v>
      </c>
      <c r="H429" s="6" t="n">
        <v>132000</v>
      </c>
    </row>
    <row r="430" customFormat="false" ht="15" hidden="false" customHeight="false" outlineLevel="0" collapsed="false">
      <c r="A430" s="11" t="n">
        <v>44285</v>
      </c>
      <c r="B430" s="11" t="n">
        <v>44301</v>
      </c>
      <c r="C430" s="11" t="n">
        <v>44294</v>
      </c>
      <c r="D430" s="5" t="s">
        <v>25</v>
      </c>
      <c r="E430" s="5" t="s">
        <v>15</v>
      </c>
      <c r="F430" s="5" t="s">
        <v>15</v>
      </c>
      <c r="G430" s="5" t="s">
        <v>3</v>
      </c>
      <c r="H430" s="6" t="n">
        <v>100800</v>
      </c>
    </row>
    <row r="431" customFormat="false" ht="15" hidden="false" customHeight="false" outlineLevel="0" collapsed="false">
      <c r="A431" s="11" t="n">
        <v>44309</v>
      </c>
      <c r="B431" s="11" t="n">
        <v>44329</v>
      </c>
      <c r="C431" s="11" t="n">
        <v>44322</v>
      </c>
      <c r="D431" s="5" t="s">
        <v>25</v>
      </c>
      <c r="E431" s="5" t="s">
        <v>16</v>
      </c>
      <c r="F431" s="5" t="s">
        <v>15</v>
      </c>
      <c r="G431" s="5" t="s">
        <v>3</v>
      </c>
      <c r="H431" s="6" t="n">
        <v>336000</v>
      </c>
    </row>
    <row r="432" customFormat="false" ht="15" hidden="false" customHeight="false" outlineLevel="0" collapsed="false">
      <c r="A432" s="11" t="n">
        <v>44312</v>
      </c>
      <c r="B432" s="11" t="n">
        <v>44329</v>
      </c>
      <c r="C432" s="11" t="n">
        <v>44322</v>
      </c>
      <c r="D432" s="5" t="s">
        <v>25</v>
      </c>
      <c r="E432" s="5" t="s">
        <v>16</v>
      </c>
      <c r="F432" s="5" t="s">
        <v>15</v>
      </c>
      <c r="G432" s="5" t="s">
        <v>40</v>
      </c>
      <c r="H432" s="6" t="n">
        <v>120000</v>
      </c>
    </row>
    <row r="433" customFormat="false" ht="15" hidden="false" customHeight="false" outlineLevel="0" collapsed="false">
      <c r="A433" s="11" t="n">
        <v>44313</v>
      </c>
      <c r="B433" s="11" t="n">
        <v>44329</v>
      </c>
      <c r="C433" s="11" t="n">
        <v>44322</v>
      </c>
      <c r="D433" s="5" t="s">
        <v>25</v>
      </c>
      <c r="E433" s="5" t="s">
        <v>15</v>
      </c>
      <c r="F433" s="5" t="s">
        <v>15</v>
      </c>
      <c r="G433" s="5" t="s">
        <v>3</v>
      </c>
      <c r="H433" s="6" t="n">
        <v>50800</v>
      </c>
    </row>
    <row r="434" customFormat="false" ht="15" hidden="false" customHeight="false" outlineLevel="0" collapsed="false">
      <c r="A434" s="11" t="n">
        <v>44313</v>
      </c>
      <c r="B434" s="11" t="n">
        <v>44329</v>
      </c>
      <c r="C434" s="11" t="n">
        <v>44322</v>
      </c>
      <c r="D434" s="5" t="s">
        <v>25</v>
      </c>
      <c r="E434" s="5" t="s">
        <v>16</v>
      </c>
      <c r="F434" s="5" t="s">
        <v>15</v>
      </c>
      <c r="G434" s="5" t="s">
        <v>3</v>
      </c>
      <c r="H434" s="6" t="n">
        <v>50800</v>
      </c>
    </row>
    <row r="435" customFormat="false" ht="15" hidden="false" customHeight="false" outlineLevel="0" collapsed="false">
      <c r="A435" s="11" t="n">
        <v>44321</v>
      </c>
      <c r="B435" s="11" t="n">
        <v>44336</v>
      </c>
      <c r="C435" s="11" t="n">
        <v>44329</v>
      </c>
      <c r="D435" s="5" t="s">
        <v>25</v>
      </c>
      <c r="E435" s="5" t="s">
        <v>15</v>
      </c>
      <c r="F435" s="5" t="s">
        <v>15</v>
      </c>
      <c r="G435" s="5" t="s">
        <v>3</v>
      </c>
      <c r="H435" s="6" t="n">
        <v>45720</v>
      </c>
    </row>
    <row r="436" customFormat="false" ht="15" hidden="false" customHeight="false" outlineLevel="0" collapsed="false">
      <c r="A436" s="11" t="n">
        <v>44321</v>
      </c>
      <c r="B436" s="11" t="n">
        <v>44336</v>
      </c>
      <c r="C436" s="11" t="n">
        <v>44329</v>
      </c>
      <c r="D436" s="5" t="s">
        <v>25</v>
      </c>
      <c r="E436" s="5" t="s">
        <v>16</v>
      </c>
      <c r="F436" s="5" t="s">
        <v>15</v>
      </c>
      <c r="G436" s="5" t="s">
        <v>3</v>
      </c>
      <c r="H436" s="6" t="n">
        <v>101600</v>
      </c>
    </row>
    <row r="437" customFormat="false" ht="15" hidden="false" customHeight="false" outlineLevel="0" collapsed="false">
      <c r="A437" s="11" t="n">
        <v>44323</v>
      </c>
      <c r="B437" s="11" t="n">
        <v>44343</v>
      </c>
      <c r="C437" s="11" t="n">
        <v>44336</v>
      </c>
      <c r="D437" s="5" t="s">
        <v>25</v>
      </c>
      <c r="E437" s="5" t="s">
        <v>15</v>
      </c>
      <c r="F437" s="5" t="s">
        <v>15</v>
      </c>
      <c r="G437" s="5" t="s">
        <v>3</v>
      </c>
      <c r="H437" s="6" t="n">
        <v>86868</v>
      </c>
    </row>
    <row r="438" customFormat="false" ht="15" hidden="false" customHeight="false" outlineLevel="0" collapsed="false">
      <c r="A438" s="11" t="n">
        <v>44323</v>
      </c>
      <c r="B438" s="11" t="n">
        <v>44343</v>
      </c>
      <c r="C438" s="11" t="n">
        <v>44336</v>
      </c>
      <c r="D438" s="5" t="s">
        <v>25</v>
      </c>
      <c r="E438" s="5" t="s">
        <v>16</v>
      </c>
      <c r="F438" s="5" t="s">
        <v>15</v>
      </c>
      <c r="G438" s="5" t="s">
        <v>3</v>
      </c>
      <c r="H438" s="6" t="n">
        <v>101600</v>
      </c>
    </row>
    <row r="439" customFormat="false" ht="15" hidden="false" customHeight="false" outlineLevel="0" collapsed="false">
      <c r="A439" s="11" t="n">
        <v>44343</v>
      </c>
      <c r="B439" s="11" t="n">
        <v>44357</v>
      </c>
      <c r="C439" s="11" t="n">
        <v>44350</v>
      </c>
      <c r="D439" s="5" t="s">
        <v>25</v>
      </c>
      <c r="E439" s="5" t="s">
        <v>16</v>
      </c>
      <c r="F439" s="5" t="s">
        <v>15</v>
      </c>
      <c r="G439" s="5" t="s">
        <v>3</v>
      </c>
      <c r="H439" s="6" t="n">
        <v>152400</v>
      </c>
    </row>
    <row r="440" customFormat="false" ht="15" hidden="false" customHeight="false" outlineLevel="0" collapsed="false">
      <c r="A440" s="11" t="n">
        <v>44363</v>
      </c>
      <c r="B440" s="11" t="n">
        <v>44378</v>
      </c>
      <c r="C440" s="11" t="n">
        <v>44371</v>
      </c>
      <c r="D440" s="5" t="s">
        <v>25</v>
      </c>
      <c r="E440" s="5" t="s">
        <v>16</v>
      </c>
      <c r="F440" s="5" t="s">
        <v>15</v>
      </c>
      <c r="G440" s="5" t="s">
        <v>3</v>
      </c>
      <c r="H440" s="6" t="n">
        <v>153416</v>
      </c>
    </row>
    <row r="441" customFormat="false" ht="15" hidden="false" customHeight="false" outlineLevel="0" collapsed="false">
      <c r="A441" s="11" t="n">
        <v>44368</v>
      </c>
      <c r="B441" s="11" t="n">
        <v>44385</v>
      </c>
      <c r="C441" s="11" t="n">
        <v>44378</v>
      </c>
      <c r="D441" s="5" t="s">
        <v>25</v>
      </c>
      <c r="E441" s="5" t="s">
        <v>16</v>
      </c>
      <c r="F441" s="5" t="s">
        <v>15</v>
      </c>
      <c r="G441" s="5" t="s">
        <v>40</v>
      </c>
      <c r="H441" s="6" t="n">
        <v>120000</v>
      </c>
    </row>
    <row r="442" customFormat="false" ht="15" hidden="false" customHeight="false" outlineLevel="0" collapsed="false">
      <c r="A442" s="11" t="n">
        <v>44371</v>
      </c>
      <c r="B442" s="11" t="n">
        <v>44385</v>
      </c>
      <c r="C442" s="11" t="n">
        <v>44378</v>
      </c>
      <c r="D442" s="5" t="s">
        <v>25</v>
      </c>
      <c r="E442" s="5" t="s">
        <v>16</v>
      </c>
      <c r="F442" s="5" t="s">
        <v>15</v>
      </c>
      <c r="G442" s="5" t="s">
        <v>40</v>
      </c>
      <c r="H442" s="6" t="n">
        <v>260000</v>
      </c>
    </row>
    <row r="443" customFormat="false" ht="15" hidden="false" customHeight="false" outlineLevel="0" collapsed="false">
      <c r="A443" s="11" t="n">
        <v>44406</v>
      </c>
      <c r="B443" s="11" t="n">
        <v>44420</v>
      </c>
      <c r="C443" s="11" t="n">
        <v>44413</v>
      </c>
      <c r="D443" s="5" t="s">
        <v>25</v>
      </c>
      <c r="E443" s="5" t="s">
        <v>16</v>
      </c>
      <c r="F443" s="5" t="s">
        <v>15</v>
      </c>
      <c r="G443" s="5" t="s">
        <v>40</v>
      </c>
      <c r="H443" s="6" t="n">
        <v>132000</v>
      </c>
    </row>
    <row r="444" customFormat="false" ht="15" hidden="false" customHeight="false" outlineLevel="0" collapsed="false">
      <c r="A444" s="11" t="n">
        <v>44413</v>
      </c>
      <c r="B444" s="11" t="n">
        <v>44427</v>
      </c>
      <c r="C444" s="11" t="n">
        <v>44420</v>
      </c>
      <c r="D444" s="5" t="s">
        <v>25</v>
      </c>
      <c r="E444" s="5" t="s">
        <v>16</v>
      </c>
      <c r="F444" s="5" t="s">
        <v>15</v>
      </c>
      <c r="G444" s="5" t="s">
        <v>40</v>
      </c>
      <c r="H444" s="6" t="n">
        <v>300000</v>
      </c>
    </row>
    <row r="445" customFormat="false" ht="15" hidden="false" customHeight="false" outlineLevel="0" collapsed="false">
      <c r="A445" s="11" t="n">
        <v>44417</v>
      </c>
      <c r="B445" s="11" t="n">
        <v>44434</v>
      </c>
      <c r="C445" s="11" t="n">
        <v>44427</v>
      </c>
      <c r="D445" s="5" t="s">
        <v>25</v>
      </c>
      <c r="E445" s="5" t="s">
        <v>16</v>
      </c>
      <c r="F445" s="5" t="s">
        <v>15</v>
      </c>
      <c r="G445" s="5" t="s">
        <v>40</v>
      </c>
      <c r="H445" s="6" t="n">
        <v>104000</v>
      </c>
    </row>
    <row r="446" customFormat="false" ht="15" hidden="false" customHeight="false" outlineLevel="0" collapsed="false">
      <c r="A446" s="11" t="n">
        <v>44418</v>
      </c>
      <c r="B446" s="11" t="n">
        <v>44434</v>
      </c>
      <c r="C446" s="11" t="n">
        <v>44427</v>
      </c>
      <c r="D446" s="5" t="s">
        <v>25</v>
      </c>
      <c r="E446" s="5" t="s">
        <v>16</v>
      </c>
      <c r="F446" s="5" t="s">
        <v>15</v>
      </c>
      <c r="G446" s="5" t="s">
        <v>40</v>
      </c>
      <c r="H446" s="6" t="n">
        <v>130000</v>
      </c>
    </row>
    <row r="447" customFormat="false" ht="15" hidden="false" customHeight="false" outlineLevel="0" collapsed="false">
      <c r="A447" s="11" t="n">
        <v>44420</v>
      </c>
      <c r="B447" s="11" t="n">
        <v>44434</v>
      </c>
      <c r="C447" s="11" t="n">
        <v>44427</v>
      </c>
      <c r="D447" s="5" t="s">
        <v>25</v>
      </c>
      <c r="E447" s="5" t="s">
        <v>16</v>
      </c>
      <c r="F447" s="5" t="s">
        <v>15</v>
      </c>
      <c r="G447" s="5" t="s">
        <v>40</v>
      </c>
      <c r="H447" s="6" t="n">
        <v>198000</v>
      </c>
    </row>
    <row r="448" customFormat="false" ht="15" hidden="false" customHeight="false" outlineLevel="0" collapsed="false">
      <c r="A448" s="11" t="n">
        <v>44421</v>
      </c>
      <c r="B448" s="11" t="n">
        <v>44441</v>
      </c>
      <c r="C448" s="11" t="n">
        <v>44434</v>
      </c>
      <c r="D448" s="5" t="s">
        <v>25</v>
      </c>
      <c r="E448" s="5" t="s">
        <v>15</v>
      </c>
      <c r="F448" s="5" t="s">
        <v>15</v>
      </c>
      <c r="G448" s="5" t="s">
        <v>40</v>
      </c>
      <c r="H448" s="6" t="n">
        <v>200</v>
      </c>
    </row>
    <row r="449" customFormat="false" ht="15" hidden="false" customHeight="false" outlineLevel="0" collapsed="false">
      <c r="A449" s="11" t="n">
        <v>44421</v>
      </c>
      <c r="B449" s="11" t="n">
        <v>44441</v>
      </c>
      <c r="C449" s="11" t="n">
        <v>44434</v>
      </c>
      <c r="D449" s="5" t="s">
        <v>25</v>
      </c>
      <c r="E449" s="5" t="s">
        <v>16</v>
      </c>
      <c r="F449" s="5" t="s">
        <v>15</v>
      </c>
      <c r="G449" s="5" t="s">
        <v>40</v>
      </c>
      <c r="H449" s="6" t="n">
        <v>326000</v>
      </c>
    </row>
    <row r="450" customFormat="false" ht="15" hidden="false" customHeight="false" outlineLevel="0" collapsed="false">
      <c r="A450" s="11" t="n">
        <v>44424</v>
      </c>
      <c r="B450" s="11" t="n">
        <v>44441</v>
      </c>
      <c r="C450" s="11" t="n">
        <v>44434</v>
      </c>
      <c r="D450" s="5" t="s">
        <v>25</v>
      </c>
      <c r="E450" s="5" t="s">
        <v>16</v>
      </c>
      <c r="F450" s="5" t="s">
        <v>15</v>
      </c>
      <c r="G450" s="5" t="s">
        <v>40</v>
      </c>
      <c r="H450" s="6" t="n">
        <v>132000</v>
      </c>
    </row>
    <row r="451" customFormat="false" ht="15" hidden="false" customHeight="false" outlineLevel="0" collapsed="false">
      <c r="A451" s="11" t="n">
        <v>44425</v>
      </c>
      <c r="B451" s="11" t="n">
        <v>44441</v>
      </c>
      <c r="C451" s="11" t="n">
        <v>44434</v>
      </c>
      <c r="D451" s="5" t="s">
        <v>25</v>
      </c>
      <c r="E451" s="5" t="s">
        <v>16</v>
      </c>
      <c r="F451" s="5" t="s">
        <v>15</v>
      </c>
      <c r="G451" s="5" t="s">
        <v>40</v>
      </c>
      <c r="H451" s="6" t="n">
        <v>132000</v>
      </c>
    </row>
    <row r="452" customFormat="false" ht="15" hidden="false" customHeight="false" outlineLevel="0" collapsed="false">
      <c r="A452" s="11" t="n">
        <v>44434</v>
      </c>
      <c r="B452" s="11" t="n">
        <v>44448</v>
      </c>
      <c r="C452" s="11" t="n">
        <v>44441</v>
      </c>
      <c r="D452" s="5" t="s">
        <v>25</v>
      </c>
      <c r="E452" s="5" t="s">
        <v>16</v>
      </c>
      <c r="F452" s="5" t="s">
        <v>15</v>
      </c>
      <c r="G452" s="5" t="s">
        <v>40</v>
      </c>
      <c r="H452" s="6" t="n">
        <v>132150</v>
      </c>
    </row>
    <row r="453" customFormat="false" ht="15" hidden="false" customHeight="false" outlineLevel="0" collapsed="false">
      <c r="A453" s="11" t="n">
        <v>44452</v>
      </c>
      <c r="B453" s="11" t="n">
        <v>44469</v>
      </c>
      <c r="C453" s="11" t="n">
        <v>44462</v>
      </c>
      <c r="D453" s="5" t="s">
        <v>25</v>
      </c>
      <c r="E453" s="5" t="s">
        <v>16</v>
      </c>
      <c r="F453" s="5" t="s">
        <v>16</v>
      </c>
      <c r="G453" s="5" t="s">
        <v>40</v>
      </c>
      <c r="H453" s="6" t="n">
        <v>132000</v>
      </c>
    </row>
    <row r="454" customFormat="false" ht="15" hidden="false" customHeight="false" outlineLevel="0" collapsed="false">
      <c r="A454" s="11" t="n">
        <v>44454</v>
      </c>
      <c r="B454" s="11" t="n">
        <v>44469</v>
      </c>
      <c r="C454" s="11" t="n">
        <v>44462</v>
      </c>
      <c r="D454" s="5" t="s">
        <v>25</v>
      </c>
      <c r="E454" s="5" t="s">
        <v>16</v>
      </c>
      <c r="F454" s="5" t="s">
        <v>16</v>
      </c>
      <c r="G454" s="5" t="s">
        <v>40</v>
      </c>
      <c r="H454" s="6" t="n">
        <v>196000</v>
      </c>
    </row>
    <row r="455" customFormat="false" ht="15" hidden="false" customHeight="false" outlineLevel="0" collapsed="false">
      <c r="A455" s="11" t="n">
        <v>44482</v>
      </c>
      <c r="B455" s="11" t="n">
        <v>44497</v>
      </c>
      <c r="C455" s="11" t="n">
        <v>44490</v>
      </c>
      <c r="D455" s="5" t="s">
        <v>25</v>
      </c>
      <c r="E455" s="5" t="s">
        <v>16</v>
      </c>
      <c r="F455" s="5" t="s">
        <v>16</v>
      </c>
      <c r="G455" s="5" t="s">
        <v>3</v>
      </c>
      <c r="H455" s="6" t="n">
        <v>161544</v>
      </c>
    </row>
    <row r="456" customFormat="false" ht="15" hidden="false" customHeight="false" outlineLevel="0" collapsed="false">
      <c r="A456" s="11" t="n">
        <v>44482</v>
      </c>
      <c r="B456" s="11" t="n">
        <v>44497</v>
      </c>
      <c r="C456" s="11" t="n">
        <v>44490</v>
      </c>
      <c r="D456" s="5" t="s">
        <v>25</v>
      </c>
      <c r="E456" s="5" t="s">
        <v>16</v>
      </c>
      <c r="F456" s="5" t="s">
        <v>16</v>
      </c>
      <c r="G456" s="5" t="s">
        <v>40</v>
      </c>
      <c r="H456" s="6" t="n">
        <v>198000</v>
      </c>
    </row>
    <row r="457" customFormat="false" ht="15" hidden="false" customHeight="false" outlineLevel="0" collapsed="false">
      <c r="A457" s="11" t="n">
        <v>44483</v>
      </c>
      <c r="B457" s="11" t="n">
        <v>44497</v>
      </c>
      <c r="C457" s="11" t="n">
        <v>44490</v>
      </c>
      <c r="D457" s="5" t="s">
        <v>25</v>
      </c>
      <c r="E457" s="5" t="s">
        <v>16</v>
      </c>
      <c r="F457" s="5" t="s">
        <v>16</v>
      </c>
      <c r="G457" s="5" t="s">
        <v>40</v>
      </c>
      <c r="H457" s="6" t="n">
        <v>132000</v>
      </c>
    </row>
    <row r="458" customFormat="false" ht="15" hidden="false" customHeight="false" outlineLevel="0" collapsed="false">
      <c r="A458" s="11" t="n">
        <v>44484</v>
      </c>
      <c r="B458" s="11" t="n">
        <v>44504</v>
      </c>
      <c r="C458" s="11" t="n">
        <v>44497</v>
      </c>
      <c r="D458" s="5" t="s">
        <v>25</v>
      </c>
      <c r="E458" s="5" t="s">
        <v>16</v>
      </c>
      <c r="F458" s="5" t="s">
        <v>16</v>
      </c>
      <c r="G458" s="5" t="s">
        <v>40</v>
      </c>
      <c r="H458" s="6" t="n">
        <v>722750</v>
      </c>
    </row>
    <row r="459" customFormat="false" ht="15" hidden="false" customHeight="false" outlineLevel="0" collapsed="false">
      <c r="A459" s="11" t="n">
        <v>44498</v>
      </c>
      <c r="B459" s="11" t="n">
        <v>44518</v>
      </c>
      <c r="C459" s="11" t="n">
        <v>44511</v>
      </c>
      <c r="D459" s="5" t="s">
        <v>25</v>
      </c>
      <c r="E459" s="5" t="s">
        <v>16</v>
      </c>
      <c r="F459" s="5" t="s">
        <v>16</v>
      </c>
      <c r="G459" s="5" t="s">
        <v>40</v>
      </c>
      <c r="H459" s="6" t="n">
        <v>354350</v>
      </c>
    </row>
    <row r="460" customFormat="false" ht="15" hidden="false" customHeight="false" outlineLevel="0" collapsed="false">
      <c r="A460" s="11" t="n">
        <v>44512</v>
      </c>
      <c r="B460" s="11" t="n">
        <v>44532</v>
      </c>
      <c r="C460" s="11" t="n">
        <v>44525</v>
      </c>
      <c r="D460" s="5" t="s">
        <v>25</v>
      </c>
      <c r="E460" s="5" t="s">
        <v>16</v>
      </c>
      <c r="F460" s="5" t="s">
        <v>16</v>
      </c>
      <c r="G460" s="5" t="s">
        <v>40</v>
      </c>
      <c r="H460" s="6" t="n">
        <v>256930</v>
      </c>
    </row>
    <row r="461" customFormat="false" ht="15" hidden="false" customHeight="false" outlineLevel="0" collapsed="false">
      <c r="A461" s="11" t="n">
        <v>44515</v>
      </c>
      <c r="B461" s="11" t="n">
        <v>44532</v>
      </c>
      <c r="C461" s="11" t="n">
        <v>44525</v>
      </c>
      <c r="D461" s="5" t="s">
        <v>25</v>
      </c>
      <c r="E461" s="5" t="s">
        <v>16</v>
      </c>
      <c r="F461" s="5" t="s">
        <v>16</v>
      </c>
      <c r="G461" s="5" t="s">
        <v>40</v>
      </c>
      <c r="H461" s="6" t="n">
        <v>264000</v>
      </c>
    </row>
    <row r="462" customFormat="false" ht="15" hidden="false" customHeight="false" outlineLevel="0" collapsed="false">
      <c r="A462" s="11" t="n">
        <v>44516</v>
      </c>
      <c r="B462" s="11" t="n">
        <v>44532</v>
      </c>
      <c r="C462" s="11" t="n">
        <v>44525</v>
      </c>
      <c r="D462" s="5" t="s">
        <v>25</v>
      </c>
      <c r="E462" s="5" t="s">
        <v>16</v>
      </c>
      <c r="F462" s="5" t="s">
        <v>16</v>
      </c>
      <c r="G462" s="5" t="s">
        <v>40</v>
      </c>
      <c r="H462" s="6" t="n">
        <v>161000</v>
      </c>
    </row>
    <row r="463" customFormat="false" ht="15" hidden="false" customHeight="false" outlineLevel="0" collapsed="false">
      <c r="A463" s="11" t="n">
        <v>44524</v>
      </c>
      <c r="B463" s="11" t="n">
        <v>44539</v>
      </c>
      <c r="C463" s="11" t="n">
        <v>44532</v>
      </c>
      <c r="D463" s="5" t="s">
        <v>25</v>
      </c>
      <c r="E463" s="5" t="s">
        <v>16</v>
      </c>
      <c r="F463" s="5" t="s">
        <v>16</v>
      </c>
      <c r="G463" s="5" t="s">
        <v>40</v>
      </c>
      <c r="H463" s="6" t="n">
        <v>330000</v>
      </c>
    </row>
    <row r="464" customFormat="false" ht="15" hidden="false" customHeight="false" outlineLevel="0" collapsed="false">
      <c r="A464" s="11" t="n">
        <v>44530</v>
      </c>
      <c r="B464" s="11" t="n">
        <v>44546</v>
      </c>
      <c r="C464" s="11" t="n">
        <v>44539</v>
      </c>
      <c r="D464" s="5" t="s">
        <v>25</v>
      </c>
      <c r="E464" s="5" t="s">
        <v>16</v>
      </c>
      <c r="F464" s="5" t="s">
        <v>16</v>
      </c>
      <c r="G464" s="5" t="s">
        <v>40</v>
      </c>
      <c r="H464" s="6" t="n">
        <v>132000</v>
      </c>
    </row>
    <row r="465" customFormat="false" ht="15" hidden="false" customHeight="false" outlineLevel="0" collapsed="false">
      <c r="A465" s="11" t="n">
        <v>44532</v>
      </c>
      <c r="B465" s="11" t="n">
        <v>44546</v>
      </c>
      <c r="C465" s="11" t="n">
        <v>44539</v>
      </c>
      <c r="D465" s="5" t="s">
        <v>25</v>
      </c>
      <c r="E465" s="5" t="s">
        <v>16</v>
      </c>
      <c r="F465" s="5" t="s">
        <v>16</v>
      </c>
      <c r="G465" s="5" t="s">
        <v>40</v>
      </c>
      <c r="H465" s="6" t="n">
        <v>164100</v>
      </c>
    </row>
    <row r="466" customFormat="false" ht="15" hidden="false" customHeight="false" outlineLevel="0" collapsed="false">
      <c r="A466" s="11" t="n">
        <v>44533</v>
      </c>
      <c r="B466" s="11" t="n">
        <v>44553</v>
      </c>
      <c r="C466" s="11" t="n">
        <v>44546</v>
      </c>
      <c r="D466" s="5" t="s">
        <v>25</v>
      </c>
      <c r="E466" s="5" t="s">
        <v>16</v>
      </c>
      <c r="F466" s="5" t="s">
        <v>16</v>
      </c>
      <c r="G466" s="5" t="s">
        <v>40</v>
      </c>
      <c r="H466" s="6" t="n">
        <v>122000</v>
      </c>
    </row>
    <row r="467" customFormat="false" ht="15" hidden="false" customHeight="false" outlineLevel="0" collapsed="false">
      <c r="A467" s="11" t="n">
        <v>44537</v>
      </c>
      <c r="B467" s="11" t="n">
        <v>44553</v>
      </c>
      <c r="C467" s="11" t="n">
        <v>44546</v>
      </c>
      <c r="D467" s="5" t="s">
        <v>25</v>
      </c>
      <c r="E467" s="5" t="s">
        <v>16</v>
      </c>
      <c r="F467" s="5" t="s">
        <v>16</v>
      </c>
      <c r="G467" s="5" t="s">
        <v>40</v>
      </c>
      <c r="H467" s="6" t="n">
        <v>123000</v>
      </c>
    </row>
    <row r="468" customFormat="false" ht="15" hidden="false" customHeight="false" outlineLevel="0" collapsed="false">
      <c r="A468" s="11" t="n">
        <v>44539</v>
      </c>
      <c r="B468" s="11" t="n">
        <v>44553</v>
      </c>
      <c r="C468" s="11" t="n">
        <v>44546</v>
      </c>
      <c r="D468" s="5" t="s">
        <v>25</v>
      </c>
      <c r="E468" s="5" t="s">
        <v>16</v>
      </c>
      <c r="F468" s="5" t="s">
        <v>16</v>
      </c>
      <c r="G468" s="5" t="s">
        <v>40</v>
      </c>
      <c r="H468" s="6" t="n">
        <v>140000</v>
      </c>
    </row>
    <row r="469" customFormat="false" ht="15" hidden="false" customHeight="false" outlineLevel="0" collapsed="false">
      <c r="A469" s="11" t="n">
        <v>44539</v>
      </c>
      <c r="B469" s="11" t="n">
        <v>44553</v>
      </c>
      <c r="C469" s="11" t="n">
        <v>44546</v>
      </c>
      <c r="D469" s="5" t="s">
        <v>25</v>
      </c>
      <c r="E469" s="5" t="s">
        <v>17</v>
      </c>
      <c r="F469" s="5" t="s">
        <v>16</v>
      </c>
      <c r="G469" s="5" t="s">
        <v>40</v>
      </c>
      <c r="H469" s="6" t="n">
        <v>140000</v>
      </c>
    </row>
    <row r="470" customFormat="false" ht="15" hidden="false" customHeight="false" outlineLevel="0" collapsed="false">
      <c r="A470" s="11" t="n">
        <v>44557</v>
      </c>
      <c r="B470" s="11" t="n">
        <v>44574</v>
      </c>
      <c r="C470" s="11" t="n">
        <v>44567</v>
      </c>
      <c r="D470" s="5" t="s">
        <v>25</v>
      </c>
      <c r="E470" s="5" t="s">
        <v>16</v>
      </c>
      <c r="F470" s="5" t="s">
        <v>16</v>
      </c>
      <c r="G470" s="5" t="s">
        <v>3</v>
      </c>
      <c r="H470" s="6" t="n">
        <v>269240</v>
      </c>
    </row>
    <row r="471" customFormat="false" ht="15" hidden="false" customHeight="false" outlineLevel="0" collapsed="false">
      <c r="A471" s="11" t="n">
        <v>44566</v>
      </c>
      <c r="B471" s="11" t="n">
        <v>44581</v>
      </c>
      <c r="C471" s="11" t="n">
        <v>44574</v>
      </c>
      <c r="D471" s="5" t="s">
        <v>25</v>
      </c>
      <c r="E471" s="5" t="s">
        <v>17</v>
      </c>
      <c r="F471" s="5" t="s">
        <v>16</v>
      </c>
      <c r="G471" s="5" t="s">
        <v>40</v>
      </c>
      <c r="H471" s="6" t="n">
        <v>132000</v>
      </c>
    </row>
    <row r="472" customFormat="false" ht="15" hidden="false" customHeight="false" outlineLevel="0" collapsed="false">
      <c r="A472" s="11" t="n">
        <v>44568</v>
      </c>
      <c r="B472" s="11" t="n">
        <v>44588</v>
      </c>
      <c r="C472" s="11" t="n">
        <v>44581</v>
      </c>
      <c r="D472" s="5" t="s">
        <v>25</v>
      </c>
      <c r="E472" s="5" t="s">
        <v>17</v>
      </c>
      <c r="F472" s="5" t="s">
        <v>16</v>
      </c>
      <c r="G472" s="5" t="s">
        <v>40</v>
      </c>
      <c r="H472" s="6" t="n">
        <v>120000</v>
      </c>
    </row>
    <row r="473" customFormat="false" ht="15" hidden="false" customHeight="false" outlineLevel="0" collapsed="false">
      <c r="A473" s="11" t="n">
        <v>44573</v>
      </c>
      <c r="B473" s="11" t="n">
        <v>44588</v>
      </c>
      <c r="C473" s="11" t="n">
        <v>44581</v>
      </c>
      <c r="D473" s="5" t="s">
        <v>25</v>
      </c>
      <c r="E473" s="5" t="s">
        <v>16</v>
      </c>
      <c r="F473" s="5" t="s">
        <v>16</v>
      </c>
      <c r="G473" s="5" t="s">
        <v>3</v>
      </c>
      <c r="H473" s="6" t="n">
        <v>100000</v>
      </c>
    </row>
    <row r="474" customFormat="false" ht="15" hidden="false" customHeight="false" outlineLevel="0" collapsed="false">
      <c r="A474" s="11" t="n">
        <v>44582</v>
      </c>
      <c r="B474" s="11" t="n">
        <v>44602</v>
      </c>
      <c r="C474" s="11" t="n">
        <v>44595</v>
      </c>
      <c r="D474" s="5" t="s">
        <v>25</v>
      </c>
      <c r="E474" s="5" t="s">
        <v>16</v>
      </c>
      <c r="F474" s="5" t="s">
        <v>16</v>
      </c>
      <c r="G474" s="5" t="s">
        <v>3</v>
      </c>
      <c r="H474" s="6" t="n">
        <v>247800</v>
      </c>
    </row>
    <row r="475" customFormat="false" ht="15" hidden="false" customHeight="false" outlineLevel="0" collapsed="false">
      <c r="A475" s="11" t="n">
        <v>44585</v>
      </c>
      <c r="B475" s="11" t="n">
        <v>44602</v>
      </c>
      <c r="C475" s="11" t="n">
        <v>44595</v>
      </c>
      <c r="D475" s="5" t="s">
        <v>25</v>
      </c>
      <c r="E475" s="5" t="s">
        <v>16</v>
      </c>
      <c r="F475" s="5" t="s">
        <v>16</v>
      </c>
      <c r="G475" s="5" t="s">
        <v>3</v>
      </c>
      <c r="H475" s="6" t="n">
        <v>150000</v>
      </c>
    </row>
    <row r="476" customFormat="false" ht="15" hidden="false" customHeight="false" outlineLevel="0" collapsed="false">
      <c r="A476" s="11" t="n">
        <v>44589</v>
      </c>
      <c r="B476" s="11" t="n">
        <v>44609</v>
      </c>
      <c r="C476" s="11" t="n">
        <v>44602</v>
      </c>
      <c r="D476" s="5" t="s">
        <v>25</v>
      </c>
      <c r="E476" s="5" t="s">
        <v>16</v>
      </c>
      <c r="F476" s="5" t="s">
        <v>16</v>
      </c>
      <c r="G476" s="5" t="s">
        <v>40</v>
      </c>
      <c r="H476" s="6" t="n">
        <v>251500</v>
      </c>
    </row>
    <row r="477" customFormat="false" ht="15" hidden="false" customHeight="false" outlineLevel="0" collapsed="false">
      <c r="A477" s="11" t="n">
        <v>44594</v>
      </c>
      <c r="B477" s="11" t="n">
        <v>44609</v>
      </c>
      <c r="C477" s="11" t="n">
        <v>44602</v>
      </c>
      <c r="D477" s="5" t="s">
        <v>25</v>
      </c>
      <c r="E477" s="5" t="s">
        <v>16</v>
      </c>
      <c r="F477" s="5" t="s">
        <v>16</v>
      </c>
      <c r="G477" s="5" t="s">
        <v>40</v>
      </c>
      <c r="H477" s="6" t="n">
        <v>380000</v>
      </c>
    </row>
    <row r="478" customFormat="false" ht="15" hidden="false" customHeight="false" outlineLevel="0" collapsed="false">
      <c r="A478" s="11" t="n">
        <v>44596</v>
      </c>
      <c r="B478" s="11" t="n">
        <v>44616</v>
      </c>
      <c r="C478" s="11" t="n">
        <v>44609</v>
      </c>
      <c r="D478" s="5" t="s">
        <v>25</v>
      </c>
      <c r="E478" s="5" t="s">
        <v>16</v>
      </c>
      <c r="F478" s="5" t="s">
        <v>16</v>
      </c>
      <c r="G478" s="5" t="s">
        <v>40</v>
      </c>
      <c r="H478" s="6" t="n">
        <v>252000</v>
      </c>
    </row>
    <row r="479" customFormat="false" ht="15" hidden="false" customHeight="false" outlineLevel="0" collapsed="false">
      <c r="A479" s="11" t="n">
        <v>44596</v>
      </c>
      <c r="B479" s="11" t="n">
        <v>44616</v>
      </c>
      <c r="C479" s="11" t="n">
        <v>44609</v>
      </c>
      <c r="D479" s="5" t="s">
        <v>25</v>
      </c>
      <c r="E479" s="5" t="s">
        <v>17</v>
      </c>
      <c r="F479" s="5" t="s">
        <v>16</v>
      </c>
      <c r="G479" s="5" t="s">
        <v>40</v>
      </c>
      <c r="H479" s="6" t="n">
        <v>43000</v>
      </c>
    </row>
    <row r="480" customFormat="false" ht="15" hidden="false" customHeight="false" outlineLevel="0" collapsed="false">
      <c r="A480" s="11" t="n">
        <v>44599</v>
      </c>
      <c r="B480" s="11" t="n">
        <v>44616</v>
      </c>
      <c r="C480" s="11" t="n">
        <v>44609</v>
      </c>
      <c r="D480" s="5" t="s">
        <v>25</v>
      </c>
      <c r="E480" s="5" t="s">
        <v>16</v>
      </c>
      <c r="F480" s="5" t="s">
        <v>16</v>
      </c>
      <c r="G480" s="5" t="s">
        <v>40</v>
      </c>
      <c r="H480" s="6" t="n">
        <v>249000</v>
      </c>
    </row>
    <row r="481" customFormat="false" ht="15" hidden="false" customHeight="false" outlineLevel="0" collapsed="false">
      <c r="A481" s="11" t="n">
        <v>44599</v>
      </c>
      <c r="B481" s="11" t="n">
        <v>44616</v>
      </c>
      <c r="C481" s="11" t="n">
        <v>44609</v>
      </c>
      <c r="D481" s="5" t="s">
        <v>25</v>
      </c>
      <c r="E481" s="5" t="s">
        <v>17</v>
      </c>
      <c r="F481" s="5" t="s">
        <v>16</v>
      </c>
      <c r="G481" s="5" t="s">
        <v>40</v>
      </c>
      <c r="H481" s="6" t="n">
        <v>258000</v>
      </c>
    </row>
    <row r="482" customFormat="false" ht="15" hidden="false" customHeight="false" outlineLevel="0" collapsed="false">
      <c r="A482" s="11" t="n">
        <v>44600</v>
      </c>
      <c r="B482" s="11" t="n">
        <v>44616</v>
      </c>
      <c r="C482" s="11" t="n">
        <v>44609</v>
      </c>
      <c r="D482" s="5" t="s">
        <v>25</v>
      </c>
      <c r="E482" s="5" t="s">
        <v>17</v>
      </c>
      <c r="F482" s="5" t="s">
        <v>16</v>
      </c>
      <c r="G482" s="5" t="s">
        <v>40</v>
      </c>
      <c r="H482" s="6" t="n">
        <v>332000</v>
      </c>
    </row>
    <row r="483" customFormat="false" ht="15" hidden="false" customHeight="false" outlineLevel="0" collapsed="false">
      <c r="A483" s="11" t="n">
        <v>44602</v>
      </c>
      <c r="B483" s="11" t="n">
        <v>44616</v>
      </c>
      <c r="C483" s="11" t="n">
        <v>44609</v>
      </c>
      <c r="D483" s="5" t="s">
        <v>25</v>
      </c>
      <c r="E483" s="5" t="s">
        <v>16</v>
      </c>
      <c r="F483" s="5" t="s">
        <v>16</v>
      </c>
      <c r="G483" s="5" t="s">
        <v>40</v>
      </c>
      <c r="H483" s="6" t="n">
        <v>233700</v>
      </c>
    </row>
    <row r="484" customFormat="false" ht="15" hidden="false" customHeight="false" outlineLevel="0" collapsed="false">
      <c r="A484" s="11" t="n">
        <v>44602</v>
      </c>
      <c r="B484" s="11" t="n">
        <v>44616</v>
      </c>
      <c r="C484" s="11" t="n">
        <v>44609</v>
      </c>
      <c r="D484" s="5" t="s">
        <v>25</v>
      </c>
      <c r="E484" s="5" t="s">
        <v>17</v>
      </c>
      <c r="F484" s="5" t="s">
        <v>16</v>
      </c>
      <c r="G484" s="5" t="s">
        <v>40</v>
      </c>
      <c r="H484" s="6" t="n">
        <v>66000</v>
      </c>
    </row>
    <row r="485" customFormat="false" ht="15" hidden="false" customHeight="false" outlineLevel="0" collapsed="false">
      <c r="A485" s="11" t="n">
        <v>44610</v>
      </c>
      <c r="B485" s="11" t="n">
        <v>44630</v>
      </c>
      <c r="C485" s="11" t="n">
        <v>44623</v>
      </c>
      <c r="D485" s="5" t="s">
        <v>25</v>
      </c>
      <c r="E485" s="5" t="s">
        <v>16</v>
      </c>
      <c r="F485" s="5" t="s">
        <v>16</v>
      </c>
      <c r="G485" s="5" t="s">
        <v>40</v>
      </c>
      <c r="H485" s="6" t="n">
        <v>66000</v>
      </c>
    </row>
    <row r="486" customFormat="false" ht="15" hidden="false" customHeight="false" outlineLevel="0" collapsed="false">
      <c r="A486" s="11" t="n">
        <v>44610</v>
      </c>
      <c r="B486" s="11" t="n">
        <v>44630</v>
      </c>
      <c r="C486" s="11" t="n">
        <v>44623</v>
      </c>
      <c r="D486" s="5" t="s">
        <v>25</v>
      </c>
      <c r="E486" s="5" t="s">
        <v>17</v>
      </c>
      <c r="F486" s="5" t="s">
        <v>16</v>
      </c>
      <c r="G486" s="5" t="s">
        <v>40</v>
      </c>
      <c r="H486" s="6" t="n">
        <v>132000</v>
      </c>
    </row>
    <row r="487" customFormat="false" ht="15" hidden="false" customHeight="false" outlineLevel="0" collapsed="false">
      <c r="A487" s="11" t="n">
        <v>44617</v>
      </c>
      <c r="B487" s="11" t="n">
        <v>44637</v>
      </c>
      <c r="C487" s="11" t="n">
        <v>44630</v>
      </c>
      <c r="D487" s="5" t="s">
        <v>25</v>
      </c>
      <c r="E487" s="5" t="s">
        <v>16</v>
      </c>
      <c r="F487" s="5" t="s">
        <v>16</v>
      </c>
      <c r="G487" s="5" t="s">
        <v>40</v>
      </c>
      <c r="H487" s="6" t="n">
        <v>159000</v>
      </c>
    </row>
    <row r="488" customFormat="false" ht="15" hidden="false" customHeight="false" outlineLevel="0" collapsed="false">
      <c r="A488" s="11" t="n">
        <v>44617</v>
      </c>
      <c r="B488" s="11" t="n">
        <v>44637</v>
      </c>
      <c r="C488" s="11" t="n">
        <v>44630</v>
      </c>
      <c r="D488" s="5" t="s">
        <v>25</v>
      </c>
      <c r="E488" s="5" t="s">
        <v>17</v>
      </c>
      <c r="F488" s="5" t="s">
        <v>16</v>
      </c>
      <c r="G488" s="5" t="s">
        <v>40</v>
      </c>
      <c r="H488" s="6" t="n">
        <v>126000</v>
      </c>
    </row>
    <row r="489" customFormat="false" ht="15" hidden="false" customHeight="false" outlineLevel="0" collapsed="false">
      <c r="A489" s="11" t="n">
        <v>44620</v>
      </c>
      <c r="B489" s="11" t="n">
        <v>44637</v>
      </c>
      <c r="C489" s="11" t="n">
        <v>44630</v>
      </c>
      <c r="D489" s="5" t="s">
        <v>25</v>
      </c>
      <c r="E489" s="5" t="s">
        <v>16</v>
      </c>
      <c r="F489" s="5" t="s">
        <v>16</v>
      </c>
      <c r="G489" s="5" t="s">
        <v>40</v>
      </c>
      <c r="H489" s="6" t="n">
        <v>120000</v>
      </c>
    </row>
    <row r="490" customFormat="false" ht="15" hidden="false" customHeight="false" outlineLevel="0" collapsed="false">
      <c r="A490" s="11" t="n">
        <v>44622</v>
      </c>
      <c r="B490" s="11" t="n">
        <v>44637</v>
      </c>
      <c r="C490" s="11" t="n">
        <v>44630</v>
      </c>
      <c r="D490" s="5" t="s">
        <v>25</v>
      </c>
      <c r="E490" s="5" t="s">
        <v>16</v>
      </c>
      <c r="F490" s="5" t="s">
        <v>16</v>
      </c>
      <c r="G490" s="5" t="s">
        <v>40</v>
      </c>
      <c r="H490" s="6" t="n">
        <v>198000</v>
      </c>
    </row>
    <row r="491" customFormat="false" ht="15" hidden="false" customHeight="false" outlineLevel="0" collapsed="false">
      <c r="A491" s="11" t="n">
        <v>44622</v>
      </c>
      <c r="B491" s="11" t="n">
        <v>44637</v>
      </c>
      <c r="C491" s="11" t="n">
        <v>44630</v>
      </c>
      <c r="D491" s="5" t="s">
        <v>25</v>
      </c>
      <c r="E491" s="5" t="s">
        <v>17</v>
      </c>
      <c r="F491" s="5" t="s">
        <v>16</v>
      </c>
      <c r="G491" s="5" t="s">
        <v>40</v>
      </c>
      <c r="H491" s="6" t="n">
        <v>66000</v>
      </c>
    </row>
    <row r="492" customFormat="false" ht="15" hidden="false" customHeight="false" outlineLevel="0" collapsed="false">
      <c r="A492" s="11" t="n">
        <v>44623</v>
      </c>
      <c r="B492" s="11" t="n">
        <v>44637</v>
      </c>
      <c r="C492" s="11" t="n">
        <v>44630</v>
      </c>
      <c r="D492" s="5" t="s">
        <v>25</v>
      </c>
      <c r="E492" s="5" t="s">
        <v>16</v>
      </c>
      <c r="F492" s="5" t="s">
        <v>16</v>
      </c>
      <c r="G492" s="5" t="s">
        <v>3</v>
      </c>
      <c r="H492" s="6" t="n">
        <v>337000</v>
      </c>
    </row>
    <row r="493" customFormat="false" ht="15" hidden="false" customHeight="false" outlineLevel="0" collapsed="false">
      <c r="A493" s="11" t="n">
        <v>44624</v>
      </c>
      <c r="B493" s="11" t="n">
        <v>44644</v>
      </c>
      <c r="C493" s="11" t="n">
        <v>44637</v>
      </c>
      <c r="D493" s="5" t="s">
        <v>25</v>
      </c>
      <c r="E493" s="5" t="s">
        <v>16</v>
      </c>
      <c r="F493" s="5" t="s">
        <v>16</v>
      </c>
      <c r="G493" s="5" t="s">
        <v>40</v>
      </c>
      <c r="H493" s="6" t="n">
        <v>125000</v>
      </c>
    </row>
    <row r="494" customFormat="false" ht="15" hidden="false" customHeight="false" outlineLevel="0" collapsed="false">
      <c r="A494" s="11" t="n">
        <v>44628</v>
      </c>
      <c r="B494" s="11" t="n">
        <v>44644</v>
      </c>
      <c r="C494" s="11" t="n">
        <v>44637</v>
      </c>
      <c r="D494" s="5" t="s">
        <v>25</v>
      </c>
      <c r="E494" s="5" t="s">
        <v>16</v>
      </c>
      <c r="F494" s="5" t="s">
        <v>16</v>
      </c>
      <c r="G494" s="5" t="s">
        <v>40</v>
      </c>
      <c r="H494" s="6" t="n">
        <v>126000</v>
      </c>
    </row>
    <row r="495" customFormat="false" ht="15" hidden="false" customHeight="false" outlineLevel="0" collapsed="false">
      <c r="A495" s="11" t="n">
        <v>44631</v>
      </c>
      <c r="B495" s="11" t="n">
        <v>44651</v>
      </c>
      <c r="C495" s="11" t="n">
        <v>44644</v>
      </c>
      <c r="D495" s="5" t="s">
        <v>25</v>
      </c>
      <c r="E495" s="5" t="s">
        <v>16</v>
      </c>
      <c r="F495" s="5" t="s">
        <v>16</v>
      </c>
      <c r="G495" s="5" t="s">
        <v>3</v>
      </c>
      <c r="H495" s="6" t="n">
        <v>128900</v>
      </c>
    </row>
    <row r="496" customFormat="false" ht="15" hidden="false" customHeight="false" outlineLevel="0" collapsed="false">
      <c r="A496" s="11" t="n">
        <v>44637</v>
      </c>
      <c r="B496" s="11" t="n">
        <v>44651</v>
      </c>
      <c r="C496" s="11" t="n">
        <v>44644</v>
      </c>
      <c r="D496" s="5" t="s">
        <v>25</v>
      </c>
      <c r="E496" s="5" t="s">
        <v>16</v>
      </c>
      <c r="F496" s="5" t="s">
        <v>16</v>
      </c>
      <c r="G496" s="5" t="s">
        <v>3</v>
      </c>
      <c r="H496" s="6" t="n">
        <v>136000</v>
      </c>
    </row>
    <row r="497" customFormat="false" ht="15" hidden="false" customHeight="false" outlineLevel="0" collapsed="false">
      <c r="A497" s="11" t="n">
        <v>44642</v>
      </c>
      <c r="B497" s="11" t="n">
        <v>44658</v>
      </c>
      <c r="C497" s="11" t="n">
        <v>44651</v>
      </c>
      <c r="D497" s="5" t="s">
        <v>25</v>
      </c>
      <c r="E497" s="5" t="s">
        <v>16</v>
      </c>
      <c r="F497" s="5" t="s">
        <v>16</v>
      </c>
      <c r="G497" s="5" t="s">
        <v>40</v>
      </c>
      <c r="H497" s="6" t="n">
        <v>240000</v>
      </c>
    </row>
    <row r="498" customFormat="false" ht="15" hidden="false" customHeight="false" outlineLevel="0" collapsed="false">
      <c r="A498" s="11" t="n">
        <v>44644</v>
      </c>
      <c r="B498" s="11" t="n">
        <v>44658</v>
      </c>
      <c r="C498" s="11" t="n">
        <v>44651</v>
      </c>
      <c r="D498" s="5" t="s">
        <v>25</v>
      </c>
      <c r="E498" s="5" t="s">
        <v>16</v>
      </c>
      <c r="F498" s="5" t="s">
        <v>16</v>
      </c>
      <c r="G498" s="5" t="s">
        <v>40</v>
      </c>
      <c r="H498" s="6" t="n">
        <v>318200</v>
      </c>
    </row>
    <row r="499" customFormat="false" ht="15" hidden="false" customHeight="false" outlineLevel="0" collapsed="false">
      <c r="A499" s="11" t="n">
        <v>44648</v>
      </c>
      <c r="B499" s="11" t="n">
        <v>44665</v>
      </c>
      <c r="C499" s="11" t="n">
        <v>44658</v>
      </c>
      <c r="D499" s="5" t="s">
        <v>25</v>
      </c>
      <c r="E499" s="5" t="s">
        <v>16</v>
      </c>
      <c r="F499" s="5" t="s">
        <v>16</v>
      </c>
      <c r="G499" s="5" t="s">
        <v>3</v>
      </c>
      <c r="H499" s="6" t="n">
        <v>77120</v>
      </c>
    </row>
    <row r="500" customFormat="false" ht="15" hidden="false" customHeight="false" outlineLevel="0" collapsed="false">
      <c r="A500" s="11" t="n">
        <v>44648</v>
      </c>
      <c r="B500" s="11" t="n">
        <v>44665</v>
      </c>
      <c r="C500" s="11" t="n">
        <v>44658</v>
      </c>
      <c r="D500" s="5" t="s">
        <v>25</v>
      </c>
      <c r="E500" s="5" t="s">
        <v>17</v>
      </c>
      <c r="F500" s="5" t="s">
        <v>16</v>
      </c>
      <c r="G500" s="5" t="s">
        <v>3</v>
      </c>
      <c r="H500" s="6" t="n">
        <v>50800</v>
      </c>
    </row>
    <row r="501" customFormat="false" ht="15" hidden="false" customHeight="false" outlineLevel="0" collapsed="false">
      <c r="A501" s="11" t="n">
        <v>44652</v>
      </c>
      <c r="B501" s="11" t="n">
        <v>44672</v>
      </c>
      <c r="C501" s="11" t="n">
        <v>44665</v>
      </c>
      <c r="D501" s="5" t="s">
        <v>25</v>
      </c>
      <c r="E501" s="5" t="s">
        <v>16</v>
      </c>
      <c r="F501" s="5" t="s">
        <v>16</v>
      </c>
      <c r="G501" s="5" t="s">
        <v>3</v>
      </c>
      <c r="H501" s="6" t="n">
        <v>136000</v>
      </c>
    </row>
    <row r="502" customFormat="false" ht="15" hidden="false" customHeight="false" outlineLevel="0" collapsed="false">
      <c r="A502" s="11" t="n">
        <v>44666</v>
      </c>
      <c r="B502" s="11" t="n">
        <v>44686</v>
      </c>
      <c r="C502" s="11" t="n">
        <v>44679</v>
      </c>
      <c r="D502" s="5" t="s">
        <v>25</v>
      </c>
      <c r="E502" s="5" t="s">
        <v>16</v>
      </c>
      <c r="F502" s="5" t="s">
        <v>16</v>
      </c>
      <c r="G502" s="5" t="s">
        <v>40</v>
      </c>
      <c r="H502" s="6" t="n">
        <v>177000</v>
      </c>
    </row>
    <row r="503" customFormat="false" ht="15" hidden="false" customHeight="false" outlineLevel="0" collapsed="false">
      <c r="A503" s="11" t="n">
        <v>44670</v>
      </c>
      <c r="B503" s="11" t="n">
        <v>44686</v>
      </c>
      <c r="C503" s="11" t="n">
        <v>44679</v>
      </c>
      <c r="D503" s="5" t="s">
        <v>25</v>
      </c>
      <c r="E503" s="5" t="s">
        <v>16</v>
      </c>
      <c r="F503" s="5" t="s">
        <v>16</v>
      </c>
      <c r="G503" s="5" t="s">
        <v>40</v>
      </c>
      <c r="H503" s="6" t="n">
        <v>123650</v>
      </c>
    </row>
    <row r="504" customFormat="false" ht="15" hidden="false" customHeight="false" outlineLevel="0" collapsed="false">
      <c r="A504" s="11" t="n">
        <v>44677</v>
      </c>
      <c r="B504" s="11" t="n">
        <v>44693</v>
      </c>
      <c r="C504" s="11" t="n">
        <v>44686</v>
      </c>
      <c r="D504" s="5" t="s">
        <v>25</v>
      </c>
      <c r="E504" s="5" t="s">
        <v>16</v>
      </c>
      <c r="F504" s="5" t="s">
        <v>16</v>
      </c>
      <c r="G504" s="5" t="s">
        <v>40</v>
      </c>
      <c r="H504" s="6" t="n">
        <v>78000</v>
      </c>
    </row>
    <row r="505" customFormat="false" ht="15" hidden="false" customHeight="false" outlineLevel="0" collapsed="false">
      <c r="A505" s="11" t="n">
        <v>44677</v>
      </c>
      <c r="B505" s="11" t="n">
        <v>44693</v>
      </c>
      <c r="C505" s="11" t="n">
        <v>44686</v>
      </c>
      <c r="D505" s="5" t="s">
        <v>25</v>
      </c>
      <c r="E505" s="5" t="s">
        <v>17</v>
      </c>
      <c r="F505" s="5" t="s">
        <v>16</v>
      </c>
      <c r="G505" s="5" t="s">
        <v>40</v>
      </c>
      <c r="H505" s="6" t="n">
        <v>55000</v>
      </c>
    </row>
    <row r="506" customFormat="false" ht="15" hidden="false" customHeight="false" outlineLevel="0" collapsed="false">
      <c r="A506" s="11" t="n">
        <v>44699</v>
      </c>
      <c r="B506" s="11" t="n">
        <v>44714</v>
      </c>
      <c r="C506" s="11" t="n">
        <v>44707</v>
      </c>
      <c r="D506" s="5" t="s">
        <v>25</v>
      </c>
      <c r="E506" s="5" t="s">
        <v>16</v>
      </c>
      <c r="F506" s="5" t="s">
        <v>16</v>
      </c>
      <c r="G506" s="5" t="s">
        <v>40</v>
      </c>
      <c r="H506" s="6" t="n">
        <v>10200</v>
      </c>
    </row>
    <row r="507" customFormat="false" ht="15" hidden="false" customHeight="false" outlineLevel="0" collapsed="false">
      <c r="A507" s="11" t="n">
        <v>44699</v>
      </c>
      <c r="B507" s="11" t="n">
        <v>44714</v>
      </c>
      <c r="C507" s="11" t="n">
        <v>44707</v>
      </c>
      <c r="D507" s="5" t="s">
        <v>25</v>
      </c>
      <c r="E507" s="5" t="s">
        <v>17</v>
      </c>
      <c r="F507" s="5" t="s">
        <v>16</v>
      </c>
      <c r="G507" s="5" t="s">
        <v>40</v>
      </c>
      <c r="H507" s="6" t="n">
        <v>219000</v>
      </c>
    </row>
    <row r="508" customFormat="false" ht="15" hidden="false" customHeight="false" outlineLevel="0" collapsed="false">
      <c r="A508" s="11" t="n">
        <v>44715</v>
      </c>
      <c r="B508" s="11" t="n">
        <v>44735</v>
      </c>
      <c r="C508" s="11" t="n">
        <v>44728</v>
      </c>
      <c r="D508" s="5" t="s">
        <v>25</v>
      </c>
      <c r="E508" s="5" t="s">
        <v>16</v>
      </c>
      <c r="F508" s="5" t="s">
        <v>16</v>
      </c>
      <c r="G508" s="5" t="s">
        <v>3</v>
      </c>
      <c r="H508" s="6" t="n">
        <v>101600</v>
      </c>
    </row>
    <row r="509" customFormat="false" ht="15" hidden="false" customHeight="false" outlineLevel="0" collapsed="false">
      <c r="A509" s="11" t="n">
        <v>44721</v>
      </c>
      <c r="B509" s="11" t="n">
        <v>44735</v>
      </c>
      <c r="C509" s="11" t="n">
        <v>44728</v>
      </c>
      <c r="D509" s="5" t="s">
        <v>25</v>
      </c>
      <c r="E509" s="5" t="s">
        <v>16</v>
      </c>
      <c r="F509" s="5" t="s">
        <v>16</v>
      </c>
      <c r="G509" s="5" t="s">
        <v>40</v>
      </c>
      <c r="H509" s="6" t="n">
        <v>500</v>
      </c>
    </row>
    <row r="510" customFormat="false" ht="15" hidden="false" customHeight="false" outlineLevel="0" collapsed="false">
      <c r="A510" s="11" t="n">
        <v>44721</v>
      </c>
      <c r="B510" s="11" t="n">
        <v>44735</v>
      </c>
      <c r="C510" s="11" t="n">
        <v>44728</v>
      </c>
      <c r="D510" s="5" t="s">
        <v>25</v>
      </c>
      <c r="E510" s="5" t="s">
        <v>17</v>
      </c>
      <c r="F510" s="5" t="s">
        <v>16</v>
      </c>
      <c r="G510" s="5" t="s">
        <v>40</v>
      </c>
      <c r="H510" s="6" t="n">
        <v>142500</v>
      </c>
    </row>
    <row r="511" customFormat="false" ht="15" hidden="false" customHeight="false" outlineLevel="0" collapsed="false">
      <c r="A511" s="11" t="n">
        <v>44727</v>
      </c>
      <c r="B511" s="11" t="n">
        <v>44742</v>
      </c>
      <c r="C511" s="11" t="n">
        <v>44735</v>
      </c>
      <c r="D511" s="5" t="s">
        <v>25</v>
      </c>
      <c r="E511" s="5" t="s">
        <v>16</v>
      </c>
      <c r="F511" s="5" t="s">
        <v>16</v>
      </c>
      <c r="G511" s="5" t="s">
        <v>40</v>
      </c>
      <c r="H511" s="6" t="n">
        <v>100000</v>
      </c>
    </row>
    <row r="512" customFormat="false" ht="15" hidden="false" customHeight="false" outlineLevel="0" collapsed="false">
      <c r="A512" s="11" t="n">
        <v>44729</v>
      </c>
      <c r="B512" s="11" t="n">
        <v>44749</v>
      </c>
      <c r="C512" s="11" t="n">
        <v>44742</v>
      </c>
      <c r="D512" s="5" t="s">
        <v>25</v>
      </c>
      <c r="E512" s="5" t="s">
        <v>16</v>
      </c>
      <c r="F512" s="5" t="s">
        <v>16</v>
      </c>
      <c r="G512" s="5" t="s">
        <v>3</v>
      </c>
      <c r="H512" s="6" t="n">
        <v>105664</v>
      </c>
    </row>
    <row r="513" customFormat="false" ht="15" hidden="false" customHeight="false" outlineLevel="0" collapsed="false">
      <c r="A513" s="11" t="n">
        <v>44771</v>
      </c>
      <c r="B513" s="11" t="n">
        <v>44791</v>
      </c>
      <c r="C513" s="11" t="n">
        <v>44784</v>
      </c>
      <c r="D513" s="5" t="s">
        <v>25</v>
      </c>
      <c r="E513" s="5" t="s">
        <v>17</v>
      </c>
      <c r="F513" s="5" t="s">
        <v>16</v>
      </c>
      <c r="G513" s="5" t="s">
        <v>40</v>
      </c>
      <c r="H513" s="6" t="n">
        <v>132000</v>
      </c>
    </row>
    <row r="514" customFormat="false" ht="15" hidden="false" customHeight="false" outlineLevel="0" collapsed="false">
      <c r="A514" s="11" t="n">
        <v>44778</v>
      </c>
      <c r="B514" s="11" t="n">
        <v>44798</v>
      </c>
      <c r="C514" s="11" t="n">
        <v>44791</v>
      </c>
      <c r="D514" s="5" t="s">
        <v>25</v>
      </c>
      <c r="E514" s="5" t="s">
        <v>17</v>
      </c>
      <c r="F514" s="5" t="s">
        <v>16</v>
      </c>
      <c r="G514" s="5" t="s">
        <v>40</v>
      </c>
      <c r="H514" s="6" t="n">
        <v>132000</v>
      </c>
    </row>
    <row r="515" customFormat="false" ht="15" hidden="false" customHeight="false" outlineLevel="0" collapsed="false">
      <c r="A515" s="11" t="n">
        <v>44781</v>
      </c>
      <c r="B515" s="11" t="n">
        <v>44798</v>
      </c>
      <c r="C515" s="11" t="n">
        <v>44791</v>
      </c>
      <c r="D515" s="5" t="s">
        <v>25</v>
      </c>
      <c r="E515" s="5" t="s">
        <v>17</v>
      </c>
      <c r="F515" s="5" t="s">
        <v>16</v>
      </c>
      <c r="G515" s="5" t="s">
        <v>3</v>
      </c>
      <c r="H515" s="6" t="n">
        <v>120000</v>
      </c>
    </row>
    <row r="516" customFormat="false" ht="15" hidden="false" customHeight="false" outlineLevel="0" collapsed="false">
      <c r="A516" s="11" t="n">
        <v>44799</v>
      </c>
      <c r="B516" s="11" t="n">
        <v>44819</v>
      </c>
      <c r="C516" s="11" t="n">
        <v>44812</v>
      </c>
      <c r="D516" s="5" t="s">
        <v>25</v>
      </c>
      <c r="E516" s="5" t="s">
        <v>17</v>
      </c>
      <c r="F516" s="5" t="s">
        <v>16</v>
      </c>
      <c r="G516" s="5" t="s">
        <v>40</v>
      </c>
      <c r="H516" s="6" t="n">
        <v>146000</v>
      </c>
    </row>
    <row r="517" customFormat="false" ht="15" hidden="false" customHeight="false" outlineLevel="0" collapsed="false">
      <c r="A517" s="11" t="n">
        <v>44803</v>
      </c>
      <c r="B517" s="11" t="n">
        <v>44819</v>
      </c>
      <c r="C517" s="11" t="n">
        <v>44812</v>
      </c>
      <c r="D517" s="5" t="s">
        <v>25</v>
      </c>
      <c r="E517" s="5" t="s">
        <v>17</v>
      </c>
      <c r="F517" s="5" t="s">
        <v>16</v>
      </c>
      <c r="G517" s="5" t="s">
        <v>40</v>
      </c>
      <c r="H517" s="6" t="n">
        <v>264000</v>
      </c>
    </row>
    <row r="518" customFormat="false" ht="15" hidden="false" customHeight="false" outlineLevel="0" collapsed="false">
      <c r="A518" s="11" t="n">
        <v>44805</v>
      </c>
      <c r="B518" s="11" t="n">
        <v>44819</v>
      </c>
      <c r="C518" s="11" t="n">
        <v>44812</v>
      </c>
      <c r="D518" s="5" t="s">
        <v>25</v>
      </c>
      <c r="E518" s="5" t="s">
        <v>17</v>
      </c>
      <c r="F518" s="5" t="s">
        <v>17</v>
      </c>
      <c r="G518" s="5" t="s">
        <v>40</v>
      </c>
      <c r="H518" s="6" t="n">
        <v>396000</v>
      </c>
    </row>
    <row r="519" customFormat="false" ht="15" hidden="false" customHeight="false" outlineLevel="0" collapsed="false">
      <c r="A519" s="11" t="n">
        <v>44826</v>
      </c>
      <c r="B519" s="11" t="n">
        <v>44840</v>
      </c>
      <c r="C519" s="11" t="n">
        <v>44833</v>
      </c>
      <c r="D519" s="5" t="s">
        <v>25</v>
      </c>
      <c r="E519" s="5" t="s">
        <v>17</v>
      </c>
      <c r="F519" s="5" t="s">
        <v>17</v>
      </c>
      <c r="G519" s="5" t="s">
        <v>3</v>
      </c>
      <c r="H519" s="6" t="n">
        <v>101600</v>
      </c>
    </row>
    <row r="520" customFormat="false" ht="15" hidden="false" customHeight="false" outlineLevel="0" collapsed="false">
      <c r="A520" s="11" t="n">
        <v>44837</v>
      </c>
      <c r="B520" s="11" t="n">
        <v>44854</v>
      </c>
      <c r="C520" s="11" t="n">
        <v>44847</v>
      </c>
      <c r="D520" s="5" t="s">
        <v>25</v>
      </c>
      <c r="E520" s="5" t="s">
        <v>17</v>
      </c>
      <c r="F520" s="5" t="s">
        <v>17</v>
      </c>
      <c r="G520" s="5" t="s">
        <v>40</v>
      </c>
      <c r="H520" s="6" t="n">
        <v>110000</v>
      </c>
    </row>
    <row r="521" customFormat="false" ht="15" hidden="false" customHeight="false" outlineLevel="0" collapsed="false">
      <c r="A521" s="11" t="n">
        <v>44847</v>
      </c>
      <c r="B521" s="11" t="n">
        <v>44861</v>
      </c>
      <c r="C521" s="11" t="n">
        <v>44854</v>
      </c>
      <c r="D521" s="5" t="s">
        <v>25</v>
      </c>
      <c r="E521" s="5" t="s">
        <v>17</v>
      </c>
      <c r="F521" s="5" t="s">
        <v>17</v>
      </c>
      <c r="G521" s="5" t="s">
        <v>40</v>
      </c>
      <c r="H521" s="6" t="n">
        <v>242000</v>
      </c>
    </row>
    <row r="522" customFormat="false" ht="15" hidden="false" customHeight="false" outlineLevel="0" collapsed="false">
      <c r="A522" s="11" t="n">
        <v>44848</v>
      </c>
      <c r="B522" s="11" t="n">
        <v>44868</v>
      </c>
      <c r="C522" s="11" t="n">
        <v>44861</v>
      </c>
      <c r="D522" s="5" t="s">
        <v>25</v>
      </c>
      <c r="E522" s="5" t="s">
        <v>17</v>
      </c>
      <c r="F522" s="5" t="s">
        <v>17</v>
      </c>
      <c r="G522" s="5" t="s">
        <v>40</v>
      </c>
      <c r="H522" s="6" t="n">
        <v>198000</v>
      </c>
    </row>
    <row r="523" customFormat="false" ht="15" hidden="false" customHeight="false" outlineLevel="0" collapsed="false">
      <c r="A523" s="11" t="n">
        <v>44854</v>
      </c>
      <c r="B523" s="11" t="n">
        <v>44868</v>
      </c>
      <c r="C523" s="11" t="n">
        <v>44861</v>
      </c>
      <c r="D523" s="5" t="s">
        <v>25</v>
      </c>
      <c r="E523" s="5" t="s">
        <v>17</v>
      </c>
      <c r="F523" s="5" t="s">
        <v>17</v>
      </c>
      <c r="G523" s="5" t="s">
        <v>40</v>
      </c>
      <c r="H523" s="6" t="n">
        <v>132000</v>
      </c>
    </row>
    <row r="524" customFormat="false" ht="15" hidden="false" customHeight="false" outlineLevel="0" collapsed="false">
      <c r="A524" s="11" t="n">
        <v>44873</v>
      </c>
      <c r="B524" s="11" t="n">
        <v>44889</v>
      </c>
      <c r="C524" s="11" t="n">
        <v>44882</v>
      </c>
      <c r="D524" s="5" t="s">
        <v>25</v>
      </c>
      <c r="E524" s="5" t="s">
        <v>17</v>
      </c>
      <c r="F524" s="5" t="s">
        <v>17</v>
      </c>
      <c r="G524" s="5" t="s">
        <v>40</v>
      </c>
      <c r="H524" s="6" t="n">
        <v>132000</v>
      </c>
    </row>
    <row r="525" customFormat="false" ht="15" hidden="false" customHeight="false" outlineLevel="0" collapsed="false">
      <c r="A525" s="11" t="n">
        <v>44874</v>
      </c>
      <c r="B525" s="11" t="n">
        <v>44889</v>
      </c>
      <c r="C525" s="11" t="n">
        <v>44882</v>
      </c>
      <c r="D525" s="5" t="s">
        <v>25</v>
      </c>
      <c r="E525" s="5" t="s">
        <v>17</v>
      </c>
      <c r="F525" s="5" t="s">
        <v>17</v>
      </c>
      <c r="G525" s="5" t="s">
        <v>40</v>
      </c>
      <c r="H525" s="6" t="n">
        <v>198000</v>
      </c>
    </row>
    <row r="526" customFormat="false" ht="15" hidden="false" customHeight="false" outlineLevel="0" collapsed="false">
      <c r="A526" s="11" t="n">
        <v>44893</v>
      </c>
      <c r="B526" s="11" t="n">
        <v>44910</v>
      </c>
      <c r="C526" s="11" t="n">
        <v>44903</v>
      </c>
      <c r="D526" s="5" t="s">
        <v>25</v>
      </c>
      <c r="E526" s="5" t="s">
        <v>17</v>
      </c>
      <c r="F526" s="5" t="s">
        <v>17</v>
      </c>
      <c r="G526" s="5" t="s">
        <v>40</v>
      </c>
      <c r="H526" s="6" t="n">
        <v>110000</v>
      </c>
    </row>
    <row r="527" customFormat="false" ht="15" hidden="false" customHeight="false" outlineLevel="0" collapsed="false">
      <c r="A527" s="11" t="n">
        <v>44901</v>
      </c>
      <c r="B527" s="11" t="n">
        <v>44917</v>
      </c>
      <c r="C527" s="11" t="n">
        <v>44910</v>
      </c>
      <c r="D527" s="5" t="s">
        <v>25</v>
      </c>
      <c r="E527" s="5" t="s">
        <v>17</v>
      </c>
      <c r="F527" s="5" t="s">
        <v>17</v>
      </c>
      <c r="G527" s="5" t="s">
        <v>40</v>
      </c>
      <c r="H527" s="6" t="n">
        <v>240000</v>
      </c>
    </row>
    <row r="528" customFormat="false" ht="15" hidden="false" customHeight="false" outlineLevel="0" collapsed="false">
      <c r="A528" s="11" t="n">
        <v>44903</v>
      </c>
      <c r="B528" s="11" t="n">
        <v>44917</v>
      </c>
      <c r="C528" s="11" t="n">
        <v>44910</v>
      </c>
      <c r="D528" s="5" t="s">
        <v>25</v>
      </c>
      <c r="E528" s="5" t="s">
        <v>17</v>
      </c>
      <c r="F528" s="5" t="s">
        <v>17</v>
      </c>
      <c r="G528" s="5" t="s">
        <v>40</v>
      </c>
      <c r="H528" s="6" t="n">
        <v>718000</v>
      </c>
    </row>
    <row r="529" customFormat="false" ht="15" hidden="false" customHeight="false" outlineLevel="0" collapsed="false">
      <c r="A529" s="11" t="n">
        <v>44908</v>
      </c>
      <c r="B529" s="11" t="n">
        <v>44924</v>
      </c>
      <c r="C529" s="11" t="n">
        <v>44917</v>
      </c>
      <c r="D529" s="5" t="s">
        <v>25</v>
      </c>
      <c r="E529" s="5" t="s">
        <v>18</v>
      </c>
      <c r="F529" s="5" t="s">
        <v>17</v>
      </c>
      <c r="G529" s="5" t="s">
        <v>40</v>
      </c>
      <c r="H529" s="6" t="n">
        <v>140000</v>
      </c>
    </row>
    <row r="530" customFormat="false" ht="15" hidden="false" customHeight="false" outlineLevel="0" collapsed="false">
      <c r="A530" s="11" t="n">
        <v>44914</v>
      </c>
      <c r="B530" s="11" t="n">
        <v>44931</v>
      </c>
      <c r="C530" s="11" t="n">
        <v>44924</v>
      </c>
      <c r="D530" s="5" t="s">
        <v>25</v>
      </c>
      <c r="E530" s="5" t="s">
        <v>17</v>
      </c>
      <c r="F530" s="5" t="s">
        <v>17</v>
      </c>
      <c r="G530" s="5" t="s">
        <v>40</v>
      </c>
      <c r="H530" s="6" t="n">
        <v>132000</v>
      </c>
    </row>
    <row r="531" customFormat="false" ht="15" hidden="false" customHeight="false" outlineLevel="0" collapsed="false">
      <c r="A531" s="11" t="n">
        <v>44918</v>
      </c>
      <c r="B531" s="11" t="n">
        <v>44938</v>
      </c>
      <c r="C531" s="11" t="n">
        <v>44931</v>
      </c>
      <c r="D531" s="5" t="s">
        <v>25</v>
      </c>
      <c r="E531" s="5" t="s">
        <v>17</v>
      </c>
      <c r="F531" s="5" t="s">
        <v>17</v>
      </c>
      <c r="G531" s="5" t="s">
        <v>40</v>
      </c>
      <c r="H531" s="6" t="n">
        <v>124000</v>
      </c>
    </row>
    <row r="532" customFormat="false" ht="15" hidden="false" customHeight="false" outlineLevel="0" collapsed="false">
      <c r="A532" s="11" t="n">
        <v>44925</v>
      </c>
      <c r="B532" s="11" t="n">
        <v>44945</v>
      </c>
      <c r="C532" s="11" t="n">
        <v>44938</v>
      </c>
      <c r="D532" s="5" t="s">
        <v>25</v>
      </c>
      <c r="E532" s="5" t="s">
        <v>17</v>
      </c>
      <c r="F532" s="5" t="s">
        <v>17</v>
      </c>
      <c r="G532" s="5" t="s">
        <v>40</v>
      </c>
      <c r="H532" s="6" t="n">
        <v>186000</v>
      </c>
    </row>
    <row r="533" customFormat="false" ht="15" hidden="false" customHeight="false" outlineLevel="0" collapsed="false">
      <c r="A533" s="11" t="n">
        <v>44930</v>
      </c>
      <c r="B533" s="11" t="n">
        <v>44945</v>
      </c>
      <c r="C533" s="11" t="n">
        <v>44938</v>
      </c>
      <c r="D533" s="5" t="s">
        <v>25</v>
      </c>
      <c r="E533" s="5" t="s">
        <v>17</v>
      </c>
      <c r="F533" s="5" t="s">
        <v>17</v>
      </c>
      <c r="G533" s="5" t="s">
        <v>40</v>
      </c>
      <c r="H533" s="6" t="n">
        <v>124000</v>
      </c>
    </row>
    <row r="534" customFormat="false" ht="15" hidden="false" customHeight="false" outlineLevel="0" collapsed="false">
      <c r="A534" s="11" t="n">
        <v>44932</v>
      </c>
      <c r="B534" s="11" t="n">
        <v>44952</v>
      </c>
      <c r="C534" s="11" t="n">
        <v>44945</v>
      </c>
      <c r="D534" s="5" t="s">
        <v>25</v>
      </c>
      <c r="E534" s="5" t="s">
        <v>17</v>
      </c>
      <c r="F534" s="5" t="s">
        <v>17</v>
      </c>
      <c r="G534" s="5" t="s">
        <v>40</v>
      </c>
      <c r="H534" s="6" t="n">
        <v>132000</v>
      </c>
    </row>
    <row r="535" customFormat="false" ht="15" hidden="false" customHeight="false" outlineLevel="0" collapsed="false">
      <c r="A535" s="11" t="n">
        <v>44937</v>
      </c>
      <c r="B535" s="11" t="n">
        <v>44952</v>
      </c>
      <c r="C535" s="11" t="n">
        <v>44945</v>
      </c>
      <c r="D535" s="5" t="s">
        <v>25</v>
      </c>
      <c r="E535" s="5" t="s">
        <v>17</v>
      </c>
      <c r="F535" s="5" t="s">
        <v>17</v>
      </c>
      <c r="G535" s="5" t="s">
        <v>40</v>
      </c>
      <c r="H535" s="6" t="n">
        <v>124000</v>
      </c>
    </row>
    <row r="536" customFormat="false" ht="15" hidden="false" customHeight="false" outlineLevel="0" collapsed="false">
      <c r="A536" s="11" t="n">
        <v>44943</v>
      </c>
      <c r="B536" s="11" t="n">
        <v>44959</v>
      </c>
      <c r="C536" s="11" t="n">
        <v>44952</v>
      </c>
      <c r="D536" s="5" t="s">
        <v>25</v>
      </c>
      <c r="E536" s="5" t="s">
        <v>17</v>
      </c>
      <c r="F536" s="5" t="s">
        <v>17</v>
      </c>
      <c r="G536" s="5" t="s">
        <v>40</v>
      </c>
      <c r="H536" s="6" t="n">
        <v>119000</v>
      </c>
    </row>
    <row r="537" customFormat="false" ht="15" hidden="false" customHeight="false" outlineLevel="0" collapsed="false">
      <c r="A537" s="11" t="n">
        <v>44946</v>
      </c>
      <c r="B537" s="11" t="n">
        <v>44966</v>
      </c>
      <c r="C537" s="11" t="n">
        <v>44959</v>
      </c>
      <c r="D537" s="5" t="s">
        <v>25</v>
      </c>
      <c r="E537" s="5" t="s">
        <v>17</v>
      </c>
      <c r="F537" s="5" t="s">
        <v>17</v>
      </c>
      <c r="G537" s="5" t="s">
        <v>40</v>
      </c>
      <c r="H537" s="6" t="n">
        <v>220000</v>
      </c>
    </row>
    <row r="538" customFormat="false" ht="15" hidden="false" customHeight="false" outlineLevel="0" collapsed="false">
      <c r="A538" s="11" t="n">
        <v>44949</v>
      </c>
      <c r="B538" s="11" t="n">
        <v>44966</v>
      </c>
      <c r="C538" s="11" t="n">
        <v>44959</v>
      </c>
      <c r="D538" s="5" t="s">
        <v>25</v>
      </c>
      <c r="E538" s="5" t="s">
        <v>17</v>
      </c>
      <c r="F538" s="5" t="s">
        <v>17</v>
      </c>
      <c r="G538" s="5" t="s">
        <v>40</v>
      </c>
      <c r="H538" s="6" t="n">
        <v>192000</v>
      </c>
    </row>
    <row r="539" customFormat="false" ht="15" hidden="false" customHeight="false" outlineLevel="0" collapsed="false">
      <c r="A539" s="11" t="n">
        <v>44950</v>
      </c>
      <c r="B539" s="11" t="n">
        <v>44966</v>
      </c>
      <c r="C539" s="11" t="n">
        <v>44959</v>
      </c>
      <c r="D539" s="5" t="s">
        <v>25</v>
      </c>
      <c r="E539" s="5" t="s">
        <v>17</v>
      </c>
      <c r="F539" s="5" t="s">
        <v>17</v>
      </c>
      <c r="G539" s="5" t="s">
        <v>3</v>
      </c>
      <c r="H539" s="6" t="n">
        <v>130000</v>
      </c>
    </row>
    <row r="540" customFormat="false" ht="15" hidden="false" customHeight="false" outlineLevel="0" collapsed="false">
      <c r="A540" s="11" t="n">
        <v>44951</v>
      </c>
      <c r="B540" s="11" t="n">
        <v>44966</v>
      </c>
      <c r="C540" s="11" t="n">
        <v>44959</v>
      </c>
      <c r="D540" s="5" t="s">
        <v>25</v>
      </c>
      <c r="E540" s="5" t="s">
        <v>17</v>
      </c>
      <c r="F540" s="5" t="s">
        <v>17</v>
      </c>
      <c r="G540" s="5" t="s">
        <v>3</v>
      </c>
      <c r="H540" s="6" t="n">
        <v>100000</v>
      </c>
    </row>
    <row r="541" customFormat="false" ht="15" hidden="false" customHeight="false" outlineLevel="0" collapsed="false">
      <c r="A541" s="11" t="n">
        <v>44951</v>
      </c>
      <c r="B541" s="11" t="n">
        <v>44966</v>
      </c>
      <c r="C541" s="11" t="n">
        <v>44959</v>
      </c>
      <c r="D541" s="5" t="s">
        <v>25</v>
      </c>
      <c r="E541" s="5" t="s">
        <v>17</v>
      </c>
      <c r="F541" s="5" t="s">
        <v>17</v>
      </c>
      <c r="G541" s="5" t="s">
        <v>40</v>
      </c>
      <c r="H541" s="6" t="n">
        <v>130000</v>
      </c>
    </row>
    <row r="542" customFormat="false" ht="15" hidden="false" customHeight="false" outlineLevel="0" collapsed="false">
      <c r="A542" s="11" t="n">
        <v>44960</v>
      </c>
      <c r="B542" s="11" t="n">
        <v>44980</v>
      </c>
      <c r="C542" s="11" t="n">
        <v>44973</v>
      </c>
      <c r="D542" s="5" t="s">
        <v>25</v>
      </c>
      <c r="E542" s="5" t="s">
        <v>18</v>
      </c>
      <c r="F542" s="5" t="s">
        <v>17</v>
      </c>
      <c r="G542" s="5" t="s">
        <v>40</v>
      </c>
      <c r="H542" s="6" t="n">
        <v>132000</v>
      </c>
    </row>
    <row r="543" customFormat="false" ht="15" hidden="false" customHeight="false" outlineLevel="0" collapsed="false">
      <c r="A543" s="11" t="n">
        <v>44973</v>
      </c>
      <c r="B543" s="11" t="n">
        <v>44987</v>
      </c>
      <c r="C543" s="11" t="n">
        <v>44980</v>
      </c>
      <c r="D543" s="5" t="s">
        <v>25</v>
      </c>
      <c r="E543" s="5" t="s">
        <v>17</v>
      </c>
      <c r="F543" s="5" t="s">
        <v>17</v>
      </c>
      <c r="G543" s="5" t="s">
        <v>40</v>
      </c>
      <c r="H543" s="6" t="n">
        <v>128000</v>
      </c>
    </row>
    <row r="544" customFormat="false" ht="15" hidden="false" customHeight="false" outlineLevel="0" collapsed="false">
      <c r="A544" s="11" t="n">
        <v>44974</v>
      </c>
      <c r="B544" s="11" t="n">
        <v>44994</v>
      </c>
      <c r="C544" s="11" t="n">
        <v>44987</v>
      </c>
      <c r="D544" s="5" t="s">
        <v>25</v>
      </c>
      <c r="E544" s="5" t="s">
        <v>17</v>
      </c>
      <c r="F544" s="5" t="s">
        <v>17</v>
      </c>
      <c r="G544" s="5" t="s">
        <v>3</v>
      </c>
      <c r="H544" s="6" t="n">
        <v>120800</v>
      </c>
    </row>
    <row r="545" customFormat="false" ht="15" hidden="false" customHeight="false" outlineLevel="0" collapsed="false">
      <c r="A545" s="11" t="n">
        <v>44991</v>
      </c>
      <c r="B545" s="11" t="n">
        <v>45008</v>
      </c>
      <c r="C545" s="11" t="n">
        <v>45001</v>
      </c>
      <c r="D545" s="5" t="s">
        <v>25</v>
      </c>
      <c r="E545" s="5" t="s">
        <v>17</v>
      </c>
      <c r="F545" s="5" t="s">
        <v>17</v>
      </c>
      <c r="G545" s="5" t="s">
        <v>3</v>
      </c>
      <c r="H545" s="6" t="n">
        <v>182400</v>
      </c>
    </row>
    <row r="546" customFormat="false" ht="15" hidden="false" customHeight="false" outlineLevel="0" collapsed="false">
      <c r="A546" s="11" t="n">
        <v>44994</v>
      </c>
      <c r="B546" s="11" t="n">
        <v>45008</v>
      </c>
      <c r="C546" s="11" t="n">
        <v>45001</v>
      </c>
      <c r="D546" s="5" t="s">
        <v>25</v>
      </c>
      <c r="E546" s="5" t="s">
        <v>17</v>
      </c>
      <c r="F546" s="5" t="s">
        <v>17</v>
      </c>
      <c r="G546" s="5" t="s">
        <v>40</v>
      </c>
      <c r="H546" s="6" t="n">
        <v>184000</v>
      </c>
    </row>
    <row r="547" customFormat="false" ht="15" hidden="false" customHeight="false" outlineLevel="0" collapsed="false">
      <c r="A547" s="11" t="n">
        <v>45012</v>
      </c>
      <c r="B547" s="11" t="n">
        <v>45029</v>
      </c>
      <c r="C547" s="11" t="n">
        <v>45022</v>
      </c>
      <c r="D547" s="5" t="s">
        <v>25</v>
      </c>
      <c r="E547" s="5" t="s">
        <v>17</v>
      </c>
      <c r="F547" s="5" t="s">
        <v>17</v>
      </c>
      <c r="G547" s="5" t="s">
        <v>3</v>
      </c>
      <c r="H547" s="6" t="n">
        <v>112800</v>
      </c>
    </row>
    <row r="548" customFormat="false" ht="15" hidden="false" customHeight="false" outlineLevel="0" collapsed="false">
      <c r="A548" s="11" t="n">
        <v>45021</v>
      </c>
      <c r="B548" s="11" t="n">
        <v>45036</v>
      </c>
      <c r="C548" s="11" t="n">
        <v>45029</v>
      </c>
      <c r="D548" s="5" t="s">
        <v>25</v>
      </c>
      <c r="E548" s="5" t="s">
        <v>17</v>
      </c>
      <c r="F548" s="5" t="s">
        <v>17</v>
      </c>
      <c r="G548" s="5" t="s">
        <v>3</v>
      </c>
      <c r="H548" s="6" t="n">
        <v>125000</v>
      </c>
    </row>
    <row r="549" customFormat="false" ht="15" hidden="false" customHeight="false" outlineLevel="0" collapsed="false">
      <c r="A549" s="11" t="n">
        <v>45021</v>
      </c>
      <c r="B549" s="11" t="n">
        <v>45036</v>
      </c>
      <c r="C549" s="11" t="n">
        <v>45029</v>
      </c>
      <c r="D549" s="5" t="s">
        <v>25</v>
      </c>
      <c r="E549" s="5" t="s">
        <v>17</v>
      </c>
      <c r="F549" s="5" t="s">
        <v>17</v>
      </c>
      <c r="G549" s="5" t="s">
        <v>40</v>
      </c>
      <c r="H549" s="6" t="n">
        <v>276000</v>
      </c>
    </row>
    <row r="550" customFormat="false" ht="15" hidden="false" customHeight="false" outlineLevel="0" collapsed="false">
      <c r="A550" s="11" t="n">
        <v>45057</v>
      </c>
      <c r="B550" s="11" t="n">
        <v>45071</v>
      </c>
      <c r="C550" s="11" t="n">
        <v>45064</v>
      </c>
      <c r="D550" s="5" t="s">
        <v>25</v>
      </c>
      <c r="E550" s="5" t="s">
        <v>18</v>
      </c>
      <c r="F550" s="5" t="s">
        <v>17</v>
      </c>
      <c r="G550" s="5" t="s">
        <v>40</v>
      </c>
      <c r="H550" s="6" t="n">
        <v>132000</v>
      </c>
    </row>
    <row r="551" customFormat="false" ht="15" hidden="false" customHeight="false" outlineLevel="0" collapsed="false">
      <c r="A551" s="11" t="n">
        <v>45086</v>
      </c>
      <c r="B551" s="11" t="n">
        <v>45106</v>
      </c>
      <c r="C551" s="11" t="n">
        <v>45099</v>
      </c>
      <c r="D551" s="5" t="s">
        <v>25</v>
      </c>
      <c r="E551" s="5" t="s">
        <v>17</v>
      </c>
      <c r="F551" s="5" t="s">
        <v>17</v>
      </c>
      <c r="G551" s="5" t="s">
        <v>40</v>
      </c>
      <c r="H551" s="6" t="n">
        <v>197000</v>
      </c>
    </row>
    <row r="552" customFormat="false" ht="15" hidden="false" customHeight="false" outlineLevel="0" collapsed="false">
      <c r="A552" s="11" t="n">
        <v>45133</v>
      </c>
      <c r="B552" s="11" t="n">
        <v>45148</v>
      </c>
      <c r="C552" s="11" t="n">
        <v>45141</v>
      </c>
      <c r="D552" s="5" t="s">
        <v>25</v>
      </c>
      <c r="E552" s="5" t="s">
        <v>18</v>
      </c>
      <c r="F552" s="5" t="s">
        <v>17</v>
      </c>
      <c r="G552" s="5" t="s">
        <v>40</v>
      </c>
      <c r="H552" s="6" t="n">
        <v>501000</v>
      </c>
    </row>
    <row r="553" customFormat="false" ht="15" hidden="false" customHeight="false" outlineLevel="0" collapsed="false">
      <c r="A553" s="11" t="n">
        <v>45134</v>
      </c>
      <c r="B553" s="11" t="n">
        <v>45148</v>
      </c>
      <c r="C553" s="11" t="n">
        <v>45141</v>
      </c>
      <c r="D553" s="5" t="s">
        <v>25</v>
      </c>
      <c r="E553" s="5" t="s">
        <v>18</v>
      </c>
      <c r="F553" s="5" t="s">
        <v>17</v>
      </c>
      <c r="G553" s="5" t="s">
        <v>40</v>
      </c>
      <c r="H553" s="6" t="n">
        <v>256000</v>
      </c>
    </row>
    <row r="554" customFormat="false" ht="15" hidden="false" customHeight="false" outlineLevel="0" collapsed="false">
      <c r="A554" s="11" t="n">
        <v>45135</v>
      </c>
      <c r="B554" s="11" t="n">
        <v>45155</v>
      </c>
      <c r="C554" s="11" t="n">
        <v>45148</v>
      </c>
      <c r="D554" s="5" t="s">
        <v>25</v>
      </c>
      <c r="E554" s="5" t="s">
        <v>18</v>
      </c>
      <c r="F554" s="5" t="s">
        <v>17</v>
      </c>
      <c r="G554" s="5" t="s">
        <v>40</v>
      </c>
      <c r="H554" s="6" t="n">
        <v>413000</v>
      </c>
    </row>
    <row r="555" customFormat="false" ht="15" hidden="false" customHeight="false" outlineLevel="0" collapsed="false">
      <c r="A555" s="11" t="n">
        <v>45152</v>
      </c>
      <c r="B555" s="11" t="n">
        <v>45169</v>
      </c>
      <c r="C555" s="11" t="n">
        <v>45162</v>
      </c>
      <c r="D555" s="5" t="s">
        <v>25</v>
      </c>
      <c r="E555" s="5" t="s">
        <v>18</v>
      </c>
      <c r="F555" s="5" t="s">
        <v>17</v>
      </c>
      <c r="G555" s="5" t="s">
        <v>40</v>
      </c>
      <c r="H555" s="6" t="n">
        <v>416000</v>
      </c>
    </row>
    <row r="556" customFormat="false" ht="15" hidden="false" customHeight="false" outlineLevel="0" collapsed="false">
      <c r="A556" s="11" t="n">
        <v>45159</v>
      </c>
      <c r="B556" s="11" t="n">
        <v>45176</v>
      </c>
      <c r="C556" s="11" t="n">
        <v>45169</v>
      </c>
      <c r="D556" s="5" t="s">
        <v>25</v>
      </c>
      <c r="E556" s="5" t="s">
        <v>18</v>
      </c>
      <c r="F556" s="5" t="s">
        <v>17</v>
      </c>
      <c r="G556" s="5" t="s">
        <v>40</v>
      </c>
      <c r="H556" s="6" t="n">
        <v>159350</v>
      </c>
    </row>
    <row r="557" customFormat="false" ht="15" hidden="false" customHeight="false" outlineLevel="0" collapsed="false">
      <c r="A557" s="11" t="n">
        <v>45166</v>
      </c>
      <c r="B557" s="11" t="n">
        <v>45183</v>
      </c>
      <c r="C557" s="11" t="n">
        <v>45176</v>
      </c>
      <c r="D557" s="5" t="s">
        <v>25</v>
      </c>
      <c r="E557" s="5" t="s">
        <v>18</v>
      </c>
      <c r="F557" s="5" t="s">
        <v>17</v>
      </c>
      <c r="G557" s="5" t="s">
        <v>40</v>
      </c>
      <c r="H557" s="6" t="n">
        <v>296000</v>
      </c>
    </row>
    <row r="558" customFormat="false" ht="15" hidden="false" customHeight="false" outlineLevel="0" collapsed="false">
      <c r="A558" s="11" t="n">
        <v>45167</v>
      </c>
      <c r="B558" s="11" t="n">
        <v>45183</v>
      </c>
      <c r="C558" s="11" t="n">
        <v>45176</v>
      </c>
      <c r="D558" s="5" t="s">
        <v>25</v>
      </c>
      <c r="E558" s="5" t="s">
        <v>18</v>
      </c>
      <c r="F558" s="5" t="s">
        <v>17</v>
      </c>
      <c r="G558" s="5" t="s">
        <v>40</v>
      </c>
      <c r="H558" s="6" t="n">
        <v>246100</v>
      </c>
    </row>
    <row r="559" customFormat="false" ht="15" hidden="false" customHeight="false" outlineLevel="0" collapsed="false">
      <c r="A559" s="11" t="n">
        <v>45168</v>
      </c>
      <c r="B559" s="11" t="n">
        <v>45183</v>
      </c>
      <c r="C559" s="11" t="n">
        <v>45176</v>
      </c>
      <c r="D559" s="5" t="s">
        <v>25</v>
      </c>
      <c r="E559" s="5" t="s">
        <v>18</v>
      </c>
      <c r="F559" s="5" t="s">
        <v>17</v>
      </c>
      <c r="G559" s="5" t="s">
        <v>40</v>
      </c>
      <c r="H559" s="6" t="n">
        <v>266000</v>
      </c>
    </row>
    <row r="560" customFormat="false" ht="15" hidden="false" customHeight="false" outlineLevel="0" collapsed="false">
      <c r="A560" s="11" t="n">
        <v>45170</v>
      </c>
      <c r="B560" s="11" t="n">
        <v>45190</v>
      </c>
      <c r="C560" s="11" t="n">
        <v>45183</v>
      </c>
      <c r="D560" s="5" t="s">
        <v>25</v>
      </c>
      <c r="E560" s="5" t="s">
        <v>18</v>
      </c>
      <c r="F560" s="5" t="s">
        <v>18</v>
      </c>
      <c r="G560" s="5" t="s">
        <v>40</v>
      </c>
      <c r="H560" s="6" t="n">
        <v>198000</v>
      </c>
    </row>
    <row r="561" customFormat="false" ht="15" hidden="false" customHeight="false" outlineLevel="0" collapsed="false">
      <c r="A561" s="11" t="n">
        <v>45174</v>
      </c>
      <c r="B561" s="11" t="n">
        <v>45190</v>
      </c>
      <c r="C561" s="11" t="n">
        <v>45183</v>
      </c>
      <c r="D561" s="5" t="s">
        <v>25</v>
      </c>
      <c r="E561" s="5" t="s">
        <v>18</v>
      </c>
      <c r="F561" s="5" t="s">
        <v>18</v>
      </c>
      <c r="G561" s="5" t="s">
        <v>40</v>
      </c>
      <c r="H561" s="6" t="n">
        <v>251000</v>
      </c>
    </row>
    <row r="562" customFormat="false" ht="15" hidden="false" customHeight="false" outlineLevel="0" collapsed="false">
      <c r="A562" s="11" t="n">
        <v>45189</v>
      </c>
      <c r="B562" s="11" t="n">
        <v>45204</v>
      </c>
      <c r="C562" s="11" t="n">
        <v>45197</v>
      </c>
      <c r="D562" s="5" t="s">
        <v>25</v>
      </c>
      <c r="E562" s="5" t="s">
        <v>18</v>
      </c>
      <c r="F562" s="5" t="s">
        <v>18</v>
      </c>
      <c r="G562" s="5" t="s">
        <v>40</v>
      </c>
      <c r="H562" s="6" t="n">
        <v>120000</v>
      </c>
    </row>
    <row r="563" customFormat="false" ht="15" hidden="false" customHeight="false" outlineLevel="0" collapsed="false">
      <c r="A563" s="11" t="n">
        <v>45210</v>
      </c>
      <c r="B563" s="11" t="n">
        <v>45225</v>
      </c>
      <c r="C563" s="11" t="n">
        <v>45218</v>
      </c>
      <c r="D563" s="5" t="s">
        <v>25</v>
      </c>
      <c r="E563" s="5" t="s">
        <v>18</v>
      </c>
      <c r="F563" s="5" t="s">
        <v>18</v>
      </c>
      <c r="G563" s="5" t="s">
        <v>40</v>
      </c>
      <c r="H563" s="6" t="n">
        <v>213000</v>
      </c>
    </row>
    <row r="564" customFormat="false" ht="15" hidden="false" customHeight="false" outlineLevel="0" collapsed="false">
      <c r="A564" s="11" t="n">
        <v>45211</v>
      </c>
      <c r="B564" s="11" t="n">
        <v>45225</v>
      </c>
      <c r="C564" s="11" t="n">
        <v>45218</v>
      </c>
      <c r="D564" s="5" t="s">
        <v>25</v>
      </c>
      <c r="E564" s="5" t="s">
        <v>18</v>
      </c>
      <c r="F564" s="5" t="s">
        <v>18</v>
      </c>
      <c r="G564" s="5" t="s">
        <v>40</v>
      </c>
      <c r="H564" s="6" t="n">
        <v>295000</v>
      </c>
    </row>
    <row r="565" customFormat="false" ht="15" hidden="false" customHeight="false" outlineLevel="0" collapsed="false">
      <c r="A565" s="11" t="n">
        <v>45212</v>
      </c>
      <c r="B565" s="11" t="n">
        <v>45232</v>
      </c>
      <c r="C565" s="11" t="n">
        <v>45225</v>
      </c>
      <c r="D565" s="5" t="s">
        <v>25</v>
      </c>
      <c r="E565" s="5" t="s">
        <v>18</v>
      </c>
      <c r="F565" s="5" t="s">
        <v>18</v>
      </c>
      <c r="G565" s="5" t="s">
        <v>40</v>
      </c>
      <c r="H565" s="6" t="n">
        <v>117300</v>
      </c>
    </row>
    <row r="566" customFormat="false" ht="15" hidden="false" customHeight="false" outlineLevel="0" collapsed="false">
      <c r="A566" s="11" t="n">
        <v>45233</v>
      </c>
      <c r="B566" s="11" t="n">
        <v>45253</v>
      </c>
      <c r="C566" s="11" t="n">
        <v>45246</v>
      </c>
      <c r="D566" s="5" t="s">
        <v>25</v>
      </c>
      <c r="E566" s="5" t="s">
        <v>18</v>
      </c>
      <c r="F566" s="5" t="s">
        <v>18</v>
      </c>
      <c r="G566" s="5" t="s">
        <v>40</v>
      </c>
      <c r="H566" s="6" t="n">
        <v>131150</v>
      </c>
    </row>
    <row r="567" customFormat="false" ht="15" hidden="false" customHeight="false" outlineLevel="0" collapsed="false">
      <c r="A567" s="11" t="n">
        <v>45238</v>
      </c>
      <c r="B567" s="11" t="n">
        <v>45253</v>
      </c>
      <c r="C567" s="11" t="n">
        <v>45246</v>
      </c>
      <c r="D567" s="5" t="s">
        <v>25</v>
      </c>
      <c r="E567" s="5" t="s">
        <v>18</v>
      </c>
      <c r="F567" s="5" t="s">
        <v>18</v>
      </c>
      <c r="G567" s="5" t="s">
        <v>40</v>
      </c>
      <c r="H567" s="6" t="n">
        <v>476500</v>
      </c>
    </row>
    <row r="568" customFormat="false" ht="15" hidden="false" customHeight="false" outlineLevel="0" collapsed="false">
      <c r="A568" s="11" t="n">
        <v>45239</v>
      </c>
      <c r="B568" s="11" t="n">
        <v>45253</v>
      </c>
      <c r="C568" s="11" t="n">
        <v>45246</v>
      </c>
      <c r="D568" s="5" t="s">
        <v>25</v>
      </c>
      <c r="E568" s="5" t="s">
        <v>18</v>
      </c>
      <c r="F568" s="5" t="s">
        <v>18</v>
      </c>
      <c r="G568" s="5" t="s">
        <v>40</v>
      </c>
      <c r="H568" s="6" t="n">
        <v>662500</v>
      </c>
    </row>
    <row r="569" customFormat="false" ht="15" hidden="false" customHeight="false" outlineLevel="0" collapsed="false">
      <c r="A569" s="11" t="n">
        <v>45246</v>
      </c>
      <c r="B569" s="11" t="n">
        <v>45260</v>
      </c>
      <c r="C569" s="11" t="n">
        <v>45253</v>
      </c>
      <c r="D569" s="5" t="s">
        <v>25</v>
      </c>
      <c r="E569" s="5" t="s">
        <v>18</v>
      </c>
      <c r="F569" s="5" t="s">
        <v>18</v>
      </c>
      <c r="G569" s="5" t="s">
        <v>40</v>
      </c>
      <c r="H569" s="6" t="n">
        <v>220000</v>
      </c>
    </row>
    <row r="570" customFormat="false" ht="15" hidden="false" customHeight="false" outlineLevel="0" collapsed="false">
      <c r="A570" s="11" t="n">
        <v>45252</v>
      </c>
      <c r="B570" s="11" t="n">
        <v>45267</v>
      </c>
      <c r="C570" s="11" t="n">
        <v>45260</v>
      </c>
      <c r="D570" s="5" t="s">
        <v>25</v>
      </c>
      <c r="E570" s="5" t="s">
        <v>18</v>
      </c>
      <c r="F570" s="5" t="s">
        <v>18</v>
      </c>
      <c r="G570" s="5" t="s">
        <v>3</v>
      </c>
      <c r="H570" s="6" t="n">
        <v>128000</v>
      </c>
    </row>
    <row r="571" customFormat="false" ht="15" hidden="false" customHeight="false" outlineLevel="0" collapsed="false">
      <c r="A571" s="11" t="n">
        <v>45254</v>
      </c>
      <c r="B571" s="11" t="n">
        <v>45274</v>
      </c>
      <c r="C571" s="11" t="n">
        <v>45267</v>
      </c>
      <c r="D571" s="5" t="s">
        <v>25</v>
      </c>
      <c r="E571" s="5" t="s">
        <v>18</v>
      </c>
      <c r="F571" s="5" t="s">
        <v>18</v>
      </c>
      <c r="G571" s="5" t="s">
        <v>40</v>
      </c>
      <c r="H571" s="6" t="n">
        <v>323400</v>
      </c>
    </row>
    <row r="572" customFormat="false" ht="15" hidden="false" customHeight="false" outlineLevel="0" collapsed="false">
      <c r="A572" s="11" t="n">
        <v>45258</v>
      </c>
      <c r="B572" s="11" t="n">
        <v>45274</v>
      </c>
      <c r="C572" s="11" t="n">
        <v>45267</v>
      </c>
      <c r="D572" s="5" t="s">
        <v>25</v>
      </c>
      <c r="E572" s="5" t="s">
        <v>18</v>
      </c>
      <c r="F572" s="5" t="s">
        <v>18</v>
      </c>
      <c r="G572" s="5" t="s">
        <v>40</v>
      </c>
      <c r="H572" s="6" t="n">
        <v>123300</v>
      </c>
    </row>
    <row r="573" customFormat="false" ht="15" hidden="false" customHeight="false" outlineLevel="0" collapsed="false">
      <c r="A573" s="11" t="n">
        <v>45261</v>
      </c>
      <c r="B573" s="11" t="n">
        <v>45281</v>
      </c>
      <c r="C573" s="11" t="n">
        <v>45274</v>
      </c>
      <c r="D573" s="5" t="s">
        <v>25</v>
      </c>
      <c r="E573" s="5" t="s">
        <v>18</v>
      </c>
      <c r="F573" s="5" t="s">
        <v>18</v>
      </c>
      <c r="G573" s="5" t="s">
        <v>40</v>
      </c>
      <c r="H573" s="6" t="n">
        <v>198000</v>
      </c>
    </row>
    <row r="574" customFormat="false" ht="15" hidden="false" customHeight="false" outlineLevel="0" collapsed="false">
      <c r="A574" s="11" t="n">
        <v>45267</v>
      </c>
      <c r="B574" s="11" t="n">
        <v>45281</v>
      </c>
      <c r="C574" s="11" t="n">
        <v>45274</v>
      </c>
      <c r="D574" s="5" t="s">
        <v>25</v>
      </c>
      <c r="E574" s="5" t="s">
        <v>18</v>
      </c>
      <c r="F574" s="5" t="s">
        <v>18</v>
      </c>
      <c r="G574" s="5" t="s">
        <v>40</v>
      </c>
      <c r="H574" s="6" t="n">
        <v>121000</v>
      </c>
    </row>
    <row r="575" customFormat="false" ht="15" hidden="false" customHeight="false" outlineLevel="0" collapsed="false">
      <c r="A575" s="11" t="n">
        <v>45268</v>
      </c>
      <c r="B575" s="11" t="n">
        <v>45288</v>
      </c>
      <c r="C575" s="11" t="n">
        <v>45281</v>
      </c>
      <c r="D575" s="5" t="s">
        <v>25</v>
      </c>
      <c r="E575" s="5" t="s">
        <v>18</v>
      </c>
      <c r="F575" s="5" t="s">
        <v>18</v>
      </c>
      <c r="G575" s="5" t="s">
        <v>3</v>
      </c>
      <c r="H575" s="6" t="n">
        <v>165000</v>
      </c>
    </row>
    <row r="576" customFormat="false" ht="15" hidden="false" customHeight="false" outlineLevel="0" collapsed="false">
      <c r="A576" s="11" t="n">
        <v>45271</v>
      </c>
      <c r="B576" s="11" t="n">
        <v>45288</v>
      </c>
      <c r="C576" s="11" t="n">
        <v>45281</v>
      </c>
      <c r="D576" s="5" t="s">
        <v>25</v>
      </c>
      <c r="E576" s="5" t="s">
        <v>18</v>
      </c>
      <c r="F576" s="5" t="s">
        <v>18</v>
      </c>
      <c r="G576" s="5" t="s">
        <v>40</v>
      </c>
      <c r="H576" s="6" t="n">
        <v>132000</v>
      </c>
    </row>
    <row r="577" customFormat="false" ht="15" hidden="false" customHeight="false" outlineLevel="0" collapsed="false">
      <c r="A577" s="11" t="n">
        <v>45272</v>
      </c>
      <c r="B577" s="11" t="n">
        <v>45288</v>
      </c>
      <c r="C577" s="11" t="n">
        <v>45281</v>
      </c>
      <c r="D577" s="5" t="s">
        <v>25</v>
      </c>
      <c r="E577" s="5" t="s">
        <v>18</v>
      </c>
      <c r="F577" s="5" t="s">
        <v>18</v>
      </c>
      <c r="G577" s="5" t="s">
        <v>40</v>
      </c>
      <c r="H577" s="6" t="n">
        <v>198000</v>
      </c>
    </row>
    <row r="578" customFormat="false" ht="15" hidden="false" customHeight="false" outlineLevel="0" collapsed="false">
      <c r="A578" s="11" t="n">
        <v>45273</v>
      </c>
      <c r="B578" s="11" t="n">
        <v>45288</v>
      </c>
      <c r="C578" s="11" t="n">
        <v>45281</v>
      </c>
      <c r="D578" s="5" t="s">
        <v>25</v>
      </c>
      <c r="E578" s="5" t="s">
        <v>19</v>
      </c>
      <c r="F578" s="5" t="s">
        <v>18</v>
      </c>
      <c r="G578" s="5" t="s">
        <v>40</v>
      </c>
      <c r="H578" s="6" t="n">
        <v>125000</v>
      </c>
    </row>
    <row r="579" customFormat="false" ht="15" hidden="false" customHeight="false" outlineLevel="0" collapsed="false">
      <c r="A579" s="11" t="n">
        <v>45274</v>
      </c>
      <c r="B579" s="11" t="n">
        <v>45288</v>
      </c>
      <c r="C579" s="11" t="n">
        <v>45281</v>
      </c>
      <c r="D579" s="5" t="s">
        <v>25</v>
      </c>
      <c r="E579" s="5" t="s">
        <v>18</v>
      </c>
      <c r="F579" s="5" t="s">
        <v>18</v>
      </c>
      <c r="G579" s="5" t="s">
        <v>40</v>
      </c>
      <c r="H579" s="6" t="n">
        <v>400000</v>
      </c>
    </row>
    <row r="580" customFormat="false" ht="15" hidden="false" customHeight="false" outlineLevel="0" collapsed="false">
      <c r="A580" s="11" t="n">
        <v>45275</v>
      </c>
      <c r="B580" s="11" t="n">
        <v>45295</v>
      </c>
      <c r="C580" s="11" t="n">
        <v>45288</v>
      </c>
      <c r="D580" s="5" t="s">
        <v>25</v>
      </c>
      <c r="E580" s="5" t="s">
        <v>18</v>
      </c>
      <c r="F580" s="5" t="s">
        <v>18</v>
      </c>
      <c r="G580" s="5" t="s">
        <v>40</v>
      </c>
      <c r="H580" s="6" t="n">
        <v>447500</v>
      </c>
    </row>
    <row r="581" customFormat="false" ht="15" hidden="false" customHeight="false" outlineLevel="0" collapsed="false">
      <c r="A581" s="11" t="n">
        <v>45279</v>
      </c>
      <c r="B581" s="11" t="n">
        <v>45295</v>
      </c>
      <c r="C581" s="11" t="n">
        <v>45288</v>
      </c>
      <c r="D581" s="5" t="s">
        <v>25</v>
      </c>
      <c r="E581" s="5" t="s">
        <v>18</v>
      </c>
      <c r="F581" s="5" t="s">
        <v>18</v>
      </c>
      <c r="G581" s="5" t="s">
        <v>40</v>
      </c>
      <c r="H581" s="6" t="n">
        <v>132000</v>
      </c>
    </row>
    <row r="582" customFormat="false" ht="15" hidden="false" customHeight="false" outlineLevel="0" collapsed="false">
      <c r="A582" s="11" t="n">
        <v>45349</v>
      </c>
      <c r="B582" s="11" t="n">
        <v>45365</v>
      </c>
      <c r="C582" s="11" t="n">
        <v>45358</v>
      </c>
      <c r="D582" s="5" t="s">
        <v>25</v>
      </c>
      <c r="E582" s="5" t="s">
        <v>18</v>
      </c>
      <c r="F582" s="5" t="s">
        <v>18</v>
      </c>
      <c r="G582" s="5" t="s">
        <v>40</v>
      </c>
      <c r="H582" s="6" t="n">
        <v>123000</v>
      </c>
    </row>
    <row r="583" customFormat="false" ht="15" hidden="false" customHeight="false" outlineLevel="0" collapsed="false">
      <c r="A583" s="11" t="n">
        <v>45366</v>
      </c>
      <c r="B583" s="11" t="n">
        <v>45386</v>
      </c>
      <c r="C583" s="11" t="n">
        <v>45379</v>
      </c>
      <c r="D583" s="5" t="s">
        <v>25</v>
      </c>
      <c r="E583" s="5" t="s">
        <v>18</v>
      </c>
      <c r="F583" s="5" t="s">
        <v>18</v>
      </c>
      <c r="G583" s="5" t="s">
        <v>3</v>
      </c>
      <c r="H583" s="6" t="n">
        <v>125000</v>
      </c>
    </row>
    <row r="584" customFormat="false" ht="15" hidden="false" customHeight="false" outlineLevel="0" collapsed="false">
      <c r="A584" s="11" t="n">
        <v>45371</v>
      </c>
      <c r="B584" s="11" t="n">
        <v>45386</v>
      </c>
      <c r="C584" s="11" t="n">
        <v>45379</v>
      </c>
      <c r="D584" s="5" t="s">
        <v>25</v>
      </c>
      <c r="E584" s="5" t="s">
        <v>19</v>
      </c>
      <c r="F584" s="5" t="s">
        <v>18</v>
      </c>
      <c r="G584" s="5" t="s">
        <v>40</v>
      </c>
      <c r="H584" s="6" t="n">
        <v>120000</v>
      </c>
    </row>
    <row r="585" customFormat="false" ht="15" hidden="false" customHeight="false" outlineLevel="0" collapsed="false">
      <c r="A585" s="11" t="n">
        <v>45391</v>
      </c>
      <c r="B585" s="11" t="n">
        <v>45407</v>
      </c>
      <c r="C585" s="11" t="n">
        <v>45400</v>
      </c>
      <c r="D585" s="5" t="s">
        <v>25</v>
      </c>
      <c r="E585" s="5" t="s">
        <v>18</v>
      </c>
      <c r="F585" s="5" t="s">
        <v>18</v>
      </c>
      <c r="G585" s="5" t="s">
        <v>40</v>
      </c>
      <c r="H585" s="6" t="n">
        <v>124000</v>
      </c>
    </row>
    <row r="586" customFormat="false" ht="15" hidden="false" customHeight="false" outlineLevel="0" collapsed="false">
      <c r="A586" s="11" t="n">
        <v>45392</v>
      </c>
      <c r="B586" s="11" t="n">
        <v>45407</v>
      </c>
      <c r="C586" s="11" t="n">
        <v>45400</v>
      </c>
      <c r="D586" s="5" t="s">
        <v>25</v>
      </c>
      <c r="E586" s="5" t="s">
        <v>19</v>
      </c>
      <c r="F586" s="5" t="s">
        <v>18</v>
      </c>
      <c r="G586" s="5" t="s">
        <v>40</v>
      </c>
      <c r="H586" s="6" t="n">
        <v>254000</v>
      </c>
    </row>
    <row r="587" customFormat="false" ht="15" hidden="false" customHeight="false" outlineLevel="0" collapsed="false">
      <c r="A587" s="11" t="n">
        <v>45394</v>
      </c>
      <c r="B587" s="11" t="n">
        <v>45414</v>
      </c>
      <c r="C587" s="11" t="n">
        <v>45407</v>
      </c>
      <c r="D587" s="5" t="s">
        <v>25</v>
      </c>
      <c r="E587" s="5" t="s">
        <v>18</v>
      </c>
      <c r="F587" s="5" t="s">
        <v>18</v>
      </c>
      <c r="G587" s="5" t="s">
        <v>40</v>
      </c>
      <c r="H587" s="6" t="n">
        <v>124000</v>
      </c>
    </row>
    <row r="588" customFormat="false" ht="15" hidden="false" customHeight="false" outlineLevel="0" collapsed="false">
      <c r="A588" s="11" t="n">
        <v>45415</v>
      </c>
      <c r="B588" s="11" t="n">
        <v>45435</v>
      </c>
      <c r="C588" s="11" t="n">
        <v>45428</v>
      </c>
      <c r="D588" s="5" t="s">
        <v>25</v>
      </c>
      <c r="E588" s="5" t="s">
        <v>18</v>
      </c>
      <c r="F588" s="5" t="s">
        <v>18</v>
      </c>
      <c r="G588" s="5" t="s">
        <v>40</v>
      </c>
      <c r="H588" s="6" t="n">
        <v>122000</v>
      </c>
    </row>
    <row r="589" customFormat="false" ht="15" hidden="false" customHeight="false" outlineLevel="0" collapsed="false">
      <c r="A589" s="11" t="n">
        <v>45427</v>
      </c>
      <c r="B589" s="11" t="n">
        <v>45442</v>
      </c>
      <c r="C589" s="11" t="n">
        <v>45435</v>
      </c>
      <c r="D589" s="5" t="s">
        <v>25</v>
      </c>
      <c r="E589" s="5" t="s">
        <v>18</v>
      </c>
      <c r="F589" s="5" t="s">
        <v>18</v>
      </c>
      <c r="G589" s="5" t="s">
        <v>40</v>
      </c>
      <c r="H589" s="6" t="n">
        <v>120000</v>
      </c>
    </row>
    <row r="590" customFormat="false" ht="15" hidden="false" customHeight="false" outlineLevel="0" collapsed="false">
      <c r="A590" s="11" t="n">
        <v>45427</v>
      </c>
      <c r="B590" s="11" t="n">
        <v>45442</v>
      </c>
      <c r="C590" s="11" t="n">
        <v>45435</v>
      </c>
      <c r="D590" s="5" t="s">
        <v>25</v>
      </c>
      <c r="E590" s="5" t="s">
        <v>19</v>
      </c>
      <c r="F590" s="5" t="s">
        <v>18</v>
      </c>
      <c r="G590" s="5" t="s">
        <v>40</v>
      </c>
      <c r="H590" s="6" t="n">
        <v>60000</v>
      </c>
    </row>
    <row r="591" customFormat="false" ht="15" hidden="false" customHeight="false" outlineLevel="0" collapsed="false">
      <c r="A591" s="11" t="n">
        <v>45449</v>
      </c>
      <c r="B591" s="11" t="n">
        <v>45463</v>
      </c>
      <c r="C591" s="11" t="n">
        <v>45456</v>
      </c>
      <c r="D591" s="5" t="s">
        <v>25</v>
      </c>
      <c r="E591" s="5" t="s">
        <v>18</v>
      </c>
      <c r="F591" s="5" t="s">
        <v>18</v>
      </c>
      <c r="G591" s="5" t="s">
        <v>3</v>
      </c>
      <c r="H591" s="6" t="n">
        <v>152000</v>
      </c>
    </row>
    <row r="592" customFormat="false" ht="15" hidden="false" customHeight="false" outlineLevel="0" collapsed="false">
      <c r="A592" s="11" t="n">
        <v>45456</v>
      </c>
      <c r="B592" s="11" t="n">
        <v>45470</v>
      </c>
      <c r="C592" s="11" t="n">
        <v>45463</v>
      </c>
      <c r="D592" s="5" t="s">
        <v>25</v>
      </c>
      <c r="E592" s="5" t="s">
        <v>18</v>
      </c>
      <c r="F592" s="5" t="s">
        <v>18</v>
      </c>
      <c r="G592" s="5" t="s">
        <v>40</v>
      </c>
      <c r="H592" s="6" t="n">
        <v>120000</v>
      </c>
    </row>
    <row r="593" customFormat="false" ht="15" hidden="false" customHeight="false" outlineLevel="0" collapsed="false">
      <c r="A593" s="11" t="n">
        <v>45470</v>
      </c>
      <c r="B593" s="11" t="n">
        <v>45484</v>
      </c>
      <c r="C593" s="11" t="n">
        <v>45477</v>
      </c>
      <c r="D593" s="5" t="s">
        <v>25</v>
      </c>
      <c r="E593" s="5" t="s">
        <v>19</v>
      </c>
      <c r="F593" s="5" t="s">
        <v>18</v>
      </c>
      <c r="G593" s="5" t="s">
        <v>40</v>
      </c>
      <c r="H593" s="6" t="n">
        <v>120000</v>
      </c>
    </row>
    <row r="594" customFormat="false" ht="15" hidden="false" customHeight="false" outlineLevel="0" collapsed="false">
      <c r="A594" s="11" t="n">
        <v>45476</v>
      </c>
      <c r="B594" s="11" t="n">
        <v>45491</v>
      </c>
      <c r="C594" s="11" t="n">
        <v>45484</v>
      </c>
      <c r="D594" s="5" t="s">
        <v>25</v>
      </c>
      <c r="E594" s="5" t="s">
        <v>18</v>
      </c>
      <c r="F594" s="5" t="s">
        <v>18</v>
      </c>
      <c r="G594" s="5" t="s">
        <v>40</v>
      </c>
      <c r="H594" s="6" t="n">
        <v>55100</v>
      </c>
    </row>
    <row r="595" customFormat="false" ht="15" hidden="false" customHeight="false" outlineLevel="0" collapsed="false">
      <c r="A595" s="11" t="n">
        <v>45476</v>
      </c>
      <c r="B595" s="11" t="n">
        <v>45491</v>
      </c>
      <c r="C595" s="11" t="n">
        <v>45484</v>
      </c>
      <c r="D595" s="5" t="s">
        <v>25</v>
      </c>
      <c r="E595" s="5" t="s">
        <v>19</v>
      </c>
      <c r="F595" s="5" t="s">
        <v>18</v>
      </c>
      <c r="G595" s="5" t="s">
        <v>40</v>
      </c>
      <c r="H595" s="6" t="n">
        <v>55000</v>
      </c>
    </row>
    <row r="596" customFormat="false" ht="15" hidden="false" customHeight="false" outlineLevel="0" collapsed="false">
      <c r="A596" s="11" t="n">
        <v>45481</v>
      </c>
      <c r="B596" s="11" t="n">
        <v>45498</v>
      </c>
      <c r="C596" s="11" t="n">
        <v>45491</v>
      </c>
      <c r="D596" s="5" t="s">
        <v>25</v>
      </c>
      <c r="E596" s="5" t="s">
        <v>18</v>
      </c>
      <c r="F596" s="5" t="s">
        <v>18</v>
      </c>
      <c r="G596" s="5" t="s">
        <v>3</v>
      </c>
      <c r="H596" s="6" t="n">
        <v>50800</v>
      </c>
    </row>
    <row r="597" customFormat="false" ht="15" hidden="false" customHeight="false" outlineLevel="0" collapsed="false">
      <c r="A597" s="11" t="n">
        <v>45481</v>
      </c>
      <c r="B597" s="11" t="n">
        <v>45498</v>
      </c>
      <c r="C597" s="11" t="n">
        <v>45491</v>
      </c>
      <c r="D597" s="5" t="s">
        <v>25</v>
      </c>
      <c r="E597" s="5" t="s">
        <v>19</v>
      </c>
      <c r="F597" s="5" t="s">
        <v>18</v>
      </c>
      <c r="G597" s="5" t="s">
        <v>3</v>
      </c>
      <c r="H597" s="6" t="n">
        <v>84836</v>
      </c>
    </row>
    <row r="598" customFormat="false" ht="15" hidden="false" customHeight="false" outlineLevel="0" collapsed="false">
      <c r="A598" s="11" t="n">
        <v>45491</v>
      </c>
      <c r="B598" s="11" t="n">
        <v>45505</v>
      </c>
      <c r="C598" s="11" t="n">
        <v>45498</v>
      </c>
      <c r="D598" s="5" t="s">
        <v>25</v>
      </c>
      <c r="E598" s="5" t="s">
        <v>19</v>
      </c>
      <c r="F598" s="5" t="s">
        <v>18</v>
      </c>
      <c r="G598" s="5" t="s">
        <v>40</v>
      </c>
      <c r="H598" s="6" t="n">
        <v>510000</v>
      </c>
    </row>
    <row r="599" customFormat="false" ht="15" hidden="false" customHeight="false" outlineLevel="0" collapsed="false">
      <c r="A599" s="11" t="n">
        <v>45496</v>
      </c>
      <c r="B599" s="11" t="n">
        <v>45512</v>
      </c>
      <c r="C599" s="11" t="n">
        <v>45505</v>
      </c>
      <c r="D599" s="5" t="s">
        <v>25</v>
      </c>
      <c r="E599" s="5" t="s">
        <v>19</v>
      </c>
      <c r="F599" s="5" t="s">
        <v>18</v>
      </c>
      <c r="G599" s="5" t="s">
        <v>3</v>
      </c>
      <c r="H599" s="6" t="n">
        <v>200000</v>
      </c>
    </row>
    <row r="600" customFormat="false" ht="15" hidden="false" customHeight="false" outlineLevel="0" collapsed="false">
      <c r="A600" s="11" t="n">
        <v>45498</v>
      </c>
      <c r="B600" s="11" t="n">
        <v>45512</v>
      </c>
      <c r="C600" s="11" t="n">
        <v>45505</v>
      </c>
      <c r="D600" s="5" t="s">
        <v>25</v>
      </c>
      <c r="E600" s="5" t="s">
        <v>19</v>
      </c>
      <c r="F600" s="5" t="s">
        <v>18</v>
      </c>
      <c r="G600" s="5" t="s">
        <v>40</v>
      </c>
      <c r="H600" s="6" t="n">
        <v>264000</v>
      </c>
    </row>
    <row r="601" customFormat="false" ht="15" hidden="false" customHeight="false" outlineLevel="0" collapsed="false">
      <c r="A601" s="11" t="n">
        <v>45504</v>
      </c>
      <c r="B601" s="11" t="n">
        <v>45519</v>
      </c>
      <c r="C601" s="11" t="n">
        <v>45512</v>
      </c>
      <c r="D601" s="5" t="s">
        <v>25</v>
      </c>
      <c r="E601" s="5" t="s">
        <v>19</v>
      </c>
      <c r="F601" s="5" t="s">
        <v>18</v>
      </c>
      <c r="G601" s="5" t="s">
        <v>3</v>
      </c>
      <c r="H601" s="6" t="n">
        <v>104572</v>
      </c>
    </row>
    <row r="602" customFormat="false" ht="15" hidden="false" customHeight="false" outlineLevel="0" collapsed="false">
      <c r="A602" s="11" t="n">
        <v>45513</v>
      </c>
      <c r="B602" s="11" t="n">
        <v>45533</v>
      </c>
      <c r="C602" s="11" t="n">
        <v>45526</v>
      </c>
      <c r="D602" s="5" t="s">
        <v>25</v>
      </c>
      <c r="E602" s="5" t="s">
        <v>18</v>
      </c>
      <c r="F602" s="5" t="s">
        <v>18</v>
      </c>
      <c r="G602" s="5" t="s">
        <v>40</v>
      </c>
      <c r="H602" s="6" t="n">
        <v>50000</v>
      </c>
    </row>
    <row r="603" customFormat="false" ht="15" hidden="false" customHeight="false" outlineLevel="0" collapsed="false">
      <c r="A603" s="11" t="n">
        <v>45513</v>
      </c>
      <c r="B603" s="11" t="n">
        <v>45533</v>
      </c>
      <c r="C603" s="11" t="n">
        <v>45526</v>
      </c>
      <c r="D603" s="5" t="s">
        <v>25</v>
      </c>
      <c r="E603" s="5" t="s">
        <v>19</v>
      </c>
      <c r="F603" s="5" t="s">
        <v>18</v>
      </c>
      <c r="G603" s="5" t="s">
        <v>40</v>
      </c>
      <c r="H603" s="6" t="n">
        <v>162000</v>
      </c>
    </row>
    <row r="604" customFormat="false" ht="15" hidden="false" customHeight="false" outlineLevel="0" collapsed="false">
      <c r="A604" s="11" t="n">
        <v>45516</v>
      </c>
      <c r="B604" s="11" t="n">
        <v>45533</v>
      </c>
      <c r="C604" s="11" t="n">
        <v>45526</v>
      </c>
      <c r="D604" s="5" t="s">
        <v>25</v>
      </c>
      <c r="E604" s="5" t="s">
        <v>19</v>
      </c>
      <c r="F604" s="5" t="s">
        <v>18</v>
      </c>
      <c r="G604" s="5" t="s">
        <v>3</v>
      </c>
      <c r="H604" s="6" t="n">
        <v>165000</v>
      </c>
    </row>
    <row r="605" customFormat="false" ht="15" hidden="false" customHeight="false" outlineLevel="0" collapsed="false">
      <c r="A605" s="11" t="n">
        <v>45516</v>
      </c>
      <c r="B605" s="11" t="n">
        <v>45533</v>
      </c>
      <c r="C605" s="11" t="n">
        <v>45526</v>
      </c>
      <c r="D605" s="5" t="s">
        <v>25</v>
      </c>
      <c r="E605" s="5" t="s">
        <v>18</v>
      </c>
      <c r="F605" s="5" t="s">
        <v>18</v>
      </c>
      <c r="G605" s="5" t="s">
        <v>40</v>
      </c>
      <c r="H605" s="6" t="n">
        <v>100000</v>
      </c>
    </row>
    <row r="606" customFormat="false" ht="15" hidden="false" customHeight="false" outlineLevel="0" collapsed="false">
      <c r="A606" s="11" t="n">
        <v>45516</v>
      </c>
      <c r="B606" s="11" t="n">
        <v>45533</v>
      </c>
      <c r="C606" s="11" t="n">
        <v>45526</v>
      </c>
      <c r="D606" s="5" t="s">
        <v>25</v>
      </c>
      <c r="E606" s="5" t="s">
        <v>19</v>
      </c>
      <c r="F606" s="5" t="s">
        <v>18</v>
      </c>
      <c r="G606" s="5" t="s">
        <v>40</v>
      </c>
      <c r="H606" s="6" t="n">
        <v>200000</v>
      </c>
    </row>
    <row r="607" customFormat="false" ht="15" hidden="false" customHeight="false" outlineLevel="0" collapsed="false">
      <c r="A607" s="11" t="n">
        <v>45523</v>
      </c>
      <c r="B607" s="11" t="n">
        <v>45540</v>
      </c>
      <c r="C607" s="11" t="n">
        <v>45533</v>
      </c>
      <c r="D607" s="5" t="s">
        <v>25</v>
      </c>
      <c r="E607" s="5" t="s">
        <v>19</v>
      </c>
      <c r="F607" s="5" t="s">
        <v>18</v>
      </c>
      <c r="G607" s="5" t="s">
        <v>40</v>
      </c>
      <c r="H607" s="6" t="n">
        <v>110000</v>
      </c>
    </row>
    <row r="608" customFormat="false" ht="15" hidden="false" customHeight="false" outlineLevel="0" collapsed="false">
      <c r="A608" s="11" t="n">
        <v>45525</v>
      </c>
      <c r="B608" s="11" t="n">
        <v>45540</v>
      </c>
      <c r="C608" s="11" t="n">
        <v>45533</v>
      </c>
      <c r="D608" s="5" t="s">
        <v>25</v>
      </c>
      <c r="E608" s="5" t="s">
        <v>19</v>
      </c>
      <c r="F608" s="5" t="s">
        <v>18</v>
      </c>
      <c r="G608" s="5" t="s">
        <v>40</v>
      </c>
      <c r="H608" s="6" t="n">
        <v>121000</v>
      </c>
    </row>
    <row r="609" customFormat="false" ht="15" hidden="false" customHeight="false" outlineLevel="0" collapsed="false">
      <c r="A609" s="11" t="n">
        <v>45526</v>
      </c>
      <c r="B609" s="11" t="n">
        <v>45540</v>
      </c>
      <c r="C609" s="11" t="n">
        <v>45533</v>
      </c>
      <c r="D609" s="5" t="s">
        <v>25</v>
      </c>
      <c r="E609" s="5" t="s">
        <v>19</v>
      </c>
      <c r="F609" s="5" t="s">
        <v>18</v>
      </c>
      <c r="G609" s="5" t="s">
        <v>3</v>
      </c>
      <c r="H609" s="6" t="n">
        <v>132000</v>
      </c>
    </row>
    <row r="610" customFormat="false" ht="15" hidden="false" customHeight="false" outlineLevel="0" collapsed="false">
      <c r="A610" s="11" t="n">
        <v>45527</v>
      </c>
      <c r="B610" s="11" t="n">
        <v>45547</v>
      </c>
      <c r="C610" s="11" t="n">
        <v>45540</v>
      </c>
      <c r="D610" s="5" t="s">
        <v>25</v>
      </c>
      <c r="E610" s="5" t="s">
        <v>19</v>
      </c>
      <c r="F610" s="5" t="s">
        <v>18</v>
      </c>
      <c r="G610" s="5" t="s">
        <v>40</v>
      </c>
      <c r="H610" s="6" t="n">
        <v>120000</v>
      </c>
    </row>
    <row r="611" customFormat="false" ht="15" hidden="false" customHeight="false" outlineLevel="0" collapsed="false">
      <c r="A611" s="11" t="n">
        <v>45540</v>
      </c>
      <c r="B611" s="11" t="n">
        <v>45554</v>
      </c>
      <c r="C611" s="11" t="n">
        <v>45547</v>
      </c>
      <c r="D611" s="5" t="s">
        <v>25</v>
      </c>
      <c r="E611" s="5" t="s">
        <v>19</v>
      </c>
      <c r="F611" s="5" t="s">
        <v>19</v>
      </c>
      <c r="G611" s="5" t="s">
        <v>40</v>
      </c>
      <c r="H611" s="6" t="n">
        <v>189700</v>
      </c>
    </row>
    <row r="612" customFormat="false" ht="15" hidden="false" customHeight="false" outlineLevel="0" collapsed="false">
      <c r="A612" s="11" t="n">
        <v>45547</v>
      </c>
      <c r="B612" s="11" t="n">
        <v>45561</v>
      </c>
      <c r="C612" s="11" t="n">
        <v>45554</v>
      </c>
      <c r="D612" s="5" t="s">
        <v>25</v>
      </c>
      <c r="E612" s="5" t="s">
        <v>19</v>
      </c>
      <c r="F612" s="5" t="s">
        <v>19</v>
      </c>
      <c r="G612" s="5" t="s">
        <v>3</v>
      </c>
      <c r="H612" s="6" t="n">
        <v>118626</v>
      </c>
    </row>
    <row r="613" customFormat="false" ht="15" hidden="false" customHeight="false" outlineLevel="0" collapsed="false">
      <c r="A613" s="11" t="n">
        <v>45551</v>
      </c>
      <c r="B613" s="11" t="n">
        <v>45568</v>
      </c>
      <c r="C613" s="11" t="n">
        <v>45561</v>
      </c>
      <c r="D613" s="5" t="s">
        <v>25</v>
      </c>
      <c r="E613" s="5" t="s">
        <v>19</v>
      </c>
      <c r="F613" s="5" t="s">
        <v>19</v>
      </c>
      <c r="G613" s="5" t="s">
        <v>40</v>
      </c>
      <c r="H613" s="6" t="n">
        <v>132000</v>
      </c>
    </row>
    <row r="614" customFormat="false" ht="15" hidden="false" customHeight="false" outlineLevel="0" collapsed="false">
      <c r="A614" s="11" t="n">
        <v>45558</v>
      </c>
      <c r="B614" s="11" t="n">
        <v>45575</v>
      </c>
      <c r="C614" s="11" t="n">
        <v>45568</v>
      </c>
      <c r="D614" s="5" t="s">
        <v>25</v>
      </c>
      <c r="E614" s="5" t="s">
        <v>19</v>
      </c>
      <c r="F614" s="5" t="s">
        <v>19</v>
      </c>
      <c r="G614" s="5" t="s">
        <v>40</v>
      </c>
      <c r="H614" s="6" t="n">
        <v>165000</v>
      </c>
    </row>
    <row r="615" customFormat="false" ht="15" hidden="false" customHeight="false" outlineLevel="0" collapsed="false">
      <c r="A615" s="11" t="n">
        <v>45566</v>
      </c>
      <c r="B615" s="11" t="n">
        <v>45582</v>
      </c>
      <c r="C615" s="11" t="n">
        <v>45575</v>
      </c>
      <c r="D615" s="5" t="s">
        <v>25</v>
      </c>
      <c r="E615" s="5" t="s">
        <v>19</v>
      </c>
      <c r="F615" s="5" t="s">
        <v>19</v>
      </c>
      <c r="G615" s="5" t="s">
        <v>3</v>
      </c>
      <c r="H615" s="6" t="n">
        <v>195000</v>
      </c>
    </row>
    <row r="616" customFormat="false" ht="15" hidden="false" customHeight="false" outlineLevel="0" collapsed="false">
      <c r="A616" s="11" t="n">
        <v>45566</v>
      </c>
      <c r="B616" s="11" t="n">
        <v>45582</v>
      </c>
      <c r="C616" s="11" t="n">
        <v>45575</v>
      </c>
      <c r="D616" s="5" t="s">
        <v>25</v>
      </c>
      <c r="E616" s="5" t="s">
        <v>19</v>
      </c>
      <c r="F616" s="5" t="s">
        <v>19</v>
      </c>
      <c r="G616" s="5" t="s">
        <v>40</v>
      </c>
      <c r="H616" s="6" t="n">
        <v>120000</v>
      </c>
    </row>
    <row r="617" customFormat="false" ht="15" hidden="false" customHeight="false" outlineLevel="0" collapsed="false">
      <c r="A617" s="11" t="n">
        <v>45569</v>
      </c>
      <c r="B617" s="11" t="n">
        <v>45589</v>
      </c>
      <c r="C617" s="11" t="n">
        <v>45582</v>
      </c>
      <c r="D617" s="5" t="s">
        <v>25</v>
      </c>
      <c r="E617" s="5" t="s">
        <v>19</v>
      </c>
      <c r="F617" s="5" t="s">
        <v>19</v>
      </c>
      <c r="G617" s="5" t="s">
        <v>3</v>
      </c>
      <c r="H617" s="6" t="n">
        <v>198000</v>
      </c>
    </row>
    <row r="618" customFormat="false" ht="15" hidden="false" customHeight="false" outlineLevel="0" collapsed="false">
      <c r="A618" s="11" t="n">
        <v>45572</v>
      </c>
      <c r="B618" s="11" t="n">
        <v>45589</v>
      </c>
      <c r="C618" s="11" t="n">
        <v>45582</v>
      </c>
      <c r="D618" s="5" t="s">
        <v>25</v>
      </c>
      <c r="E618" s="5" t="s">
        <v>19</v>
      </c>
      <c r="F618" s="5" t="s">
        <v>19</v>
      </c>
      <c r="G618" s="5" t="s">
        <v>40</v>
      </c>
      <c r="H618" s="6" t="n">
        <v>172500</v>
      </c>
    </row>
    <row r="619" customFormat="false" ht="15" hidden="false" customHeight="false" outlineLevel="0" collapsed="false">
      <c r="A619" s="11" t="n">
        <v>45574</v>
      </c>
      <c r="B619" s="11" t="n">
        <v>45589</v>
      </c>
      <c r="C619" s="11" t="n">
        <v>45582</v>
      </c>
      <c r="D619" s="5" t="s">
        <v>25</v>
      </c>
      <c r="E619" s="5" t="s">
        <v>19</v>
      </c>
      <c r="F619" s="5" t="s">
        <v>19</v>
      </c>
      <c r="G619" s="5" t="s">
        <v>3</v>
      </c>
      <c r="H619" s="6" t="n">
        <v>126000</v>
      </c>
    </row>
    <row r="620" customFormat="false" ht="15" hidden="false" customHeight="false" outlineLevel="0" collapsed="false">
      <c r="A620" s="11" t="n">
        <v>45576</v>
      </c>
      <c r="B620" s="11" t="n">
        <v>45596</v>
      </c>
      <c r="C620" s="11" t="n">
        <v>45589</v>
      </c>
      <c r="D620" s="5" t="s">
        <v>25</v>
      </c>
      <c r="E620" s="5" t="s">
        <v>19</v>
      </c>
      <c r="F620" s="5" t="s">
        <v>19</v>
      </c>
      <c r="G620" s="5" t="s">
        <v>3</v>
      </c>
      <c r="H620" s="6" t="n">
        <v>577928</v>
      </c>
    </row>
    <row r="621" customFormat="false" ht="15" hidden="false" customHeight="false" outlineLevel="0" collapsed="false">
      <c r="A621" s="11" t="n">
        <v>45576</v>
      </c>
      <c r="B621" s="11" t="n">
        <v>45596</v>
      </c>
      <c r="C621" s="11" t="n">
        <v>45589</v>
      </c>
      <c r="D621" s="5" t="s">
        <v>25</v>
      </c>
      <c r="E621" s="5" t="s">
        <v>19</v>
      </c>
      <c r="F621" s="5" t="s">
        <v>19</v>
      </c>
      <c r="G621" s="5" t="s">
        <v>40</v>
      </c>
      <c r="H621" s="6" t="n">
        <v>132000</v>
      </c>
    </row>
    <row r="622" customFormat="false" ht="15" hidden="false" customHeight="false" outlineLevel="0" collapsed="false">
      <c r="A622" s="11" t="n">
        <v>45581</v>
      </c>
      <c r="B622" s="11" t="n">
        <v>45596</v>
      </c>
      <c r="C622" s="11" t="n">
        <v>45589</v>
      </c>
      <c r="D622" s="5" t="s">
        <v>25</v>
      </c>
      <c r="E622" s="5" t="s">
        <v>19</v>
      </c>
      <c r="F622" s="5" t="s">
        <v>19</v>
      </c>
      <c r="G622" s="5" t="s">
        <v>3</v>
      </c>
      <c r="H622" s="6" t="n">
        <v>332000</v>
      </c>
    </row>
    <row r="623" customFormat="false" ht="15" hidden="false" customHeight="false" outlineLevel="0" collapsed="false">
      <c r="A623" s="11" t="n">
        <v>45581</v>
      </c>
      <c r="B623" s="11" t="n">
        <v>45596</v>
      </c>
      <c r="C623" s="11" t="n">
        <v>45589</v>
      </c>
      <c r="D623" s="5" t="s">
        <v>25</v>
      </c>
      <c r="E623" s="5" t="s">
        <v>19</v>
      </c>
      <c r="F623" s="5" t="s">
        <v>19</v>
      </c>
      <c r="G623" s="5" t="s">
        <v>40</v>
      </c>
      <c r="H623" s="6" t="n">
        <v>175000</v>
      </c>
    </row>
    <row r="624" customFormat="false" ht="15" hidden="false" customHeight="false" outlineLevel="0" collapsed="false">
      <c r="A624" s="11" t="n">
        <v>45582</v>
      </c>
      <c r="B624" s="11" t="n">
        <v>45596</v>
      </c>
      <c r="C624" s="11" t="n">
        <v>45589</v>
      </c>
      <c r="D624" s="5" t="s">
        <v>25</v>
      </c>
      <c r="E624" s="5" t="s">
        <v>19</v>
      </c>
      <c r="F624" s="5" t="s">
        <v>19</v>
      </c>
      <c r="G624" s="5" t="s">
        <v>3</v>
      </c>
      <c r="H624" s="6" t="n">
        <v>101000</v>
      </c>
    </row>
    <row r="625" customFormat="false" ht="15" hidden="false" customHeight="false" outlineLevel="0" collapsed="false">
      <c r="A625" s="11" t="n">
        <v>45583</v>
      </c>
      <c r="B625" s="11" t="n">
        <v>45603</v>
      </c>
      <c r="C625" s="11" t="n">
        <v>45596</v>
      </c>
      <c r="D625" s="5" t="s">
        <v>25</v>
      </c>
      <c r="E625" s="5" t="s">
        <v>19</v>
      </c>
      <c r="F625" s="5" t="s">
        <v>19</v>
      </c>
      <c r="G625" s="5" t="s">
        <v>3</v>
      </c>
      <c r="H625" s="6" t="n">
        <v>125000</v>
      </c>
    </row>
    <row r="626" customFormat="false" ht="15" hidden="false" customHeight="false" outlineLevel="0" collapsed="false">
      <c r="A626" s="11" t="n">
        <v>45583</v>
      </c>
      <c r="B626" s="11" t="n">
        <v>45603</v>
      </c>
      <c r="C626" s="11" t="n">
        <v>45596</v>
      </c>
      <c r="D626" s="5" t="s">
        <v>25</v>
      </c>
      <c r="E626" s="5" t="s">
        <v>19</v>
      </c>
      <c r="F626" s="5" t="s">
        <v>19</v>
      </c>
      <c r="G626" s="5" t="s">
        <v>40</v>
      </c>
      <c r="H626" s="6" t="n">
        <v>292800</v>
      </c>
    </row>
    <row r="627" customFormat="false" ht="15" hidden="false" customHeight="false" outlineLevel="0" collapsed="false">
      <c r="A627" s="11" t="n">
        <v>45586</v>
      </c>
      <c r="B627" s="11" t="n">
        <v>45603</v>
      </c>
      <c r="C627" s="11" t="n">
        <v>45596</v>
      </c>
      <c r="D627" s="5" t="s">
        <v>25</v>
      </c>
      <c r="E627" s="5" t="s">
        <v>19</v>
      </c>
      <c r="F627" s="5" t="s">
        <v>19</v>
      </c>
      <c r="G627" s="5" t="s">
        <v>3</v>
      </c>
      <c r="H627" s="6" t="n">
        <v>198192</v>
      </c>
    </row>
    <row r="628" customFormat="false" ht="15" hidden="false" customHeight="false" outlineLevel="0" collapsed="false">
      <c r="A628" s="11" t="n">
        <v>45586</v>
      </c>
      <c r="B628" s="11" t="n">
        <v>45603</v>
      </c>
      <c r="C628" s="11" t="n">
        <v>45596</v>
      </c>
      <c r="D628" s="5" t="s">
        <v>25</v>
      </c>
      <c r="E628" s="5" t="s">
        <v>19</v>
      </c>
      <c r="F628" s="5" t="s">
        <v>19</v>
      </c>
      <c r="G628" s="5" t="s">
        <v>40</v>
      </c>
      <c r="H628" s="6" t="n">
        <v>380000</v>
      </c>
    </row>
    <row r="629" customFormat="false" ht="15" hidden="false" customHeight="false" outlineLevel="0" collapsed="false">
      <c r="A629" s="11" t="n">
        <v>45588</v>
      </c>
      <c r="B629" s="11" t="n">
        <v>45603</v>
      </c>
      <c r="C629" s="11" t="n">
        <v>45596</v>
      </c>
      <c r="D629" s="5" t="s">
        <v>25</v>
      </c>
      <c r="E629" s="5" t="s">
        <v>19</v>
      </c>
      <c r="F629" s="5" t="s">
        <v>19</v>
      </c>
      <c r="G629" s="5" t="s">
        <v>3</v>
      </c>
      <c r="H629" s="6" t="n">
        <v>100000</v>
      </c>
    </row>
    <row r="630" customFormat="false" ht="15" hidden="false" customHeight="false" outlineLevel="0" collapsed="false">
      <c r="A630" s="11" t="n">
        <v>45588</v>
      </c>
      <c r="B630" s="11" t="n">
        <v>45603</v>
      </c>
      <c r="C630" s="11" t="n">
        <v>45596</v>
      </c>
      <c r="D630" s="5" t="s">
        <v>25</v>
      </c>
      <c r="E630" s="5" t="s">
        <v>19</v>
      </c>
      <c r="F630" s="5" t="s">
        <v>19</v>
      </c>
      <c r="G630" s="5" t="s">
        <v>40</v>
      </c>
      <c r="H630" s="6" t="n">
        <v>259000</v>
      </c>
    </row>
    <row r="631" customFormat="false" ht="15" hidden="false" customHeight="false" outlineLevel="0" collapsed="false">
      <c r="A631" s="11" t="n">
        <v>45589</v>
      </c>
      <c r="B631" s="11" t="n">
        <v>45603</v>
      </c>
      <c r="C631" s="11" t="n">
        <v>45596</v>
      </c>
      <c r="D631" s="5" t="s">
        <v>25</v>
      </c>
      <c r="E631" s="5" t="s">
        <v>19</v>
      </c>
      <c r="F631" s="5" t="s">
        <v>19</v>
      </c>
      <c r="G631" s="5" t="s">
        <v>3</v>
      </c>
      <c r="H631" s="6" t="n">
        <v>165000</v>
      </c>
    </row>
    <row r="632" customFormat="false" ht="15" hidden="false" customHeight="false" outlineLevel="0" collapsed="false">
      <c r="A632" s="11" t="n">
        <v>45589</v>
      </c>
      <c r="B632" s="11" t="n">
        <v>45603</v>
      </c>
      <c r="C632" s="11" t="n">
        <v>45596</v>
      </c>
      <c r="D632" s="5" t="s">
        <v>25</v>
      </c>
      <c r="E632" s="5" t="s">
        <v>19</v>
      </c>
      <c r="F632" s="5" t="s">
        <v>19</v>
      </c>
      <c r="G632" s="5" t="s">
        <v>40</v>
      </c>
      <c r="H632" s="6" t="n">
        <v>198000</v>
      </c>
    </row>
    <row r="633" customFormat="false" ht="15" hidden="false" customHeight="false" outlineLevel="0" collapsed="false">
      <c r="A633" s="11" t="n">
        <v>45593</v>
      </c>
      <c r="B633" s="11" t="n">
        <v>45610</v>
      </c>
      <c r="C633" s="11" t="n">
        <v>45603</v>
      </c>
      <c r="D633" s="5" t="s">
        <v>25</v>
      </c>
      <c r="E633" s="5" t="s">
        <v>19</v>
      </c>
      <c r="F633" s="5" t="s">
        <v>19</v>
      </c>
      <c r="G633" s="5" t="s">
        <v>3</v>
      </c>
      <c r="H633" s="6" t="n">
        <v>120000</v>
      </c>
    </row>
    <row r="634" customFormat="false" ht="15" hidden="false" customHeight="false" outlineLevel="0" collapsed="false">
      <c r="A634" s="11" t="n">
        <v>45595</v>
      </c>
      <c r="B634" s="11" t="n">
        <v>45610</v>
      </c>
      <c r="C634" s="11" t="n">
        <v>45603</v>
      </c>
      <c r="D634" s="5" t="s">
        <v>25</v>
      </c>
      <c r="E634" s="5" t="s">
        <v>19</v>
      </c>
      <c r="F634" s="5" t="s">
        <v>19</v>
      </c>
      <c r="G634" s="5" t="s">
        <v>3</v>
      </c>
      <c r="H634" s="6" t="n">
        <v>273048</v>
      </c>
    </row>
    <row r="635" customFormat="false" ht="15" hidden="false" customHeight="false" outlineLevel="0" collapsed="false">
      <c r="A635" s="11" t="n">
        <v>45595</v>
      </c>
      <c r="B635" s="11" t="n">
        <v>45610</v>
      </c>
      <c r="C635" s="11" t="n">
        <v>45603</v>
      </c>
      <c r="D635" s="5" t="s">
        <v>25</v>
      </c>
      <c r="E635" s="5" t="s">
        <v>19</v>
      </c>
      <c r="F635" s="5" t="s">
        <v>19</v>
      </c>
      <c r="G635" s="5" t="s">
        <v>40</v>
      </c>
      <c r="H635" s="6" t="n">
        <v>132000</v>
      </c>
    </row>
    <row r="636" customFormat="false" ht="15" hidden="false" customHeight="false" outlineLevel="0" collapsed="false">
      <c r="A636" s="11" t="n">
        <v>45597</v>
      </c>
      <c r="B636" s="11" t="n">
        <v>45617</v>
      </c>
      <c r="C636" s="11" t="n">
        <v>45610</v>
      </c>
      <c r="D636" s="5" t="s">
        <v>25</v>
      </c>
      <c r="E636" s="5" t="s">
        <v>19</v>
      </c>
      <c r="F636" s="5" t="s">
        <v>19</v>
      </c>
      <c r="G636" s="5" t="s">
        <v>40</v>
      </c>
      <c r="H636" s="6" t="n">
        <v>198000</v>
      </c>
    </row>
    <row r="637" customFormat="false" ht="15" hidden="false" customHeight="false" outlineLevel="0" collapsed="false">
      <c r="A637" s="11" t="n">
        <v>45600</v>
      </c>
      <c r="B637" s="11" t="n">
        <v>45617</v>
      </c>
      <c r="C637" s="11" t="n">
        <v>45610</v>
      </c>
      <c r="D637" s="5" t="s">
        <v>25</v>
      </c>
      <c r="E637" s="5" t="s">
        <v>19</v>
      </c>
      <c r="F637" s="5" t="s">
        <v>19</v>
      </c>
      <c r="G637" s="5" t="s">
        <v>3</v>
      </c>
      <c r="H637" s="6" t="n">
        <v>120000</v>
      </c>
    </row>
    <row r="638" customFormat="false" ht="15" hidden="false" customHeight="false" outlineLevel="0" collapsed="false">
      <c r="A638" s="11" t="n">
        <v>45600</v>
      </c>
      <c r="B638" s="11" t="n">
        <v>45617</v>
      </c>
      <c r="C638" s="11" t="n">
        <v>45610</v>
      </c>
      <c r="D638" s="5" t="s">
        <v>25</v>
      </c>
      <c r="E638" s="5" t="s">
        <v>19</v>
      </c>
      <c r="F638" s="5" t="s">
        <v>19</v>
      </c>
      <c r="G638" s="5" t="s">
        <v>40</v>
      </c>
      <c r="H638" s="6" t="n">
        <v>132000</v>
      </c>
    </row>
    <row r="639" customFormat="false" ht="15" hidden="false" customHeight="false" outlineLevel="0" collapsed="false">
      <c r="A639" s="11" t="n">
        <v>45601</v>
      </c>
      <c r="B639" s="11" t="n">
        <v>45617</v>
      </c>
      <c r="C639" s="11" t="n">
        <v>45610</v>
      </c>
      <c r="D639" s="5" t="s">
        <v>25</v>
      </c>
      <c r="E639" s="5" t="s">
        <v>19</v>
      </c>
      <c r="F639" s="5" t="s">
        <v>19</v>
      </c>
      <c r="G639" s="5" t="s">
        <v>3</v>
      </c>
      <c r="H639" s="6" t="n">
        <v>124000</v>
      </c>
    </row>
    <row r="640" customFormat="false" ht="15" hidden="false" customHeight="false" outlineLevel="0" collapsed="false">
      <c r="A640" s="11" t="n">
        <v>45603</v>
      </c>
      <c r="B640" s="11" t="n">
        <v>45617</v>
      </c>
      <c r="C640" s="11" t="n">
        <v>45610</v>
      </c>
      <c r="D640" s="5" t="s">
        <v>25</v>
      </c>
      <c r="E640" s="5" t="s">
        <v>19</v>
      </c>
      <c r="F640" s="5" t="s">
        <v>19</v>
      </c>
      <c r="G640" s="5" t="s">
        <v>3</v>
      </c>
      <c r="H640" s="6" t="n">
        <v>120000</v>
      </c>
    </row>
    <row r="641" customFormat="false" ht="15" hidden="false" customHeight="false" outlineLevel="0" collapsed="false">
      <c r="A641" s="11" t="n">
        <v>45604</v>
      </c>
      <c r="B641" s="11" t="n">
        <v>45624</v>
      </c>
      <c r="C641" s="11" t="n">
        <v>45617</v>
      </c>
      <c r="D641" s="5" t="s">
        <v>25</v>
      </c>
      <c r="E641" s="5" t="s">
        <v>19</v>
      </c>
      <c r="F641" s="5" t="s">
        <v>19</v>
      </c>
      <c r="G641" s="5" t="s">
        <v>3</v>
      </c>
      <c r="H641" s="6" t="n">
        <v>200480</v>
      </c>
    </row>
    <row r="642" customFormat="false" ht="15" hidden="false" customHeight="false" outlineLevel="0" collapsed="false">
      <c r="A642" s="11" t="n">
        <v>45604</v>
      </c>
      <c r="B642" s="11" t="n">
        <v>45624</v>
      </c>
      <c r="C642" s="11" t="n">
        <v>45617</v>
      </c>
      <c r="D642" s="5" t="s">
        <v>25</v>
      </c>
      <c r="E642" s="5" t="s">
        <v>19</v>
      </c>
      <c r="F642" s="5" t="s">
        <v>19</v>
      </c>
      <c r="G642" s="5" t="s">
        <v>40</v>
      </c>
      <c r="H642" s="6" t="n">
        <v>132000</v>
      </c>
    </row>
    <row r="643" customFormat="false" ht="15" hidden="false" customHeight="false" outlineLevel="0" collapsed="false">
      <c r="A643" s="11" t="n">
        <v>45609</v>
      </c>
      <c r="B643" s="11" t="n">
        <v>45624</v>
      </c>
      <c r="C643" s="11" t="n">
        <v>45617</v>
      </c>
      <c r="D643" s="5" t="s">
        <v>25</v>
      </c>
      <c r="E643" s="5" t="s">
        <v>19</v>
      </c>
      <c r="F643" s="5" t="s">
        <v>19</v>
      </c>
      <c r="G643" s="5" t="s">
        <v>3</v>
      </c>
      <c r="H643" s="6" t="n">
        <v>290820</v>
      </c>
    </row>
    <row r="644" customFormat="false" ht="15" hidden="false" customHeight="false" outlineLevel="0" collapsed="false">
      <c r="A644" s="11" t="n">
        <v>45610</v>
      </c>
      <c r="B644" s="11" t="n">
        <v>45624</v>
      </c>
      <c r="C644" s="11" t="n">
        <v>45617</v>
      </c>
      <c r="D644" s="5" t="s">
        <v>25</v>
      </c>
      <c r="E644" s="5" t="s">
        <v>19</v>
      </c>
      <c r="F644" s="5" t="s">
        <v>19</v>
      </c>
      <c r="G644" s="5" t="s">
        <v>40</v>
      </c>
      <c r="H644" s="6" t="n">
        <v>176000</v>
      </c>
    </row>
    <row r="645" customFormat="false" ht="15" hidden="false" customHeight="false" outlineLevel="0" collapsed="false">
      <c r="A645" s="11" t="n">
        <v>45616</v>
      </c>
      <c r="B645" s="11" t="n">
        <v>45631</v>
      </c>
      <c r="C645" s="11" t="n">
        <v>45624</v>
      </c>
      <c r="D645" s="5" t="s">
        <v>25</v>
      </c>
      <c r="E645" s="5" t="s">
        <v>19</v>
      </c>
      <c r="F645" s="5" t="s">
        <v>19</v>
      </c>
      <c r="G645" s="5" t="s">
        <v>40</v>
      </c>
      <c r="H645" s="6" t="n">
        <v>226200</v>
      </c>
    </row>
    <row r="646" customFormat="false" ht="15" hidden="false" customHeight="false" outlineLevel="0" collapsed="false">
      <c r="A646" s="11" t="n">
        <v>45617</v>
      </c>
      <c r="B646" s="11" t="n">
        <v>45631</v>
      </c>
      <c r="C646" s="11" t="n">
        <v>45624</v>
      </c>
      <c r="D646" s="5" t="s">
        <v>25</v>
      </c>
      <c r="E646" s="5" t="s">
        <v>19</v>
      </c>
      <c r="F646" s="5" t="s">
        <v>19</v>
      </c>
      <c r="G646" s="5" t="s">
        <v>40</v>
      </c>
      <c r="H646" s="6" t="n">
        <v>135000</v>
      </c>
    </row>
    <row r="647" customFormat="false" ht="15" hidden="false" customHeight="false" outlineLevel="0" collapsed="false">
      <c r="A647" s="11" t="n">
        <v>45618</v>
      </c>
      <c r="B647" s="11" t="n">
        <v>45638</v>
      </c>
      <c r="C647" s="11" t="n">
        <v>45631</v>
      </c>
      <c r="D647" s="5" t="s">
        <v>25</v>
      </c>
      <c r="E647" s="5" t="s">
        <v>19</v>
      </c>
      <c r="F647" s="5" t="s">
        <v>19</v>
      </c>
      <c r="G647" s="5" t="s">
        <v>40</v>
      </c>
      <c r="H647" s="6" t="n">
        <v>198000</v>
      </c>
    </row>
    <row r="648" customFormat="false" ht="15" hidden="false" customHeight="false" outlineLevel="0" collapsed="false">
      <c r="A648" s="11" t="n">
        <v>45625</v>
      </c>
      <c r="B648" s="11" t="n">
        <v>45645</v>
      </c>
      <c r="C648" s="11" t="n">
        <v>45638</v>
      </c>
      <c r="D648" s="5" t="s">
        <v>25</v>
      </c>
      <c r="E648" s="5" t="s">
        <v>19</v>
      </c>
      <c r="F648" s="5" t="s">
        <v>19</v>
      </c>
      <c r="G648" s="5" t="s">
        <v>40</v>
      </c>
      <c r="H648" s="6" t="n">
        <v>991700</v>
      </c>
    </row>
    <row r="649" customFormat="false" ht="15" hidden="false" customHeight="false" outlineLevel="0" collapsed="false">
      <c r="A649" s="11" t="n">
        <v>45638</v>
      </c>
      <c r="B649" s="11" t="n">
        <v>45652</v>
      </c>
      <c r="C649" s="11" t="n">
        <v>45645</v>
      </c>
      <c r="D649" s="5" t="s">
        <v>25</v>
      </c>
      <c r="E649" s="5" t="s">
        <v>19</v>
      </c>
      <c r="F649" s="5" t="s">
        <v>19</v>
      </c>
      <c r="G649" s="5" t="s">
        <v>40</v>
      </c>
      <c r="H649" s="6" t="n">
        <v>334000</v>
      </c>
    </row>
    <row r="650" customFormat="false" ht="15" hidden="false" customHeight="false" outlineLevel="0" collapsed="false">
      <c r="A650" s="11" t="n">
        <v>45639</v>
      </c>
      <c r="B650" s="11" t="n">
        <v>45659</v>
      </c>
      <c r="C650" s="11" t="n">
        <v>45652</v>
      </c>
      <c r="D650" s="5" t="s">
        <v>25</v>
      </c>
      <c r="E650" s="5" t="s">
        <v>19</v>
      </c>
      <c r="F650" s="5" t="s">
        <v>19</v>
      </c>
      <c r="G650" s="5" t="s">
        <v>40</v>
      </c>
      <c r="H650" s="6" t="n">
        <v>200000</v>
      </c>
    </row>
    <row r="651" customFormat="false" ht="15" hidden="false" customHeight="false" outlineLevel="0" collapsed="false">
      <c r="A651" s="11" t="n">
        <v>45643</v>
      </c>
      <c r="B651" s="11" t="n">
        <v>45659</v>
      </c>
      <c r="C651" s="11" t="n">
        <v>45652</v>
      </c>
      <c r="D651" s="5" t="s">
        <v>25</v>
      </c>
      <c r="E651" s="5" t="s">
        <v>19</v>
      </c>
      <c r="F651" s="5" t="s">
        <v>19</v>
      </c>
      <c r="G651" s="5" t="s">
        <v>40</v>
      </c>
      <c r="H651" s="6" t="n">
        <v>132000</v>
      </c>
    </row>
    <row r="652" customFormat="false" ht="15" hidden="false" customHeight="false" outlineLevel="0" collapsed="false">
      <c r="A652" s="11" t="n">
        <v>45645</v>
      </c>
      <c r="B652" s="11" t="n">
        <v>45659</v>
      </c>
      <c r="C652" s="11" t="n">
        <v>45652</v>
      </c>
      <c r="D652" s="5" t="s">
        <v>25</v>
      </c>
      <c r="E652" s="5" t="s">
        <v>19</v>
      </c>
      <c r="F652" s="5" t="s">
        <v>19</v>
      </c>
      <c r="G652" s="5" t="s">
        <v>40</v>
      </c>
      <c r="H652" s="6" t="n">
        <v>152200</v>
      </c>
    </row>
    <row r="653" customFormat="false" ht="15" hidden="false" customHeight="false" outlineLevel="0" collapsed="false">
      <c r="A653" s="11" t="n">
        <v>45645</v>
      </c>
      <c r="B653" s="11" t="n">
        <v>45659</v>
      </c>
      <c r="C653" s="11" t="n">
        <v>45652</v>
      </c>
      <c r="D653" s="5" t="s">
        <v>25</v>
      </c>
      <c r="E653" s="5" t="s">
        <v>20</v>
      </c>
      <c r="F653" s="5" t="s">
        <v>19</v>
      </c>
      <c r="G653" s="5" t="s">
        <v>40</v>
      </c>
      <c r="H653" s="6" t="n">
        <v>75000</v>
      </c>
    </row>
    <row r="654" customFormat="false" ht="15" hidden="false" customHeight="false" outlineLevel="0" collapsed="false">
      <c r="A654" s="11" t="n">
        <v>45649</v>
      </c>
      <c r="B654" s="11" t="n">
        <v>45666</v>
      </c>
      <c r="C654" s="11" t="n">
        <v>45659</v>
      </c>
      <c r="D654" s="5" t="s">
        <v>25</v>
      </c>
      <c r="E654" s="5" t="s">
        <v>19</v>
      </c>
      <c r="F654" s="5" t="s">
        <v>19</v>
      </c>
      <c r="G654" s="5" t="s">
        <v>3</v>
      </c>
      <c r="H654" s="6" t="n">
        <v>264000</v>
      </c>
    </row>
    <row r="655" customFormat="false" ht="15" hidden="false" customHeight="false" outlineLevel="0" collapsed="false">
      <c r="A655" s="11" t="n">
        <v>45665</v>
      </c>
      <c r="B655" s="11" t="n">
        <v>45680</v>
      </c>
      <c r="C655" s="11" t="n">
        <v>45673</v>
      </c>
      <c r="D655" s="5" t="s">
        <v>25</v>
      </c>
      <c r="E655" s="5" t="s">
        <v>19</v>
      </c>
      <c r="F655" s="5" t="s">
        <v>19</v>
      </c>
      <c r="G655" s="5" t="s">
        <v>40</v>
      </c>
      <c r="H655" s="6" t="n">
        <v>120000</v>
      </c>
    </row>
    <row r="656" customFormat="false" ht="15" hidden="false" customHeight="false" outlineLevel="0" collapsed="false">
      <c r="A656" s="11" t="n">
        <v>45679</v>
      </c>
      <c r="B656" s="11" t="n">
        <v>45694</v>
      </c>
      <c r="C656" s="11" t="n">
        <v>45687</v>
      </c>
      <c r="D656" s="5" t="s">
        <v>25</v>
      </c>
      <c r="E656" s="5" t="s">
        <v>19</v>
      </c>
      <c r="F656" s="5" t="s">
        <v>19</v>
      </c>
      <c r="G656" s="5" t="s">
        <v>3</v>
      </c>
      <c r="H656" s="6" t="n">
        <v>136000</v>
      </c>
    </row>
    <row r="657" customFormat="false" ht="15" hidden="false" customHeight="false" outlineLevel="0" collapsed="false">
      <c r="A657" s="11" t="n">
        <v>45700</v>
      </c>
      <c r="B657" s="11" t="n">
        <v>45715</v>
      </c>
      <c r="C657" s="11" t="n">
        <v>45708</v>
      </c>
      <c r="D657" s="5" t="s">
        <v>25</v>
      </c>
      <c r="E657" s="5" t="s">
        <v>19</v>
      </c>
      <c r="F657" s="5" t="s">
        <v>19</v>
      </c>
      <c r="G657" s="5" t="s">
        <v>3</v>
      </c>
      <c r="H657" s="6" t="n">
        <v>130320</v>
      </c>
    </row>
    <row r="658" customFormat="false" ht="15" hidden="false" customHeight="false" outlineLevel="0" collapsed="false">
      <c r="A658" s="11" t="n">
        <v>45700</v>
      </c>
      <c r="B658" s="11" t="n">
        <v>45715</v>
      </c>
      <c r="C658" s="11" t="n">
        <v>45708</v>
      </c>
      <c r="D658" s="5" t="s">
        <v>25</v>
      </c>
      <c r="E658" s="5" t="s">
        <v>19</v>
      </c>
      <c r="F658" s="5" t="s">
        <v>19</v>
      </c>
      <c r="G658" s="5" t="s">
        <v>40</v>
      </c>
      <c r="H658" s="6" t="n">
        <v>120000</v>
      </c>
    </row>
    <row r="659" customFormat="false" ht="15" hidden="false" customHeight="false" outlineLevel="0" collapsed="false">
      <c r="A659" s="11" t="n">
        <v>45726</v>
      </c>
      <c r="B659" s="11" t="n">
        <v>45743</v>
      </c>
      <c r="C659" s="11" t="n">
        <v>45736</v>
      </c>
      <c r="D659" s="5" t="s">
        <v>25</v>
      </c>
      <c r="E659" s="5" t="s">
        <v>19</v>
      </c>
      <c r="F659" s="5" t="s">
        <v>19</v>
      </c>
      <c r="G659" s="5" t="s">
        <v>40</v>
      </c>
      <c r="H659" s="6" t="n">
        <v>195000</v>
      </c>
    </row>
    <row r="660" customFormat="false" ht="15" hidden="false" customHeight="false" outlineLevel="0" collapsed="false">
      <c r="A660" s="11" t="n">
        <v>45730</v>
      </c>
      <c r="B660" s="11" t="n">
        <v>45750</v>
      </c>
      <c r="C660" s="11" t="n">
        <v>45743</v>
      </c>
      <c r="D660" s="5" t="s">
        <v>25</v>
      </c>
      <c r="E660" s="5" t="s">
        <v>19</v>
      </c>
      <c r="F660" s="5" t="s">
        <v>19</v>
      </c>
      <c r="G660" s="5" t="s">
        <v>3</v>
      </c>
      <c r="H660" s="6" t="n">
        <v>218604</v>
      </c>
    </row>
    <row r="661" customFormat="false" ht="15" hidden="false" customHeight="false" outlineLevel="0" collapsed="false">
      <c r="A661" s="11" t="n">
        <v>45756</v>
      </c>
      <c r="B661" s="11" t="n">
        <v>45771</v>
      </c>
      <c r="C661" s="11" t="n">
        <v>45764</v>
      </c>
      <c r="D661" s="5" t="s">
        <v>25</v>
      </c>
      <c r="E661" s="5" t="s">
        <v>19</v>
      </c>
      <c r="F661" s="5" t="s">
        <v>19</v>
      </c>
      <c r="G661" s="5" t="s">
        <v>40</v>
      </c>
      <c r="H661" s="6" t="n">
        <v>198000</v>
      </c>
    </row>
    <row r="662" customFormat="false" ht="15" hidden="false" customHeight="false" outlineLevel="0" collapsed="false">
      <c r="A662" s="11" t="n">
        <v>45758</v>
      </c>
      <c r="B662" s="11" t="n">
        <v>45778</v>
      </c>
      <c r="C662" s="11" t="n">
        <v>45771</v>
      </c>
      <c r="D662" s="5" t="s">
        <v>25</v>
      </c>
      <c r="E662" s="5" t="s">
        <v>19</v>
      </c>
      <c r="F662" s="5" t="s">
        <v>19</v>
      </c>
      <c r="G662" s="5" t="s">
        <v>40</v>
      </c>
      <c r="H662" s="6" t="n">
        <v>55000</v>
      </c>
    </row>
    <row r="663" customFormat="false" ht="15" hidden="false" customHeight="false" outlineLevel="0" collapsed="false">
      <c r="A663" s="11" t="n">
        <v>45758</v>
      </c>
      <c r="B663" s="11" t="n">
        <v>45778</v>
      </c>
      <c r="C663" s="11" t="n">
        <v>45771</v>
      </c>
      <c r="D663" s="5" t="s">
        <v>25</v>
      </c>
      <c r="E663" s="5" t="s">
        <v>20</v>
      </c>
      <c r="F663" s="5" t="s">
        <v>19</v>
      </c>
      <c r="G663" s="5" t="s">
        <v>40</v>
      </c>
      <c r="H663" s="6" t="n">
        <v>66000</v>
      </c>
    </row>
    <row r="664" customFormat="false" ht="15" hidden="false" customHeight="false" outlineLevel="0" collapsed="false">
      <c r="A664" s="11" t="n">
        <v>45776</v>
      </c>
      <c r="B664" s="11" t="n">
        <v>45792</v>
      </c>
      <c r="C664" s="11" t="n">
        <v>45785</v>
      </c>
      <c r="D664" s="5" t="s">
        <v>25</v>
      </c>
      <c r="E664" s="5" t="s">
        <v>19</v>
      </c>
      <c r="F664" s="5" t="s">
        <v>19</v>
      </c>
      <c r="G664" s="5" t="s">
        <v>40</v>
      </c>
      <c r="H664" s="6" t="n">
        <v>110000</v>
      </c>
    </row>
    <row r="665" customFormat="false" ht="15" hidden="false" customHeight="false" outlineLevel="0" collapsed="false">
      <c r="A665" s="11" t="n">
        <v>45777</v>
      </c>
      <c r="B665" s="11" t="n">
        <v>45792</v>
      </c>
      <c r="C665" s="11" t="n">
        <v>45785</v>
      </c>
      <c r="D665" s="5" t="s">
        <v>25</v>
      </c>
      <c r="E665" s="5" t="s">
        <v>19</v>
      </c>
      <c r="F665" s="5" t="s">
        <v>19</v>
      </c>
      <c r="G665" s="5" t="s">
        <v>3</v>
      </c>
      <c r="H665" s="6" t="n">
        <v>120000</v>
      </c>
    </row>
    <row r="666" customFormat="false" ht="15" hidden="false" customHeight="false" outlineLevel="0" collapsed="false">
      <c r="A666" s="11" t="n">
        <v>45785</v>
      </c>
      <c r="B666" s="11" t="n">
        <v>45799</v>
      </c>
      <c r="C666" s="11" t="n">
        <v>45792</v>
      </c>
      <c r="D666" s="5" t="s">
        <v>25</v>
      </c>
      <c r="E666" s="5" t="s">
        <v>19</v>
      </c>
      <c r="F666" s="5" t="s">
        <v>19</v>
      </c>
      <c r="G666" s="5" t="s">
        <v>3</v>
      </c>
      <c r="H666" s="6" t="n">
        <v>115000</v>
      </c>
    </row>
    <row r="667" customFormat="false" ht="15" hidden="false" customHeight="false" outlineLevel="0" collapsed="false">
      <c r="A667" s="11" t="n">
        <v>45806</v>
      </c>
      <c r="B667" s="11" t="n">
        <v>45820</v>
      </c>
      <c r="C667" s="11" t="n">
        <v>45813</v>
      </c>
      <c r="D667" s="5" t="s">
        <v>25</v>
      </c>
      <c r="E667" s="5" t="s">
        <v>19</v>
      </c>
      <c r="F667" s="5" t="s">
        <v>19</v>
      </c>
      <c r="G667" s="5" t="s">
        <v>3</v>
      </c>
      <c r="H667" s="6" t="n">
        <v>101096</v>
      </c>
    </row>
    <row r="668" customFormat="false" ht="15" hidden="false" customHeight="false" outlineLevel="0" collapsed="false">
      <c r="A668" s="11" t="n">
        <v>45807</v>
      </c>
      <c r="B668" s="11" t="n">
        <v>45827</v>
      </c>
      <c r="C668" s="11" t="n">
        <v>45820</v>
      </c>
      <c r="D668" s="5" t="s">
        <v>25</v>
      </c>
      <c r="E668" s="5" t="s">
        <v>19</v>
      </c>
      <c r="F668" s="5" t="s">
        <v>19</v>
      </c>
      <c r="G668" s="5" t="s">
        <v>3</v>
      </c>
      <c r="H668" s="6" t="n">
        <v>145560</v>
      </c>
    </row>
    <row r="669" customFormat="false" ht="15" hidden="false" customHeight="false" outlineLevel="0" collapsed="false">
      <c r="A669" s="11" t="n">
        <v>45807</v>
      </c>
      <c r="B669" s="11" t="n">
        <v>45827</v>
      </c>
      <c r="C669" s="11" t="n">
        <v>45820</v>
      </c>
      <c r="D669" s="5" t="s">
        <v>25</v>
      </c>
      <c r="E669" s="5" t="s">
        <v>20</v>
      </c>
      <c r="F669" s="5" t="s">
        <v>19</v>
      </c>
      <c r="G669" s="5" t="s">
        <v>3</v>
      </c>
      <c r="H669" s="6" t="n">
        <v>65000</v>
      </c>
    </row>
    <row r="670" customFormat="false" ht="15" hidden="false" customHeight="false" outlineLevel="0" collapsed="false">
      <c r="A670" s="11" t="n">
        <v>45828</v>
      </c>
      <c r="B670" s="11" t="n">
        <v>45848</v>
      </c>
      <c r="C670" s="11" t="n">
        <v>45841</v>
      </c>
      <c r="D670" s="5" t="s">
        <v>25</v>
      </c>
      <c r="E670" s="5" t="s">
        <v>20</v>
      </c>
      <c r="F670" s="5" t="s">
        <v>19</v>
      </c>
      <c r="G670" s="5" t="s">
        <v>3</v>
      </c>
      <c r="H670" s="6" t="n">
        <v>124000</v>
      </c>
    </row>
    <row r="671" customFormat="false" ht="15" hidden="false" customHeight="false" outlineLevel="0" collapsed="false">
      <c r="A671" s="11" t="n">
        <v>45841</v>
      </c>
      <c r="B671" s="11" t="n">
        <v>45855</v>
      </c>
      <c r="C671" s="11" t="n">
        <v>45848</v>
      </c>
      <c r="D671" s="5" t="s">
        <v>25</v>
      </c>
      <c r="E671" s="5" t="s">
        <v>19</v>
      </c>
      <c r="F671" s="5" t="s">
        <v>19</v>
      </c>
      <c r="G671" s="5" t="s">
        <v>3</v>
      </c>
      <c r="H671" s="6" t="n">
        <v>150000</v>
      </c>
    </row>
    <row r="672" customFormat="false" ht="15" hidden="false" customHeight="false" outlineLevel="0" collapsed="false">
      <c r="A672" s="11" t="n">
        <v>45841</v>
      </c>
      <c r="B672" s="11" t="n">
        <v>45855</v>
      </c>
      <c r="C672" s="11" t="n">
        <v>45848</v>
      </c>
      <c r="D672" s="5" t="s">
        <v>25</v>
      </c>
      <c r="E672" s="5" t="s">
        <v>19</v>
      </c>
      <c r="F672" s="5" t="s">
        <v>19</v>
      </c>
      <c r="G672" s="5" t="s">
        <v>40</v>
      </c>
      <c r="H672" s="6" t="n">
        <v>226000</v>
      </c>
    </row>
    <row r="673" customFormat="false" ht="15" hidden="false" customHeight="false" outlineLevel="0" collapsed="false">
      <c r="A673" s="11" t="n">
        <v>45848</v>
      </c>
      <c r="B673" s="11" t="n">
        <v>45862</v>
      </c>
      <c r="C673" s="11" t="n">
        <v>45855</v>
      </c>
      <c r="D673" s="5" t="s">
        <v>25</v>
      </c>
      <c r="E673" s="5" t="s">
        <v>20</v>
      </c>
      <c r="F673" s="5" t="s">
        <v>19</v>
      </c>
      <c r="G673" s="5" t="s">
        <v>3</v>
      </c>
      <c r="H673" s="6" t="n">
        <v>110000</v>
      </c>
    </row>
    <row r="674" customFormat="false" ht="15" hidden="false" customHeight="false" outlineLevel="0" collapsed="false">
      <c r="A674" s="11" t="n">
        <v>45854</v>
      </c>
      <c r="B674" s="11" t="n">
        <v>45869</v>
      </c>
      <c r="C674" s="11" t="n">
        <v>45862</v>
      </c>
      <c r="D674" s="5" t="s">
        <v>25</v>
      </c>
      <c r="E674" s="5" t="s">
        <v>20</v>
      </c>
      <c r="F674" s="5" t="s">
        <v>19</v>
      </c>
      <c r="G674" s="5" t="s">
        <v>40</v>
      </c>
      <c r="H674" s="6" t="n">
        <v>120000</v>
      </c>
    </row>
    <row r="675" customFormat="false" ht="15" hidden="false" customHeight="false" outlineLevel="0" collapsed="false">
      <c r="A675" s="11" t="n">
        <v>45862</v>
      </c>
      <c r="B675" s="11" t="n">
        <v>45876</v>
      </c>
      <c r="C675" s="11" t="n">
        <v>45869</v>
      </c>
      <c r="D675" s="5" t="s">
        <v>25</v>
      </c>
      <c r="E675" s="5" t="s">
        <v>19</v>
      </c>
      <c r="F675" s="5" t="s">
        <v>19</v>
      </c>
      <c r="G675" s="5" t="s">
        <v>3</v>
      </c>
      <c r="H675" s="6" t="n">
        <v>83956</v>
      </c>
    </row>
    <row r="676" customFormat="false" ht="15" hidden="false" customHeight="false" outlineLevel="0" collapsed="false">
      <c r="A676" s="11" t="n">
        <v>45862</v>
      </c>
      <c r="B676" s="11" t="n">
        <v>45876</v>
      </c>
      <c r="C676" s="11" t="n">
        <v>45869</v>
      </c>
      <c r="D676" s="5" t="s">
        <v>25</v>
      </c>
      <c r="E676" s="5" t="s">
        <v>20</v>
      </c>
      <c r="F676" s="5" t="s">
        <v>19</v>
      </c>
      <c r="G676" s="5" t="s">
        <v>3</v>
      </c>
      <c r="H676" s="6" t="n">
        <v>200240</v>
      </c>
    </row>
    <row r="677" customFormat="false" ht="15" hidden="false" customHeight="false" outlineLevel="0" collapsed="false">
      <c r="A677" s="11" t="n">
        <v>45866</v>
      </c>
      <c r="B677" s="11" t="n">
        <v>45883</v>
      </c>
      <c r="C677" s="11" t="n">
        <v>45876</v>
      </c>
      <c r="D677" s="5" t="s">
        <v>25</v>
      </c>
      <c r="E677" s="5" t="s">
        <v>19</v>
      </c>
      <c r="F677" s="5" t="s">
        <v>19</v>
      </c>
      <c r="G677" s="5" t="s">
        <v>3</v>
      </c>
      <c r="H677" s="6" t="n">
        <v>35000</v>
      </c>
    </row>
    <row r="678" customFormat="false" ht="15" hidden="false" customHeight="false" outlineLevel="0" collapsed="false">
      <c r="A678" s="11" t="n">
        <v>45866</v>
      </c>
      <c r="B678" s="11" t="n">
        <v>45883</v>
      </c>
      <c r="C678" s="11" t="n">
        <v>45876</v>
      </c>
      <c r="D678" s="5" t="s">
        <v>25</v>
      </c>
      <c r="E678" s="5" t="s">
        <v>20</v>
      </c>
      <c r="F678" s="5" t="s">
        <v>19</v>
      </c>
      <c r="G678" s="5" t="s">
        <v>3</v>
      </c>
      <c r="H678" s="6" t="n">
        <v>194000</v>
      </c>
    </row>
    <row r="679" customFormat="false" ht="15" hidden="false" customHeight="false" outlineLevel="0" collapsed="false">
      <c r="A679" s="11" t="n">
        <v>45869</v>
      </c>
      <c r="B679" s="11" t="n">
        <v>45883</v>
      </c>
      <c r="C679" s="11" t="n">
        <v>45876</v>
      </c>
      <c r="D679" s="5" t="s">
        <v>25</v>
      </c>
      <c r="E679" s="5" t="s">
        <v>20</v>
      </c>
      <c r="F679" s="5" t="s">
        <v>19</v>
      </c>
      <c r="G679" s="5" t="s">
        <v>3</v>
      </c>
      <c r="H679" s="6" t="n">
        <v>136000</v>
      </c>
    </row>
    <row r="680" customFormat="false" ht="15" hidden="false" customHeight="false" outlineLevel="0" collapsed="false">
      <c r="A680" s="11" t="n">
        <v>45870</v>
      </c>
      <c r="B680" s="11" t="n">
        <v>45890</v>
      </c>
      <c r="C680" s="11" t="n">
        <v>45883</v>
      </c>
      <c r="D680" s="5" t="s">
        <v>25</v>
      </c>
      <c r="E680" s="5" t="s">
        <v>20</v>
      </c>
      <c r="F680" s="5" t="s">
        <v>19</v>
      </c>
      <c r="G680" s="5" t="s">
        <v>3</v>
      </c>
      <c r="H680" s="6" t="n">
        <v>352160</v>
      </c>
    </row>
    <row r="681" customFormat="false" ht="15" hidden="false" customHeight="false" outlineLevel="0" collapsed="false">
      <c r="A681" s="11" t="n">
        <v>45874</v>
      </c>
      <c r="B681" s="11" t="n">
        <v>45890</v>
      </c>
      <c r="C681" s="11" t="n">
        <v>45883</v>
      </c>
      <c r="D681" s="5" t="s">
        <v>25</v>
      </c>
      <c r="E681" s="5" t="s">
        <v>20</v>
      </c>
      <c r="F681" s="5" t="s">
        <v>19</v>
      </c>
      <c r="G681" s="5" t="s">
        <v>3</v>
      </c>
      <c r="H681" s="6" t="n">
        <v>128000</v>
      </c>
    </row>
    <row r="682" customFormat="false" ht="15" hidden="false" customHeight="false" outlineLevel="0" collapsed="false">
      <c r="A682" s="11" t="n">
        <v>45877</v>
      </c>
      <c r="B682" s="11" t="n">
        <v>45897</v>
      </c>
      <c r="C682" s="11" t="n">
        <v>45890</v>
      </c>
      <c r="D682" s="5" t="s">
        <v>25</v>
      </c>
      <c r="E682" s="5" t="s">
        <v>20</v>
      </c>
      <c r="F682" s="5" t="s">
        <v>19</v>
      </c>
      <c r="G682" s="5" t="s">
        <v>3</v>
      </c>
      <c r="H682" s="6" t="n">
        <v>125000</v>
      </c>
    </row>
    <row r="683" customFormat="false" ht="15" hidden="false" customHeight="false" outlineLevel="0" collapsed="false">
      <c r="A683" s="11" t="n">
        <v>45887</v>
      </c>
      <c r="B683" s="11" t="n">
        <v>45904</v>
      </c>
      <c r="C683" s="11" t="n">
        <v>45897</v>
      </c>
      <c r="D683" s="5" t="s">
        <v>25</v>
      </c>
      <c r="E683" s="5" t="s">
        <v>20</v>
      </c>
      <c r="F683" s="5" t="s">
        <v>19</v>
      </c>
      <c r="G683" s="5" t="s">
        <v>3</v>
      </c>
      <c r="H683" s="6" t="n">
        <v>124000</v>
      </c>
    </row>
    <row r="684" customFormat="false" ht="15" hidden="false" customHeight="false" outlineLevel="0" collapsed="false">
      <c r="A684" s="11" t="n">
        <v>45905</v>
      </c>
      <c r="B684" s="11" t="n">
        <v>45925</v>
      </c>
      <c r="C684" s="11" t="n">
        <v>45918</v>
      </c>
      <c r="D684" s="5" t="s">
        <v>25</v>
      </c>
      <c r="E684" s="5" t="s">
        <v>20</v>
      </c>
      <c r="F684" s="5" t="s">
        <v>20</v>
      </c>
      <c r="G684" s="5" t="s">
        <v>40</v>
      </c>
      <c r="H684" s="6" t="n">
        <v>327650</v>
      </c>
    </row>
    <row r="685" customFormat="false" ht="15" hidden="false" customHeight="false" outlineLevel="0" collapsed="false">
      <c r="A685" s="11" t="n">
        <v>45915</v>
      </c>
      <c r="B685" s="11" t="n">
        <v>45932</v>
      </c>
      <c r="C685" s="11" t="n">
        <v>45925</v>
      </c>
      <c r="D685" s="5" t="s">
        <v>25</v>
      </c>
      <c r="E685" s="5" t="s">
        <v>20</v>
      </c>
      <c r="F685" s="5" t="s">
        <v>20</v>
      </c>
      <c r="G685" s="5" t="s">
        <v>3</v>
      </c>
      <c r="H685" s="6" t="n">
        <v>148971</v>
      </c>
    </row>
    <row r="686" customFormat="false" ht="15" hidden="false" customHeight="false" outlineLevel="0" collapsed="false">
      <c r="A686" s="11" t="n">
        <v>45919</v>
      </c>
      <c r="B686" s="11" t="n">
        <v>45939</v>
      </c>
      <c r="C686" s="11" t="n">
        <v>45932</v>
      </c>
      <c r="D686" s="5" t="s">
        <v>25</v>
      </c>
      <c r="E686" s="5" t="s">
        <v>20</v>
      </c>
      <c r="F686" s="5" t="s">
        <v>20</v>
      </c>
      <c r="G686" s="5" t="s">
        <v>3</v>
      </c>
      <c r="H686" s="6" t="n">
        <v>206460</v>
      </c>
    </row>
    <row r="687" customFormat="false" ht="15" hidden="false" customHeight="false" outlineLevel="0" collapsed="false">
      <c r="A687" s="11" t="n">
        <v>45929</v>
      </c>
      <c r="B687" s="11" t="n">
        <v>45946</v>
      </c>
      <c r="C687" s="11" t="n">
        <v>45939</v>
      </c>
      <c r="D687" s="5" t="s">
        <v>25</v>
      </c>
      <c r="E687" s="5" t="s">
        <v>20</v>
      </c>
      <c r="F687" s="5" t="s">
        <v>20</v>
      </c>
      <c r="G687" s="5" t="s">
        <v>3</v>
      </c>
      <c r="H687" s="6" t="n">
        <v>110668</v>
      </c>
    </row>
    <row r="688" customFormat="false" ht="15" hidden="false" customHeight="false" outlineLevel="0" collapsed="false">
      <c r="A688" s="11" t="n">
        <v>45932</v>
      </c>
      <c r="B688" s="11" t="n">
        <v>45946</v>
      </c>
      <c r="C688" s="11" t="n">
        <v>45939</v>
      </c>
      <c r="D688" s="5" t="s">
        <v>25</v>
      </c>
      <c r="E688" s="5" t="s">
        <v>20</v>
      </c>
      <c r="F688" s="5" t="s">
        <v>20</v>
      </c>
      <c r="G688" s="5" t="s">
        <v>3</v>
      </c>
      <c r="H688" s="6" t="n">
        <v>134000</v>
      </c>
    </row>
    <row r="689" customFormat="false" ht="15" hidden="false" customHeight="false" outlineLevel="0" collapsed="false">
      <c r="A689" s="11" t="n">
        <v>45950</v>
      </c>
      <c r="B689" s="11" t="n">
        <v>45967</v>
      </c>
      <c r="C689" s="11" t="n">
        <v>45960</v>
      </c>
      <c r="D689" s="5" t="s">
        <v>25</v>
      </c>
      <c r="E689" s="5" t="s">
        <v>20</v>
      </c>
      <c r="F689" s="5" t="s">
        <v>20</v>
      </c>
      <c r="G689" s="5" t="s">
        <v>3</v>
      </c>
      <c r="H689" s="6" t="n">
        <v>136580</v>
      </c>
    </row>
    <row r="690" customFormat="false" ht="15" hidden="false" customHeight="false" outlineLevel="0" collapsed="false">
      <c r="A690" s="11" t="n">
        <v>45953</v>
      </c>
      <c r="B690" s="11" t="n">
        <v>45967</v>
      </c>
      <c r="C690" s="11" t="n">
        <v>45960</v>
      </c>
      <c r="D690" s="5" t="s">
        <v>25</v>
      </c>
      <c r="E690" s="5" t="s">
        <v>20</v>
      </c>
      <c r="F690" s="5" t="s">
        <v>20</v>
      </c>
      <c r="G690" s="5" t="s">
        <v>3</v>
      </c>
      <c r="H690" s="6" t="n">
        <v>193000</v>
      </c>
    </row>
    <row r="691" customFormat="false" ht="15" hidden="false" customHeight="false" outlineLevel="0" collapsed="false">
      <c r="A691" s="11" t="n">
        <v>45953</v>
      </c>
      <c r="B691" s="11" t="n">
        <v>45967</v>
      </c>
      <c r="C691" s="11" t="n">
        <v>45960</v>
      </c>
      <c r="D691" s="5" t="s">
        <v>25</v>
      </c>
      <c r="E691" s="5" t="s">
        <v>20</v>
      </c>
      <c r="F691" s="5" t="s">
        <v>20</v>
      </c>
      <c r="G691" s="5" t="s">
        <v>40</v>
      </c>
      <c r="H691" s="6" t="n">
        <v>261000</v>
      </c>
    </row>
    <row r="692" customFormat="false" ht="15" hidden="false" customHeight="false" outlineLevel="0" collapsed="false">
      <c r="A692" s="11" t="n">
        <v>45959</v>
      </c>
      <c r="B692" s="11" t="n">
        <v>45974</v>
      </c>
      <c r="C692" s="11" t="n">
        <v>45967</v>
      </c>
      <c r="D692" s="5" t="s">
        <v>25</v>
      </c>
      <c r="E692" s="5" t="s">
        <v>20</v>
      </c>
      <c r="F692" s="5" t="s">
        <v>20</v>
      </c>
      <c r="G692" s="5" t="s">
        <v>3</v>
      </c>
      <c r="H692" s="6" t="n">
        <v>130000</v>
      </c>
    </row>
    <row r="693" customFormat="false" ht="15" hidden="false" customHeight="false" outlineLevel="0" collapsed="false">
      <c r="A693" s="11" t="n">
        <v>45960</v>
      </c>
      <c r="B693" s="11" t="n">
        <v>45974</v>
      </c>
      <c r="C693" s="11" t="n">
        <v>45967</v>
      </c>
      <c r="D693" s="5" t="s">
        <v>25</v>
      </c>
      <c r="E693" s="5" t="s">
        <v>20</v>
      </c>
      <c r="F693" s="5" t="s">
        <v>20</v>
      </c>
      <c r="G693" s="5" t="s">
        <v>40</v>
      </c>
      <c r="H693" s="6" t="n">
        <v>238000</v>
      </c>
    </row>
    <row r="694" customFormat="false" ht="15" hidden="false" customHeight="false" outlineLevel="0" collapsed="false">
      <c r="A694" s="11" t="n">
        <v>45967</v>
      </c>
      <c r="B694" s="11" t="n">
        <v>45981</v>
      </c>
      <c r="C694" s="11" t="n">
        <v>45974</v>
      </c>
      <c r="D694" s="5" t="s">
        <v>25</v>
      </c>
      <c r="E694" s="5" t="s">
        <v>20</v>
      </c>
      <c r="F694" s="5" t="s">
        <v>20</v>
      </c>
      <c r="G694" s="5" t="s">
        <v>3</v>
      </c>
      <c r="H694" s="6" t="n">
        <v>126000</v>
      </c>
    </row>
    <row r="695" customFormat="false" ht="15" hidden="false" customHeight="false" outlineLevel="0" collapsed="false">
      <c r="A695" s="11" t="n">
        <v>45967</v>
      </c>
      <c r="B695" s="11" t="n">
        <v>45981</v>
      </c>
      <c r="C695" s="11" t="n">
        <v>45974</v>
      </c>
      <c r="D695" s="5" t="s">
        <v>25</v>
      </c>
      <c r="E695" s="5" t="s">
        <v>20</v>
      </c>
      <c r="F695" s="5" t="s">
        <v>20</v>
      </c>
      <c r="G695" s="5" t="s">
        <v>40</v>
      </c>
      <c r="H695" s="6" t="n">
        <v>117000</v>
      </c>
    </row>
    <row r="696" customFormat="false" ht="15" hidden="false" customHeight="false" outlineLevel="0" collapsed="false">
      <c r="A696" s="11" t="n">
        <v>45972</v>
      </c>
      <c r="B696" s="11" t="n">
        <v>45988</v>
      </c>
      <c r="C696" s="11" t="n">
        <v>45981</v>
      </c>
      <c r="D696" s="5" t="s">
        <v>25</v>
      </c>
      <c r="E696" s="5" t="s">
        <v>20</v>
      </c>
      <c r="F696" s="5" t="s">
        <v>20</v>
      </c>
      <c r="G696" s="5" t="s">
        <v>3</v>
      </c>
      <c r="H696" s="6" t="n">
        <v>256764</v>
      </c>
    </row>
    <row r="697" customFormat="false" ht="15" hidden="false" customHeight="false" outlineLevel="0" collapsed="false">
      <c r="A697" s="11" t="n">
        <v>45989</v>
      </c>
      <c r="B697" s="11" t="n">
        <v>46009</v>
      </c>
      <c r="C697" s="11" t="n">
        <v>46002</v>
      </c>
      <c r="D697" s="5" t="s">
        <v>25</v>
      </c>
      <c r="E697" s="5" t="s">
        <v>20</v>
      </c>
      <c r="F697" s="5" t="s">
        <v>20</v>
      </c>
      <c r="G697" s="5" t="s">
        <v>3</v>
      </c>
      <c r="H697" s="6" t="n">
        <v>273988</v>
      </c>
    </row>
    <row r="698" customFormat="false" ht="15" hidden="false" customHeight="false" outlineLevel="0" collapsed="false">
      <c r="A698" s="11" t="n">
        <v>46001</v>
      </c>
      <c r="B698" s="11" t="n">
        <v>46016</v>
      </c>
      <c r="C698" s="11" t="n">
        <v>46009</v>
      </c>
      <c r="D698" s="5" t="s">
        <v>25</v>
      </c>
      <c r="E698" s="5" t="s">
        <v>20</v>
      </c>
      <c r="F698" s="5" t="s">
        <v>20</v>
      </c>
      <c r="G698" s="5" t="s">
        <v>40</v>
      </c>
      <c r="H698" s="6" t="n">
        <v>331000</v>
      </c>
    </row>
    <row r="699" customFormat="false" ht="15" hidden="false" customHeight="false" outlineLevel="0" collapsed="false">
      <c r="A699" s="11" t="n">
        <v>46002</v>
      </c>
      <c r="B699" s="11" t="n">
        <v>46016</v>
      </c>
      <c r="C699" s="11" t="n">
        <v>46009</v>
      </c>
      <c r="D699" s="5" t="s">
        <v>25</v>
      </c>
      <c r="E699" s="5" t="s">
        <v>20</v>
      </c>
      <c r="F699" s="5" t="s">
        <v>20</v>
      </c>
      <c r="G699" s="5" t="s">
        <v>3</v>
      </c>
      <c r="H699" s="6" t="n">
        <v>186000</v>
      </c>
    </row>
    <row r="700" customFormat="false" ht="15" hidden="false" customHeight="false" outlineLevel="0" collapsed="false">
      <c r="A700" s="11" t="n">
        <v>46002</v>
      </c>
      <c r="B700" s="11" t="n">
        <v>46016</v>
      </c>
      <c r="C700" s="11" t="n">
        <v>46009</v>
      </c>
      <c r="D700" s="5" t="s">
        <v>25</v>
      </c>
      <c r="E700" s="5" t="s">
        <v>20</v>
      </c>
      <c r="F700" s="5" t="s">
        <v>20</v>
      </c>
      <c r="G700" s="5" t="s">
        <v>40</v>
      </c>
      <c r="H700" s="6" t="n">
        <v>226000</v>
      </c>
    </row>
    <row r="701" customFormat="false" ht="15" hidden="false" customHeight="false" outlineLevel="0" collapsed="false">
      <c r="A701" s="11" t="n">
        <v>46003</v>
      </c>
      <c r="B701" s="11" t="n">
        <v>46023</v>
      </c>
      <c r="C701" s="11" t="n">
        <v>46016</v>
      </c>
      <c r="D701" s="5" t="s">
        <v>25</v>
      </c>
      <c r="E701" s="5" t="s">
        <v>20</v>
      </c>
      <c r="F701" s="5" t="s">
        <v>20</v>
      </c>
      <c r="G701" s="5" t="s">
        <v>3</v>
      </c>
      <c r="H701" s="6" t="n">
        <v>250000</v>
      </c>
    </row>
    <row r="702" customFormat="false" ht="15" hidden="false" customHeight="false" outlineLevel="0" collapsed="false">
      <c r="A702" s="11" t="n">
        <v>46006</v>
      </c>
      <c r="B702" s="11" t="n">
        <v>46023</v>
      </c>
      <c r="C702" s="11" t="n">
        <v>46016</v>
      </c>
      <c r="D702" s="5" t="s">
        <v>25</v>
      </c>
      <c r="E702" s="5" t="s">
        <v>20</v>
      </c>
      <c r="F702" s="5" t="s">
        <v>20</v>
      </c>
      <c r="G702" s="5" t="s">
        <v>3</v>
      </c>
      <c r="H702" s="6" t="n">
        <v>150320</v>
      </c>
    </row>
    <row r="703" customFormat="false" ht="15" hidden="false" customHeight="false" outlineLevel="0" collapsed="false">
      <c r="A703" s="11" t="n">
        <v>46008</v>
      </c>
      <c r="B703" s="11" t="n">
        <v>46023</v>
      </c>
      <c r="C703" s="11" t="n">
        <v>46016</v>
      </c>
      <c r="D703" s="5" t="s">
        <v>25</v>
      </c>
      <c r="E703" s="5" t="s">
        <v>20</v>
      </c>
      <c r="F703" s="5" t="s">
        <v>20</v>
      </c>
      <c r="G703" s="5" t="s">
        <v>40</v>
      </c>
      <c r="H703" s="6" t="n">
        <v>125000</v>
      </c>
    </row>
    <row r="704" customFormat="false" ht="15" hidden="false" customHeight="false" outlineLevel="0" collapsed="false">
      <c r="A704" s="11" t="n">
        <v>46009</v>
      </c>
      <c r="B704" s="11" t="n">
        <v>46023</v>
      </c>
      <c r="C704" s="11" t="n">
        <v>46016</v>
      </c>
      <c r="D704" s="5" t="s">
        <v>25</v>
      </c>
      <c r="E704" s="5" t="s">
        <v>20</v>
      </c>
      <c r="F704" s="5" t="s">
        <v>20</v>
      </c>
      <c r="G704" s="5" t="s">
        <v>40</v>
      </c>
      <c r="H704" s="6" t="n">
        <v>114000</v>
      </c>
    </row>
    <row r="705" customFormat="false" ht="15" hidden="false" customHeight="false" outlineLevel="0" collapsed="false">
      <c r="A705" s="11" t="n">
        <v>46021</v>
      </c>
      <c r="B705" s="11" t="n">
        <v>46037</v>
      </c>
      <c r="C705" s="11" t="n">
        <v>46030</v>
      </c>
      <c r="D705" s="5" t="s">
        <v>25</v>
      </c>
      <c r="E705" s="5" t="s">
        <v>20</v>
      </c>
      <c r="F705" s="5" t="s">
        <v>20</v>
      </c>
      <c r="G705" s="5" t="s">
        <v>40</v>
      </c>
      <c r="H705" s="6" t="n">
        <v>206700</v>
      </c>
    </row>
    <row r="706" customFormat="false" ht="15" hidden="false" customHeight="false" outlineLevel="0" collapsed="false">
      <c r="A706" s="11" t="n">
        <v>46031</v>
      </c>
      <c r="B706" s="11" t="n">
        <v>46051</v>
      </c>
      <c r="C706" s="11" t="n">
        <v>46044</v>
      </c>
      <c r="D706" s="5" t="s">
        <v>25</v>
      </c>
      <c r="E706" s="5" t="s">
        <v>20</v>
      </c>
      <c r="F706" s="5" t="s">
        <v>20</v>
      </c>
      <c r="G706" s="5" t="s">
        <v>40</v>
      </c>
      <c r="H706" s="6" t="n">
        <v>198000</v>
      </c>
    </row>
    <row r="707" customFormat="false" ht="15" hidden="false" customHeight="false" outlineLevel="0" collapsed="false">
      <c r="A707" s="11" t="n">
        <v>46034</v>
      </c>
      <c r="B707" s="11" t="n">
        <v>46051</v>
      </c>
      <c r="C707" s="11" t="n">
        <v>46044</v>
      </c>
      <c r="D707" s="5" t="s">
        <v>25</v>
      </c>
      <c r="E707" s="5" t="s">
        <v>20</v>
      </c>
      <c r="F707" s="5" t="s">
        <v>20</v>
      </c>
      <c r="G707" s="5" t="s">
        <v>3</v>
      </c>
      <c r="H707" s="6" t="n">
        <v>310000</v>
      </c>
    </row>
    <row r="708" customFormat="false" ht="15" hidden="false" customHeight="false" outlineLevel="0" collapsed="false">
      <c r="A708" s="11" t="n">
        <v>46037</v>
      </c>
      <c r="B708" s="11" t="n">
        <v>46051</v>
      </c>
      <c r="C708" s="11" t="n">
        <v>46044</v>
      </c>
      <c r="D708" s="5" t="s">
        <v>25</v>
      </c>
      <c r="E708" s="5" t="s">
        <v>20</v>
      </c>
      <c r="F708" s="5" t="s">
        <v>20</v>
      </c>
      <c r="G708" s="5" t="s">
        <v>3</v>
      </c>
      <c r="H708" s="6" t="n">
        <v>320302</v>
      </c>
    </row>
    <row r="709" customFormat="false" ht="15" hidden="false" customHeight="false" outlineLevel="0" collapsed="false">
      <c r="A709" s="11" t="n">
        <v>46037</v>
      </c>
      <c r="B709" s="11" t="n">
        <v>46051</v>
      </c>
      <c r="C709" s="11" t="n">
        <v>46044</v>
      </c>
      <c r="D709" s="5" t="s">
        <v>25</v>
      </c>
      <c r="E709" s="5" t="s">
        <v>20</v>
      </c>
      <c r="F709" s="5" t="s">
        <v>20</v>
      </c>
      <c r="G709" s="5" t="s">
        <v>40</v>
      </c>
      <c r="H709" s="6" t="n">
        <v>470000</v>
      </c>
    </row>
    <row r="710" customFormat="false" ht="15" hidden="false" customHeight="false" outlineLevel="0" collapsed="false">
      <c r="A710" s="11" t="n">
        <v>46037</v>
      </c>
      <c r="B710" s="11" t="n">
        <v>46051</v>
      </c>
      <c r="C710" s="11" t="n">
        <v>46044</v>
      </c>
      <c r="D710" s="5" t="s">
        <v>25</v>
      </c>
      <c r="E710" s="5" t="s">
        <v>21</v>
      </c>
      <c r="F710" s="5" t="s">
        <v>20</v>
      </c>
      <c r="G710" s="5" t="s">
        <v>40</v>
      </c>
      <c r="H710" s="6" t="n">
        <v>75000</v>
      </c>
    </row>
    <row r="711" customFormat="false" ht="15" hidden="false" customHeight="false" outlineLevel="0" collapsed="false">
      <c r="A711" s="11" t="n">
        <v>46038</v>
      </c>
      <c r="B711" s="11" t="n">
        <v>46058</v>
      </c>
      <c r="C711" s="11" t="n">
        <v>46051</v>
      </c>
      <c r="D711" s="5" t="s">
        <v>25</v>
      </c>
      <c r="E711" s="5" t="s">
        <v>20</v>
      </c>
      <c r="F711" s="5" t="s">
        <v>20</v>
      </c>
      <c r="G711" s="5" t="s">
        <v>3</v>
      </c>
      <c r="H711" s="6" t="n">
        <v>298000</v>
      </c>
    </row>
    <row r="712" customFormat="false" ht="15" hidden="false" customHeight="false" outlineLevel="0" collapsed="false">
      <c r="A712" s="11" t="n">
        <v>46043</v>
      </c>
      <c r="B712" s="11" t="n">
        <v>46058</v>
      </c>
      <c r="C712" s="11" t="n">
        <v>46051</v>
      </c>
      <c r="D712" s="5" t="s">
        <v>25</v>
      </c>
      <c r="E712" s="5" t="s">
        <v>20</v>
      </c>
      <c r="F712" s="5" t="s">
        <v>20</v>
      </c>
      <c r="G712" s="5" t="s">
        <v>3</v>
      </c>
      <c r="H712" s="6" t="n">
        <v>195000</v>
      </c>
    </row>
    <row r="713" customFormat="false" ht="15" hidden="false" customHeight="false" outlineLevel="0" collapsed="false">
      <c r="A713" s="11" t="n">
        <v>46044</v>
      </c>
      <c r="B713" s="11" t="n">
        <v>46058</v>
      </c>
      <c r="C713" s="11" t="n">
        <v>46051</v>
      </c>
      <c r="D713" s="5" t="s">
        <v>25</v>
      </c>
      <c r="E713" s="5" t="s">
        <v>20</v>
      </c>
      <c r="F713" s="5" t="s">
        <v>20</v>
      </c>
      <c r="G713" s="5" t="s">
        <v>40</v>
      </c>
      <c r="H713" s="6" t="n">
        <v>192350</v>
      </c>
    </row>
    <row r="714" customFormat="false" ht="15" hidden="false" customHeight="false" outlineLevel="0" collapsed="false">
      <c r="A714" s="11" t="n">
        <v>46049</v>
      </c>
      <c r="B714" s="11" t="n">
        <v>46065</v>
      </c>
      <c r="C714" s="11" t="n">
        <v>46058</v>
      </c>
      <c r="D714" s="5" t="s">
        <v>25</v>
      </c>
      <c r="E714" s="5" t="s">
        <v>20</v>
      </c>
      <c r="F714" s="5" t="s">
        <v>20</v>
      </c>
      <c r="G714" s="5" t="s">
        <v>3</v>
      </c>
      <c r="H714" s="6" t="n">
        <v>110000</v>
      </c>
    </row>
    <row r="715" customFormat="false" ht="15" hidden="false" customHeight="false" outlineLevel="0" collapsed="false">
      <c r="A715" s="11" t="n">
        <v>46057</v>
      </c>
      <c r="B715" s="11" t="n">
        <v>46072</v>
      </c>
      <c r="C715" s="11" t="n">
        <v>46065</v>
      </c>
      <c r="D715" s="5" t="s">
        <v>25</v>
      </c>
      <c r="E715" s="5" t="s">
        <v>20</v>
      </c>
      <c r="F715" s="5" t="s">
        <v>20</v>
      </c>
      <c r="G715" s="5" t="s">
        <v>3</v>
      </c>
      <c r="H715" s="6" t="n">
        <v>130480</v>
      </c>
    </row>
    <row r="716" customFormat="false" ht="15" hidden="false" customHeight="false" outlineLevel="0" collapsed="false">
      <c r="A716" s="11" t="n">
        <v>46064</v>
      </c>
      <c r="B716" s="11" t="n">
        <v>46079</v>
      </c>
      <c r="C716" s="11" t="n">
        <v>46072</v>
      </c>
      <c r="D716" s="5" t="s">
        <v>25</v>
      </c>
      <c r="E716" s="5" t="s">
        <v>20</v>
      </c>
      <c r="F716" s="5" t="s">
        <v>20</v>
      </c>
      <c r="G716" s="5" t="s">
        <v>3</v>
      </c>
      <c r="H716" s="6" t="n">
        <v>230560</v>
      </c>
    </row>
    <row r="717" customFormat="false" ht="15" hidden="false" customHeight="false" outlineLevel="0" collapsed="false">
      <c r="A717" s="11" t="n">
        <v>46080</v>
      </c>
      <c r="B717" s="11" t="n">
        <v>46100</v>
      </c>
      <c r="C717" s="11" t="n">
        <v>46093</v>
      </c>
      <c r="D717" s="5" t="s">
        <v>25</v>
      </c>
      <c r="E717" s="5" t="s">
        <v>20</v>
      </c>
      <c r="F717" s="5" t="s">
        <v>20</v>
      </c>
      <c r="G717" s="5" t="s">
        <v>3</v>
      </c>
      <c r="H717" s="6" t="n">
        <v>257000</v>
      </c>
    </row>
    <row r="718" customFormat="false" ht="15" hidden="false" customHeight="false" outlineLevel="0" collapsed="false">
      <c r="A718" s="11" t="n">
        <v>46084</v>
      </c>
      <c r="B718" s="11" t="n">
        <v>46100</v>
      </c>
      <c r="C718" s="11" t="n">
        <v>46093</v>
      </c>
      <c r="D718" s="5" t="s">
        <v>25</v>
      </c>
      <c r="E718" s="5" t="s">
        <v>20</v>
      </c>
      <c r="F718" s="5" t="s">
        <v>20</v>
      </c>
      <c r="G718" s="5" t="s">
        <v>3</v>
      </c>
      <c r="H718" s="6" t="n">
        <v>196000</v>
      </c>
    </row>
    <row r="719" customFormat="false" ht="15" hidden="false" customHeight="false" outlineLevel="0" collapsed="false">
      <c r="A719" s="11" t="n">
        <v>46085</v>
      </c>
      <c r="B719" s="11" t="n">
        <v>46100</v>
      </c>
      <c r="C719" s="11" t="n">
        <v>46093</v>
      </c>
      <c r="D719" s="5" t="s">
        <v>25</v>
      </c>
      <c r="E719" s="5" t="s">
        <v>20</v>
      </c>
      <c r="F719" s="5" t="s">
        <v>20</v>
      </c>
      <c r="G719" s="5" t="s">
        <v>3</v>
      </c>
      <c r="H719" s="6" t="n">
        <v>125000</v>
      </c>
    </row>
    <row r="720" customFormat="false" ht="15" hidden="false" customHeight="false" outlineLevel="0" collapsed="false">
      <c r="A720" s="11" t="n">
        <v>46108</v>
      </c>
      <c r="B720" s="11" t="n">
        <v>46128</v>
      </c>
      <c r="C720" s="11" t="n">
        <v>46121</v>
      </c>
      <c r="D720" s="5" t="s">
        <v>25</v>
      </c>
      <c r="E720" s="5" t="s">
        <v>20</v>
      </c>
      <c r="F720" s="5" t="s">
        <v>20</v>
      </c>
      <c r="G720" s="5" t="s">
        <v>40</v>
      </c>
      <c r="H720" s="6" t="n">
        <v>105000</v>
      </c>
    </row>
    <row r="721" customFormat="false" ht="15" hidden="false" customHeight="false" outlineLevel="0" collapsed="false">
      <c r="A721" s="11" t="n">
        <v>46111</v>
      </c>
      <c r="B721" s="11" t="n">
        <v>46128</v>
      </c>
      <c r="C721" s="11" t="n">
        <v>46121</v>
      </c>
      <c r="D721" s="5" t="s">
        <v>25</v>
      </c>
      <c r="E721" s="5" t="s">
        <v>20</v>
      </c>
      <c r="F721" s="5" t="s">
        <v>20</v>
      </c>
      <c r="G721" s="5" t="s">
        <v>3</v>
      </c>
      <c r="H721" s="6" t="n">
        <v>145000</v>
      </c>
    </row>
    <row r="722" customFormat="false" ht="15" hidden="false" customHeight="false" outlineLevel="0" collapsed="false">
      <c r="A722" s="11" t="n">
        <v>46122</v>
      </c>
      <c r="B722" s="11" t="n">
        <v>46142</v>
      </c>
      <c r="C722" s="11" t="n">
        <v>46135</v>
      </c>
      <c r="D722" s="5" t="s">
        <v>25</v>
      </c>
      <c r="E722" s="5" t="s">
        <v>20</v>
      </c>
      <c r="F722" s="5" t="s">
        <v>20</v>
      </c>
      <c r="G722" s="5" t="s">
        <v>3</v>
      </c>
      <c r="H722" s="6" t="n">
        <v>125640</v>
      </c>
    </row>
    <row r="723" customFormat="false" ht="15" hidden="false" customHeight="false" outlineLevel="0" collapsed="false">
      <c r="A723" s="11" t="n">
        <v>46126</v>
      </c>
      <c r="B723" s="11" t="n">
        <v>46142</v>
      </c>
      <c r="C723" s="11" t="n">
        <v>46135</v>
      </c>
      <c r="D723" s="5" t="s">
        <v>25</v>
      </c>
      <c r="E723" s="5" t="s">
        <v>20</v>
      </c>
      <c r="F723" s="5" t="s">
        <v>20</v>
      </c>
      <c r="G723" s="5" t="s">
        <v>3</v>
      </c>
      <c r="H723" s="6" t="n">
        <v>120000</v>
      </c>
    </row>
    <row r="724" customFormat="false" ht="15" hidden="false" customHeight="false" outlineLevel="0" collapsed="false">
      <c r="A724" s="11" t="n">
        <v>46133</v>
      </c>
      <c r="B724" s="11" t="n">
        <v>46149</v>
      </c>
      <c r="C724" s="11" t="n">
        <v>46142</v>
      </c>
      <c r="D724" s="5" t="s">
        <v>25</v>
      </c>
      <c r="E724" s="5" t="s">
        <v>20</v>
      </c>
      <c r="F724" s="5" t="s">
        <v>20</v>
      </c>
      <c r="G724" s="5" t="s">
        <v>3</v>
      </c>
      <c r="H724" s="6" t="n">
        <v>195000</v>
      </c>
    </row>
    <row r="725" customFormat="false" ht="15" hidden="false" customHeight="false" outlineLevel="0" collapsed="false">
      <c r="A725" s="11" t="n">
        <v>46134</v>
      </c>
      <c r="B725" s="11" t="n">
        <v>46149</v>
      </c>
      <c r="C725" s="11" t="n">
        <v>46142</v>
      </c>
      <c r="D725" s="5" t="s">
        <v>25</v>
      </c>
      <c r="E725" s="5" t="s">
        <v>20</v>
      </c>
      <c r="F725" s="5" t="s">
        <v>20</v>
      </c>
      <c r="G725" s="5" t="s">
        <v>3</v>
      </c>
      <c r="H725" s="6" t="n">
        <v>130000</v>
      </c>
    </row>
    <row r="726" customFormat="false" ht="15" hidden="false" customHeight="false" outlineLevel="0" collapsed="false">
      <c r="A726" s="11" t="n">
        <v>46143</v>
      </c>
      <c r="B726" s="11" t="n">
        <v>46163</v>
      </c>
      <c r="C726" s="11" t="n">
        <v>46156</v>
      </c>
      <c r="D726" s="5" t="s">
        <v>25</v>
      </c>
      <c r="E726" s="5" t="s">
        <v>20</v>
      </c>
      <c r="F726" s="5" t="s">
        <v>20</v>
      </c>
      <c r="G726" s="5" t="s">
        <v>3</v>
      </c>
      <c r="H726" s="6" t="n">
        <v>78240</v>
      </c>
    </row>
    <row r="727" customFormat="false" ht="15" hidden="false" customHeight="false" outlineLevel="0" collapsed="false">
      <c r="A727" s="11" t="n">
        <v>46143</v>
      </c>
      <c r="B727" s="11" t="n">
        <v>46163</v>
      </c>
      <c r="C727" s="11" t="n">
        <v>46156</v>
      </c>
      <c r="D727" s="5" t="s">
        <v>25</v>
      </c>
      <c r="E727" s="5" t="s">
        <v>21</v>
      </c>
      <c r="F727" s="5" t="s">
        <v>20</v>
      </c>
      <c r="G727" s="5" t="s">
        <v>3</v>
      </c>
      <c r="H727" s="6" t="n">
        <v>70000</v>
      </c>
    </row>
    <row r="728" customFormat="false" ht="15" hidden="false" customHeight="false" outlineLevel="0" collapsed="false">
      <c r="A728" s="11" t="n">
        <v>46164</v>
      </c>
      <c r="B728" s="11" t="n">
        <v>46184</v>
      </c>
      <c r="C728" s="11" t="n">
        <v>46177</v>
      </c>
      <c r="D728" s="5" t="s">
        <v>25</v>
      </c>
      <c r="E728" s="5" t="s">
        <v>20</v>
      </c>
      <c r="F728" s="5" t="s">
        <v>20</v>
      </c>
      <c r="G728" s="5" t="s">
        <v>3</v>
      </c>
      <c r="H728" s="6" t="n">
        <v>50000</v>
      </c>
    </row>
    <row r="729" customFormat="false" ht="15" hidden="false" customHeight="false" outlineLevel="0" collapsed="false">
      <c r="A729" s="11" t="n">
        <v>46164</v>
      </c>
      <c r="B729" s="11" t="n">
        <v>46184</v>
      </c>
      <c r="C729" s="11" t="n">
        <v>46177</v>
      </c>
      <c r="D729" s="5" t="s">
        <v>25</v>
      </c>
      <c r="E729" s="5" t="s">
        <v>21</v>
      </c>
      <c r="F729" s="5" t="s">
        <v>20</v>
      </c>
      <c r="G729" s="5" t="s">
        <v>3</v>
      </c>
      <c r="H729" s="6" t="n">
        <v>60000</v>
      </c>
    </row>
    <row r="730" customFormat="false" ht="15" hidden="false" customHeight="false" outlineLevel="0" collapsed="false">
      <c r="A730" s="11" t="n">
        <v>46171</v>
      </c>
      <c r="B730" s="11" t="n">
        <v>46191</v>
      </c>
      <c r="C730" s="11" t="n">
        <v>46184</v>
      </c>
      <c r="D730" s="5" t="s">
        <v>25</v>
      </c>
      <c r="E730" s="5" t="s">
        <v>20</v>
      </c>
      <c r="F730" s="5" t="s">
        <v>20</v>
      </c>
      <c r="G730" s="5" t="s">
        <v>40</v>
      </c>
      <c r="H730" s="6" t="n">
        <v>60000</v>
      </c>
    </row>
    <row r="731" customFormat="false" ht="15" hidden="false" customHeight="false" outlineLevel="0" collapsed="false">
      <c r="A731" s="11" t="n">
        <v>46171</v>
      </c>
      <c r="B731" s="11" t="n">
        <v>46191</v>
      </c>
      <c r="C731" s="11" t="n">
        <v>46184</v>
      </c>
      <c r="D731" s="5" t="s">
        <v>25</v>
      </c>
      <c r="E731" s="5" t="s">
        <v>21</v>
      </c>
      <c r="F731" s="5" t="s">
        <v>20</v>
      </c>
      <c r="G731" s="5" t="s">
        <v>40</v>
      </c>
      <c r="H731" s="6" t="n">
        <v>132000</v>
      </c>
    </row>
    <row r="732" customFormat="false" ht="15" hidden="false" customHeight="false" outlineLevel="0" collapsed="false">
      <c r="A732" s="11" t="n">
        <v>46181</v>
      </c>
      <c r="B732" s="11" t="n">
        <v>46198</v>
      </c>
      <c r="C732" s="11" t="n">
        <v>46191</v>
      </c>
      <c r="D732" s="5" t="s">
        <v>25</v>
      </c>
      <c r="E732" s="5" t="s">
        <v>21</v>
      </c>
      <c r="F732" s="5" t="s">
        <v>20</v>
      </c>
      <c r="G732" s="5" t="s">
        <v>40</v>
      </c>
      <c r="H732" s="6" t="n">
        <v>264000</v>
      </c>
    </row>
    <row r="733" customFormat="false" ht="15" hidden="false" customHeight="false" outlineLevel="0" collapsed="false">
      <c r="A733" s="11" t="n">
        <v>46182</v>
      </c>
      <c r="B733" s="11" t="n">
        <v>46198</v>
      </c>
      <c r="C733" s="11" t="n">
        <v>46191</v>
      </c>
      <c r="D733" s="5" t="s">
        <v>25</v>
      </c>
      <c r="E733" s="5" t="s">
        <v>20</v>
      </c>
      <c r="F733" s="5" t="s">
        <v>20</v>
      </c>
      <c r="G733" s="5" t="s">
        <v>3</v>
      </c>
      <c r="H733" s="6" t="n">
        <v>120000</v>
      </c>
    </row>
    <row r="734" customFormat="false" ht="15" hidden="false" customHeight="false" outlineLevel="0" collapsed="false">
      <c r="A734" s="11" t="n">
        <v>46190</v>
      </c>
      <c r="B734" s="11" t="n">
        <v>46205</v>
      </c>
      <c r="C734" s="11" t="n">
        <v>46198</v>
      </c>
      <c r="D734" s="5" t="s">
        <v>25</v>
      </c>
      <c r="E734" s="5" t="s">
        <v>20</v>
      </c>
      <c r="F734" s="5" t="s">
        <v>20</v>
      </c>
      <c r="G734" s="5" t="s">
        <v>40</v>
      </c>
      <c r="H734" s="6" t="n">
        <v>60000</v>
      </c>
    </row>
    <row r="735" customFormat="false" ht="15" hidden="false" customHeight="false" outlineLevel="0" collapsed="false">
      <c r="A735" s="11" t="n">
        <v>46190</v>
      </c>
      <c r="B735" s="11" t="n">
        <v>46205</v>
      </c>
      <c r="C735" s="11" t="n">
        <v>46198</v>
      </c>
      <c r="D735" s="5" t="s">
        <v>25</v>
      </c>
      <c r="E735" s="5" t="s">
        <v>21</v>
      </c>
      <c r="F735" s="5" t="s">
        <v>20</v>
      </c>
      <c r="G735" s="5" t="s">
        <v>40</v>
      </c>
      <c r="H735" s="6" t="n">
        <v>312000</v>
      </c>
    </row>
    <row r="736" customFormat="false" ht="15" hidden="false" customHeight="false" outlineLevel="0" collapsed="false">
      <c r="A736" s="11" t="n">
        <v>46191</v>
      </c>
      <c r="B736" s="11" t="n">
        <v>46205</v>
      </c>
      <c r="C736" s="11" t="n">
        <v>46198</v>
      </c>
      <c r="D736" s="5" t="s">
        <v>25</v>
      </c>
      <c r="E736" s="5" t="s">
        <v>21</v>
      </c>
      <c r="F736" s="5" t="s">
        <v>20</v>
      </c>
      <c r="G736" s="5" t="s">
        <v>40</v>
      </c>
      <c r="H736" s="6" t="n">
        <v>120000</v>
      </c>
    </row>
    <row r="737" customFormat="false" ht="15" hidden="false" customHeight="false" outlineLevel="0" collapsed="false">
      <c r="A737" s="11" t="n">
        <v>46202</v>
      </c>
      <c r="B737" s="11" t="n">
        <v>46219</v>
      </c>
      <c r="C737" s="11" t="n">
        <v>46212</v>
      </c>
      <c r="D737" s="5" t="s">
        <v>25</v>
      </c>
      <c r="E737" s="5" t="s">
        <v>21</v>
      </c>
      <c r="F737" s="5" t="s">
        <v>20</v>
      </c>
      <c r="G737" s="5" t="s">
        <v>40</v>
      </c>
      <c r="H737" s="6" t="n">
        <v>136000</v>
      </c>
    </row>
    <row r="738" customFormat="false" ht="15" hidden="false" customHeight="false" outlineLevel="0" collapsed="false">
      <c r="A738" s="11" t="n">
        <v>46212</v>
      </c>
      <c r="B738" s="11" t="n">
        <v>46226</v>
      </c>
      <c r="C738" s="11" t="n">
        <v>46219</v>
      </c>
      <c r="D738" s="5" t="s">
        <v>25</v>
      </c>
      <c r="E738" s="5" t="s">
        <v>21</v>
      </c>
      <c r="F738" s="5" t="s">
        <v>20</v>
      </c>
      <c r="G738" s="5" t="s">
        <v>40</v>
      </c>
      <c r="H738" s="6" t="n">
        <v>120000</v>
      </c>
    </row>
    <row r="739" customFormat="false" ht="15" hidden="false" customHeight="false" outlineLevel="0" collapsed="false">
      <c r="A739" s="11" t="n">
        <v>46220</v>
      </c>
      <c r="B739" s="11" t="n">
        <v>46240</v>
      </c>
      <c r="C739" s="11" t="n">
        <v>46233</v>
      </c>
      <c r="D739" s="5" t="s">
        <v>25</v>
      </c>
      <c r="E739" s="5" t="s">
        <v>21</v>
      </c>
      <c r="F739" s="5" t="s">
        <v>20</v>
      </c>
      <c r="G739" s="5" t="s">
        <v>40</v>
      </c>
      <c r="H739" s="6" t="n">
        <v>110000</v>
      </c>
    </row>
    <row r="740" customFormat="false" ht="15" hidden="false" customHeight="false" outlineLevel="0" collapsed="false">
      <c r="A740" s="11" t="n">
        <v>46223</v>
      </c>
      <c r="B740" s="11" t="n">
        <v>46240</v>
      </c>
      <c r="C740" s="11" t="n">
        <v>46233</v>
      </c>
      <c r="D740" s="5" t="s">
        <v>25</v>
      </c>
      <c r="E740" s="5" t="s">
        <v>21</v>
      </c>
      <c r="F740" s="5" t="s">
        <v>20</v>
      </c>
      <c r="G740" s="5" t="s">
        <v>40</v>
      </c>
      <c r="H740" s="6" t="n">
        <v>110000</v>
      </c>
    </row>
    <row r="741" customFormat="false" ht="15" hidden="false" customHeight="false" outlineLevel="0" collapsed="false">
      <c r="A741" s="11" t="n">
        <v>46226</v>
      </c>
      <c r="B741" s="11" t="n">
        <v>46240</v>
      </c>
      <c r="C741" s="11" t="n">
        <v>46233</v>
      </c>
      <c r="D741" s="5" t="s">
        <v>25</v>
      </c>
      <c r="E741" s="5" t="s">
        <v>21</v>
      </c>
      <c r="F741" s="5" t="s">
        <v>20</v>
      </c>
      <c r="G741" s="5" t="s">
        <v>40</v>
      </c>
      <c r="H741" s="6" t="n">
        <v>126000</v>
      </c>
    </row>
    <row r="742" customFormat="false" ht="15" hidden="false" customHeight="false" outlineLevel="0" collapsed="false">
      <c r="A742" s="11" t="n">
        <v>46230</v>
      </c>
      <c r="B742" s="11" t="n">
        <v>46247</v>
      </c>
      <c r="C742" s="11" t="n">
        <v>46240</v>
      </c>
      <c r="D742" s="5" t="s">
        <v>25</v>
      </c>
      <c r="E742" s="5" t="s">
        <v>21</v>
      </c>
      <c r="F742" s="5" t="s">
        <v>20</v>
      </c>
      <c r="G742" s="5" t="s">
        <v>40</v>
      </c>
      <c r="H742" s="6" t="n">
        <v>126000</v>
      </c>
    </row>
    <row r="743" customFormat="false" ht="15" hidden="false" customHeight="false" outlineLevel="0" collapsed="false">
      <c r="A743" s="11" t="n">
        <v>46231</v>
      </c>
      <c r="B743" s="11" t="n">
        <v>46247</v>
      </c>
      <c r="C743" s="11" t="n">
        <v>46240</v>
      </c>
      <c r="D743" s="5" t="s">
        <v>25</v>
      </c>
      <c r="E743" s="5" t="s">
        <v>21</v>
      </c>
      <c r="F743" s="5" t="s">
        <v>20</v>
      </c>
      <c r="G743" s="5" t="s">
        <v>3</v>
      </c>
      <c r="H743" s="6" t="n">
        <v>197272</v>
      </c>
    </row>
    <row r="744" customFormat="false" ht="15" hidden="false" customHeight="false" outlineLevel="0" collapsed="false">
      <c r="A744" s="11" t="n">
        <v>46234</v>
      </c>
      <c r="B744" s="11" t="n">
        <v>46254</v>
      </c>
      <c r="C744" s="11" t="n">
        <v>46247</v>
      </c>
      <c r="D744" s="5" t="s">
        <v>25</v>
      </c>
      <c r="E744" s="5" t="s">
        <v>21</v>
      </c>
      <c r="F744" s="5" t="s">
        <v>20</v>
      </c>
      <c r="G744" s="5" t="s">
        <v>40</v>
      </c>
      <c r="H744" s="6" t="n">
        <v>252000</v>
      </c>
    </row>
    <row r="745" customFormat="false" ht="15" hidden="false" customHeight="false" outlineLevel="0" collapsed="false">
      <c r="A745" s="11" t="n">
        <v>46237</v>
      </c>
      <c r="B745" s="11" t="n">
        <v>46254</v>
      </c>
      <c r="C745" s="11" t="n">
        <v>46247</v>
      </c>
      <c r="D745" s="5" t="s">
        <v>25</v>
      </c>
      <c r="E745" s="5" t="s">
        <v>21</v>
      </c>
      <c r="F745" s="5" t="s">
        <v>20</v>
      </c>
      <c r="G745" s="5" t="s">
        <v>40</v>
      </c>
      <c r="H745" s="6" t="n">
        <v>136150</v>
      </c>
    </row>
    <row r="746" customFormat="false" ht="15" hidden="false" customHeight="false" outlineLevel="0" collapsed="false">
      <c r="A746" s="11" t="n">
        <v>46244</v>
      </c>
      <c r="B746" s="11" t="n">
        <v>46261</v>
      </c>
      <c r="C746" s="11" t="n">
        <v>46254</v>
      </c>
      <c r="D746" s="5" t="s">
        <v>25</v>
      </c>
      <c r="E746" s="5" t="s">
        <v>20</v>
      </c>
      <c r="F746" s="5" t="s">
        <v>20</v>
      </c>
      <c r="G746" s="5" t="s">
        <v>3</v>
      </c>
      <c r="H746" s="6" t="n">
        <v>105000</v>
      </c>
    </row>
    <row r="747" customFormat="false" ht="15" hidden="false" customHeight="false" outlineLevel="0" collapsed="false">
      <c r="A747" s="11" t="n">
        <v>46254</v>
      </c>
      <c r="B747" s="11" t="n">
        <v>46268</v>
      </c>
      <c r="C747" s="11" t="n">
        <v>46261</v>
      </c>
      <c r="D747" s="5" t="s">
        <v>25</v>
      </c>
      <c r="E747" s="5" t="s">
        <v>21</v>
      </c>
      <c r="F747" s="5" t="s">
        <v>20</v>
      </c>
      <c r="G747" s="5" t="s">
        <v>40</v>
      </c>
      <c r="H747" s="6" t="n">
        <v>150000</v>
      </c>
    </row>
    <row r="748" customFormat="false" ht="15" hidden="false" customHeight="false" outlineLevel="0" collapsed="false">
      <c r="A748" s="11" t="n">
        <v>46255</v>
      </c>
      <c r="B748" s="11" t="n">
        <v>46275</v>
      </c>
      <c r="C748" s="11" t="n">
        <v>46268</v>
      </c>
      <c r="D748" s="5" t="s">
        <v>25</v>
      </c>
      <c r="E748" s="5" t="s">
        <v>21</v>
      </c>
      <c r="F748" s="5" t="s">
        <v>20</v>
      </c>
      <c r="G748" s="5" t="s">
        <v>3</v>
      </c>
      <c r="H748" s="6" t="n">
        <v>205000</v>
      </c>
    </row>
    <row r="749" customFormat="false" ht="15" hidden="false" customHeight="false" outlineLevel="0" collapsed="false">
      <c r="A749" s="11" t="n">
        <v>46255</v>
      </c>
      <c r="B749" s="11" t="n">
        <v>46275</v>
      </c>
      <c r="C749" s="11" t="n">
        <v>46268</v>
      </c>
      <c r="D749" s="5" t="s">
        <v>25</v>
      </c>
      <c r="E749" s="5" t="s">
        <v>21</v>
      </c>
      <c r="F749" s="5" t="s">
        <v>20</v>
      </c>
      <c r="G749" s="5" t="s">
        <v>40</v>
      </c>
      <c r="H749" s="6" t="n">
        <v>720000</v>
      </c>
    </row>
    <row r="750" customFormat="false" ht="15" hidden="false" customHeight="false" outlineLevel="0" collapsed="false">
      <c r="A750" s="11" t="n">
        <v>46259</v>
      </c>
      <c r="B750" s="11" t="n">
        <v>46275</v>
      </c>
      <c r="C750" s="11" t="n">
        <v>46268</v>
      </c>
      <c r="D750" s="5" t="s">
        <v>25</v>
      </c>
      <c r="E750" s="5" t="s">
        <v>21</v>
      </c>
      <c r="F750" s="5" t="s">
        <v>20</v>
      </c>
      <c r="G750" s="5" t="s">
        <v>40</v>
      </c>
      <c r="H750" s="6" t="n">
        <v>132000</v>
      </c>
    </row>
    <row r="751" customFormat="false" ht="15" hidden="false" customHeight="false" outlineLevel="0" collapsed="false">
      <c r="A751" s="11" t="n">
        <v>46262</v>
      </c>
      <c r="B751" s="11" t="n">
        <v>46282</v>
      </c>
      <c r="C751" s="11" t="n">
        <v>46275</v>
      </c>
      <c r="D751" s="5" t="s">
        <v>25</v>
      </c>
      <c r="E751" s="5" t="s">
        <v>21</v>
      </c>
      <c r="F751" s="5" t="s">
        <v>20</v>
      </c>
      <c r="G751" s="5" t="s">
        <v>40</v>
      </c>
      <c r="H751" s="6" t="n">
        <v>226000</v>
      </c>
    </row>
    <row r="752" customFormat="false" ht="15" hidden="false" customHeight="false" outlineLevel="0" collapsed="false">
      <c r="A752" s="11" t="n">
        <v>46265</v>
      </c>
      <c r="B752" s="11" t="n">
        <v>46282</v>
      </c>
      <c r="C752" s="11" t="n">
        <v>46275</v>
      </c>
      <c r="D752" s="5" t="s">
        <v>25</v>
      </c>
      <c r="E752" s="5" t="s">
        <v>21</v>
      </c>
      <c r="F752" s="5" t="s">
        <v>20</v>
      </c>
      <c r="G752" s="5" t="s">
        <v>40</v>
      </c>
      <c r="H752" s="6" t="n">
        <v>159000</v>
      </c>
    </row>
    <row r="753" customFormat="false" ht="15" hidden="false" customHeight="false" outlineLevel="0" collapsed="false">
      <c r="A753" s="11" t="n">
        <v>46269</v>
      </c>
      <c r="B753" s="11" t="n">
        <v>46289</v>
      </c>
      <c r="C753" s="11" t="n">
        <v>46282</v>
      </c>
      <c r="D753" s="5" t="s">
        <v>25</v>
      </c>
      <c r="E753" s="5" t="s">
        <v>21</v>
      </c>
      <c r="F753" s="5" t="s">
        <v>21</v>
      </c>
      <c r="G753" s="5" t="s">
        <v>40</v>
      </c>
      <c r="H753" s="6" t="n">
        <v>250600</v>
      </c>
    </row>
    <row r="754" customFormat="false" ht="15" hidden="false" customHeight="false" outlineLevel="0" collapsed="false">
      <c r="A754" s="11" t="n">
        <v>46274</v>
      </c>
      <c r="B754" s="11" t="n">
        <v>46289</v>
      </c>
      <c r="C754" s="11" t="n">
        <v>46282</v>
      </c>
      <c r="D754" s="5" t="s">
        <v>25</v>
      </c>
      <c r="E754" s="5" t="s">
        <v>21</v>
      </c>
      <c r="F754" s="5" t="s">
        <v>21</v>
      </c>
      <c r="G754" s="5" t="s">
        <v>40</v>
      </c>
      <c r="H754" s="6" t="n">
        <v>100000</v>
      </c>
    </row>
    <row r="755" customFormat="false" ht="15" hidden="false" customHeight="false" outlineLevel="0" collapsed="false">
      <c r="A755" s="11" t="n">
        <v>46275</v>
      </c>
      <c r="B755" s="11" t="n">
        <v>46289</v>
      </c>
      <c r="C755" s="11" t="n">
        <v>46282</v>
      </c>
      <c r="D755" s="5" t="s">
        <v>25</v>
      </c>
      <c r="E755" s="5" t="s">
        <v>21</v>
      </c>
      <c r="F755" s="5" t="s">
        <v>21</v>
      </c>
      <c r="G755" s="5" t="s">
        <v>40</v>
      </c>
      <c r="H755" s="6" t="n">
        <v>206500</v>
      </c>
    </row>
    <row r="756" customFormat="false" ht="15" hidden="false" customHeight="false" outlineLevel="0" collapsed="false">
      <c r="A756" s="11" t="n">
        <v>46295</v>
      </c>
      <c r="B756" s="11" t="n">
        <v>46310</v>
      </c>
      <c r="C756" s="11" t="n">
        <v>46303</v>
      </c>
      <c r="D756" s="5" t="s">
        <v>25</v>
      </c>
      <c r="E756" s="5" t="s">
        <v>21</v>
      </c>
      <c r="F756" s="5" t="s">
        <v>21</v>
      </c>
      <c r="G756" s="5" t="s">
        <v>40</v>
      </c>
      <c r="H756" s="6" t="n">
        <v>105000</v>
      </c>
    </row>
    <row r="757" customFormat="false" ht="15" hidden="false" customHeight="false" outlineLevel="0" collapsed="false">
      <c r="A757" s="11" t="n">
        <v>46300</v>
      </c>
      <c r="B757" s="11" t="n">
        <v>46317</v>
      </c>
      <c r="C757" s="11" t="n">
        <v>46310</v>
      </c>
      <c r="D757" s="5" t="s">
        <v>25</v>
      </c>
      <c r="E757" s="5" t="s">
        <v>21</v>
      </c>
      <c r="F757" s="5" t="s">
        <v>21</v>
      </c>
      <c r="G757" s="5" t="s">
        <v>40</v>
      </c>
      <c r="H757" s="6" t="n">
        <v>104000</v>
      </c>
    </row>
  </sheetData>
  <autoFilter ref="A4:H7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9"/>
  </cols>
  <sheetData>
    <row r="1" customFormat="false" ht="16.1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J3" s="10" t="s">
        <v>2</v>
      </c>
    </row>
    <row r="4" customFormat="false" ht="30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</v>
      </c>
      <c r="E4" s="4" t="s">
        <v>48</v>
      </c>
      <c r="F4" s="4" t="s">
        <v>49</v>
      </c>
      <c r="G4" s="4" t="s">
        <v>50</v>
      </c>
      <c r="H4" s="4" t="s">
        <v>51</v>
      </c>
      <c r="J4" s="4" t="s">
        <v>52</v>
      </c>
      <c r="K4" s="4" t="s">
        <v>3</v>
      </c>
      <c r="L4" s="4" t="s">
        <v>40</v>
      </c>
      <c r="M4" s="4" t="s">
        <v>24</v>
      </c>
      <c r="N4" s="4" t="s">
        <v>53</v>
      </c>
    </row>
    <row r="5" customFormat="false" ht="15" hidden="false" customHeight="false" outlineLevel="0" collapsed="false">
      <c r="A5" s="11" t="n">
        <v>40721</v>
      </c>
      <c r="B5" s="11" t="n">
        <v>40738</v>
      </c>
      <c r="C5" s="11" t="n">
        <v>40731</v>
      </c>
      <c r="D5" s="5" t="s">
        <v>26</v>
      </c>
      <c r="E5" s="5" t="s">
        <v>5</v>
      </c>
      <c r="F5" s="5" t="s">
        <v>5</v>
      </c>
      <c r="G5" s="5" t="s">
        <v>40</v>
      </c>
      <c r="H5" s="6" t="n">
        <v>132000</v>
      </c>
      <c r="J5" s="5" t="s">
        <v>5</v>
      </c>
      <c r="K5" s="6" t="n">
        <f aca="false">SUMIFS($H$5:$H$527,$E$5:$E$527,J5,$G$5:$G$527,"Corn")</f>
        <v>0</v>
      </c>
      <c r="L5" s="6" t="n">
        <f aca="false">SUMIFS($H$5:$H$527,$E$5:$E$527,J5,$G$5:$G$527,"Soybean")</f>
        <v>132000</v>
      </c>
      <c r="M5" s="6" t="n">
        <f aca="false">K5+L5</f>
        <v>132000</v>
      </c>
      <c r="N5" s="6" t="n">
        <f aca="false">COUNTIFS($E$5:$E$527,J5)</f>
        <v>1</v>
      </c>
    </row>
    <row r="6" customFormat="false" ht="15" hidden="false" customHeight="false" outlineLevel="0" collapsed="false">
      <c r="A6" s="11" t="n">
        <v>40949</v>
      </c>
      <c r="B6" s="11" t="n">
        <v>40969</v>
      </c>
      <c r="C6" s="11" t="n">
        <v>40962</v>
      </c>
      <c r="D6" s="5" t="s">
        <v>26</v>
      </c>
      <c r="E6" s="5" t="s">
        <v>6</v>
      </c>
      <c r="F6" s="5" t="s">
        <v>6</v>
      </c>
      <c r="G6" s="5" t="s">
        <v>40</v>
      </c>
      <c r="H6" s="6" t="n">
        <v>120000</v>
      </c>
      <c r="J6" s="5" t="s">
        <v>6</v>
      </c>
      <c r="K6" s="6" t="n">
        <f aca="false">SUMIFS($H$5:$H$527,$E$5:$E$527,J6,$G$5:$G$527,"Corn")</f>
        <v>0</v>
      </c>
      <c r="L6" s="6" t="n">
        <f aca="false">SUMIFS($H$5:$H$527,$E$5:$E$527,J6,$G$5:$G$527,"Soybean")</f>
        <v>773000</v>
      </c>
      <c r="M6" s="6" t="n">
        <f aca="false">K6+L6</f>
        <v>773000</v>
      </c>
      <c r="N6" s="6" t="n">
        <f aca="false">COUNTIFS($E$5:$E$527,J6)</f>
        <v>3</v>
      </c>
    </row>
    <row r="7" customFormat="false" ht="15" hidden="false" customHeight="false" outlineLevel="0" collapsed="false">
      <c r="A7" s="11" t="n">
        <v>40956</v>
      </c>
      <c r="B7" s="11" t="n">
        <v>40976</v>
      </c>
      <c r="C7" s="11" t="n">
        <v>40969</v>
      </c>
      <c r="D7" s="5" t="s">
        <v>26</v>
      </c>
      <c r="E7" s="5" t="s">
        <v>6</v>
      </c>
      <c r="F7" s="5" t="s">
        <v>6</v>
      </c>
      <c r="G7" s="5" t="s">
        <v>40</v>
      </c>
      <c r="H7" s="6" t="n">
        <v>173000</v>
      </c>
      <c r="J7" s="5" t="s">
        <v>7</v>
      </c>
      <c r="K7" s="6" t="n">
        <f aca="false">SUMIFS($H$5:$H$527,$E$5:$E$527,J7,$G$5:$G$527,"Corn")</f>
        <v>0</v>
      </c>
      <c r="L7" s="6" t="n">
        <f aca="false">SUMIFS($H$5:$H$527,$E$5:$E$527,J7,$G$5:$G$527,"Soybean")</f>
        <v>2750000</v>
      </c>
      <c r="M7" s="6" t="n">
        <f aca="false">K7+L7</f>
        <v>2750000</v>
      </c>
      <c r="N7" s="6" t="n">
        <f aca="false">COUNTIFS($E$5:$E$527,J7)</f>
        <v>1</v>
      </c>
    </row>
    <row r="8" customFormat="false" ht="15" hidden="false" customHeight="false" outlineLevel="0" collapsed="false">
      <c r="A8" s="11" t="n">
        <v>40956</v>
      </c>
      <c r="B8" s="11" t="n">
        <v>40976</v>
      </c>
      <c r="C8" s="11" t="n">
        <v>40969</v>
      </c>
      <c r="D8" s="5" t="s">
        <v>26</v>
      </c>
      <c r="E8" s="5" t="s">
        <v>7</v>
      </c>
      <c r="F8" s="5" t="s">
        <v>6</v>
      </c>
      <c r="G8" s="5" t="s">
        <v>40</v>
      </c>
      <c r="H8" s="6" t="n">
        <v>2750000</v>
      </c>
      <c r="J8" s="5" t="s">
        <v>8</v>
      </c>
      <c r="K8" s="6" t="n">
        <f aca="false">SUMIFS($H$5:$H$527,$E$5:$E$527,J8,$G$5:$G$527,"Corn")</f>
        <v>1080000</v>
      </c>
      <c r="L8" s="6" t="n">
        <f aca="false">SUMIFS($H$5:$H$527,$E$5:$E$527,J8,$G$5:$G$527,"Soybean")</f>
        <v>5005000</v>
      </c>
      <c r="M8" s="6" t="n">
        <f aca="false">K8+L8</f>
        <v>6085000</v>
      </c>
      <c r="N8" s="6" t="n">
        <f aca="false">COUNTIFS($E$5:$E$527,J8)</f>
        <v>18</v>
      </c>
    </row>
    <row r="9" customFormat="false" ht="15" hidden="false" customHeight="false" outlineLevel="0" collapsed="false">
      <c r="A9" s="11" t="n">
        <v>41046</v>
      </c>
      <c r="B9" s="11" t="n">
        <v>41060</v>
      </c>
      <c r="C9" s="11" t="n">
        <v>41053</v>
      </c>
      <c r="D9" s="5" t="s">
        <v>26</v>
      </c>
      <c r="E9" s="5" t="s">
        <v>6</v>
      </c>
      <c r="F9" s="5" t="s">
        <v>6</v>
      </c>
      <c r="G9" s="5" t="s">
        <v>40</v>
      </c>
      <c r="H9" s="6" t="n">
        <v>480000</v>
      </c>
      <c r="J9" s="5" t="s">
        <v>9</v>
      </c>
      <c r="K9" s="6" t="n">
        <f aca="false">SUMIFS($H$5:$H$527,$E$5:$E$527,J9,$G$5:$G$527,"Corn")</f>
        <v>0</v>
      </c>
      <c r="L9" s="6" t="n">
        <f aca="false">SUMIFS($H$5:$H$527,$E$5:$E$527,J9,$G$5:$G$527,"Soybean")</f>
        <v>477000</v>
      </c>
      <c r="M9" s="6" t="n">
        <f aca="false">K9+L9</f>
        <v>477000</v>
      </c>
      <c r="N9" s="6" t="n">
        <f aca="false">COUNTIFS($E$5:$E$527,J9)</f>
        <v>3</v>
      </c>
    </row>
    <row r="10" customFormat="false" ht="15" hidden="false" customHeight="false" outlineLevel="0" collapsed="false">
      <c r="A10" s="11" t="n">
        <v>41330</v>
      </c>
      <c r="B10" s="11" t="n">
        <v>41347</v>
      </c>
      <c r="C10" s="11" t="n">
        <v>41340</v>
      </c>
      <c r="D10" s="5" t="s">
        <v>26</v>
      </c>
      <c r="E10" s="5" t="s">
        <v>8</v>
      </c>
      <c r="F10" s="5" t="s">
        <v>7</v>
      </c>
      <c r="G10" s="5" t="s">
        <v>40</v>
      </c>
      <c r="H10" s="6" t="n">
        <v>120000</v>
      </c>
      <c r="J10" s="5" t="s">
        <v>10</v>
      </c>
      <c r="K10" s="6" t="n">
        <f aca="false">SUMIFS($H$5:$H$527,$E$5:$E$527,J10,$G$5:$G$527,"Corn")</f>
        <v>0</v>
      </c>
      <c r="L10" s="6" t="n">
        <f aca="false">SUMIFS($H$5:$H$527,$E$5:$E$527,J10,$G$5:$G$527,"Soybean")</f>
        <v>1219000</v>
      </c>
      <c r="M10" s="6" t="n">
        <f aca="false">K10+L10</f>
        <v>1219000</v>
      </c>
      <c r="N10" s="6" t="n">
        <f aca="false">COUNTIFS($E$5:$E$527,J10)</f>
        <v>8</v>
      </c>
    </row>
    <row r="11" customFormat="false" ht="15" hidden="false" customHeight="false" outlineLevel="0" collapsed="false">
      <c r="A11" s="11" t="n">
        <v>41443</v>
      </c>
      <c r="B11" s="11" t="n">
        <v>41459</v>
      </c>
      <c r="C11" s="11" t="n">
        <v>41452</v>
      </c>
      <c r="D11" s="5" t="s">
        <v>26</v>
      </c>
      <c r="E11" s="5" t="s">
        <v>8</v>
      </c>
      <c r="F11" s="5" t="s">
        <v>7</v>
      </c>
      <c r="G11" s="5" t="s">
        <v>40</v>
      </c>
      <c r="H11" s="6" t="n">
        <v>240000</v>
      </c>
      <c r="J11" s="5" t="s">
        <v>11</v>
      </c>
      <c r="K11" s="6" t="n">
        <f aca="false">SUMIFS($H$5:$H$527,$E$5:$E$527,J11,$G$5:$G$527,"Corn")</f>
        <v>0</v>
      </c>
      <c r="L11" s="6" t="n">
        <f aca="false">SUMIFS($H$5:$H$527,$E$5:$E$527,J11,$G$5:$G$527,"Soybean")</f>
        <v>11002570</v>
      </c>
      <c r="M11" s="6" t="n">
        <f aca="false">K11+L11</f>
        <v>11002570</v>
      </c>
      <c r="N11" s="6" t="n">
        <f aca="false">COUNTIFS($E$5:$E$527,J11)</f>
        <v>51</v>
      </c>
    </row>
    <row r="12" customFormat="false" ht="15" hidden="false" customHeight="false" outlineLevel="0" collapsed="false">
      <c r="A12" s="11" t="n">
        <v>41466</v>
      </c>
      <c r="B12" s="11" t="n">
        <v>41480</v>
      </c>
      <c r="C12" s="11" t="n">
        <v>41473</v>
      </c>
      <c r="D12" s="5" t="s">
        <v>26</v>
      </c>
      <c r="E12" s="5" t="s">
        <v>8</v>
      </c>
      <c r="F12" s="5" t="s">
        <v>7</v>
      </c>
      <c r="G12" s="5" t="s">
        <v>3</v>
      </c>
      <c r="H12" s="6" t="n">
        <v>120000</v>
      </c>
      <c r="J12" s="5" t="s">
        <v>12</v>
      </c>
      <c r="K12" s="6" t="n">
        <f aca="false">SUMIFS($H$5:$H$527,$E$5:$E$527,J12,$G$5:$G$527,"Corn")</f>
        <v>0</v>
      </c>
      <c r="L12" s="6" t="n">
        <f aca="false">SUMIFS($H$5:$H$527,$E$5:$E$527,J12,$G$5:$G$527,"Soybean")</f>
        <v>9965000</v>
      </c>
      <c r="M12" s="6" t="n">
        <f aca="false">K12+L12</f>
        <v>9965000</v>
      </c>
      <c r="N12" s="6" t="n">
        <f aca="false">COUNTIFS($E$5:$E$527,J12)</f>
        <v>42</v>
      </c>
    </row>
    <row r="13" customFormat="false" ht="15" hidden="false" customHeight="false" outlineLevel="0" collapsed="false">
      <c r="A13" s="11" t="n">
        <v>41467</v>
      </c>
      <c r="B13" s="11" t="n">
        <v>41487</v>
      </c>
      <c r="C13" s="11" t="n">
        <v>41480</v>
      </c>
      <c r="D13" s="5" t="s">
        <v>26</v>
      </c>
      <c r="E13" s="5" t="s">
        <v>8</v>
      </c>
      <c r="F13" s="5" t="s">
        <v>7</v>
      </c>
      <c r="G13" s="5" t="s">
        <v>3</v>
      </c>
      <c r="H13" s="6" t="n">
        <v>960000</v>
      </c>
      <c r="J13" s="5" t="s">
        <v>13</v>
      </c>
      <c r="K13" s="6" t="n">
        <f aca="false">SUMIFS($H$5:$H$527,$E$5:$E$527,J13,$G$5:$G$527,"Corn")</f>
        <v>300000</v>
      </c>
      <c r="L13" s="6" t="n">
        <f aca="false">SUMIFS($H$5:$H$527,$E$5:$E$527,J13,$G$5:$G$527,"Soybean")</f>
        <v>12235000</v>
      </c>
      <c r="M13" s="6" t="n">
        <f aca="false">K13+L13</f>
        <v>12535000</v>
      </c>
      <c r="N13" s="6" t="n">
        <f aca="false">COUNTIFS($E$5:$E$527,J13)</f>
        <v>20</v>
      </c>
    </row>
    <row r="14" customFormat="false" ht="15" hidden="false" customHeight="false" outlineLevel="0" collapsed="false">
      <c r="A14" s="11" t="n">
        <v>41472</v>
      </c>
      <c r="B14" s="11" t="n">
        <v>41487</v>
      </c>
      <c r="C14" s="11" t="n">
        <v>41480</v>
      </c>
      <c r="D14" s="5" t="s">
        <v>26</v>
      </c>
      <c r="E14" s="5" t="s">
        <v>8</v>
      </c>
      <c r="F14" s="5" t="s">
        <v>7</v>
      </c>
      <c r="G14" s="5" t="s">
        <v>40</v>
      </c>
      <c r="H14" s="6" t="n">
        <v>165000</v>
      </c>
      <c r="J14" s="5" t="s">
        <v>14</v>
      </c>
      <c r="K14" s="6" t="n">
        <f aca="false">SUMIFS($H$5:$H$527,$E$5:$E$527,J14,$G$5:$G$527,"Corn")</f>
        <v>1955000</v>
      </c>
      <c r="L14" s="6" t="n">
        <f aca="false">SUMIFS($H$5:$H$527,$E$5:$E$527,J14,$G$5:$G$527,"Soybean")</f>
        <v>6740000</v>
      </c>
      <c r="M14" s="6" t="n">
        <f aca="false">K14+L14</f>
        <v>8695000</v>
      </c>
      <c r="N14" s="6" t="n">
        <f aca="false">COUNTIFS($E$5:$E$527,J14)</f>
        <v>37</v>
      </c>
    </row>
    <row r="15" customFormat="false" ht="15" hidden="false" customHeight="false" outlineLevel="0" collapsed="false">
      <c r="A15" s="11" t="n">
        <v>41481</v>
      </c>
      <c r="B15" s="11" t="n">
        <v>41501</v>
      </c>
      <c r="C15" s="11" t="n">
        <v>41494</v>
      </c>
      <c r="D15" s="5" t="s">
        <v>26</v>
      </c>
      <c r="E15" s="5" t="s">
        <v>8</v>
      </c>
      <c r="F15" s="5" t="s">
        <v>7</v>
      </c>
      <c r="G15" s="5" t="s">
        <v>40</v>
      </c>
      <c r="H15" s="6" t="n">
        <v>220000</v>
      </c>
      <c r="J15" s="5" t="s">
        <v>15</v>
      </c>
      <c r="K15" s="6" t="n">
        <f aca="false">SUMIFS($H$5:$H$527,$E$5:$E$527,J15,$G$5:$G$527,"Corn")</f>
        <v>20005000</v>
      </c>
      <c r="L15" s="6" t="n">
        <f aca="false">SUMIFS($H$5:$H$527,$E$5:$E$527,J15,$G$5:$G$527,"Soybean")</f>
        <v>13377000</v>
      </c>
      <c r="M15" s="6" t="n">
        <f aca="false">K15+L15</f>
        <v>33382000</v>
      </c>
      <c r="N15" s="6" t="n">
        <f aca="false">COUNTIFS($E$5:$E$527,J15)</f>
        <v>84</v>
      </c>
    </row>
    <row r="16" customFormat="false" ht="15" hidden="false" customHeight="false" outlineLevel="0" collapsed="false">
      <c r="A16" s="11" t="n">
        <v>41498</v>
      </c>
      <c r="B16" s="11" t="n">
        <v>41515</v>
      </c>
      <c r="C16" s="11" t="n">
        <v>41508</v>
      </c>
      <c r="D16" s="5" t="s">
        <v>26</v>
      </c>
      <c r="E16" s="5" t="s">
        <v>8</v>
      </c>
      <c r="F16" s="5" t="s">
        <v>7</v>
      </c>
      <c r="G16" s="5" t="s">
        <v>40</v>
      </c>
      <c r="H16" s="6" t="n">
        <v>713000</v>
      </c>
      <c r="J16" s="5" t="s">
        <v>16</v>
      </c>
      <c r="K16" s="6" t="n">
        <f aca="false">SUMIFS($H$5:$H$527,$E$5:$E$527,J16,$G$5:$G$527,"Corn")</f>
        <v>13759000</v>
      </c>
      <c r="L16" s="6" t="n">
        <f aca="false">SUMIFS($H$5:$H$527,$E$5:$E$527,J16,$G$5:$G$527,"Soybean")</f>
        <v>7769000</v>
      </c>
      <c r="M16" s="6" t="n">
        <f aca="false">K16+L16</f>
        <v>21528000</v>
      </c>
      <c r="N16" s="6" t="n">
        <f aca="false">COUNTIFS($E$5:$E$527,J16)</f>
        <v>68</v>
      </c>
    </row>
    <row r="17" customFormat="false" ht="15" hidden="false" customHeight="false" outlineLevel="0" collapsed="false">
      <c r="A17" s="11" t="n">
        <v>41500</v>
      </c>
      <c r="B17" s="11" t="n">
        <v>41515</v>
      </c>
      <c r="C17" s="11" t="n">
        <v>41508</v>
      </c>
      <c r="D17" s="5" t="s">
        <v>26</v>
      </c>
      <c r="E17" s="5" t="s">
        <v>8</v>
      </c>
      <c r="F17" s="5" t="s">
        <v>7</v>
      </c>
      <c r="G17" s="5" t="s">
        <v>40</v>
      </c>
      <c r="H17" s="6" t="n">
        <v>110000</v>
      </c>
      <c r="J17" s="5" t="s">
        <v>17</v>
      </c>
      <c r="K17" s="6" t="n">
        <f aca="false">SUMIFS($H$5:$H$527,$E$5:$E$527,J17,$G$5:$G$527,"Corn")</f>
        <v>7593000</v>
      </c>
      <c r="L17" s="6" t="n">
        <f aca="false">SUMIFS($H$5:$H$527,$E$5:$E$527,J17,$G$5:$G$527,"Soybean")</f>
        <v>8264700</v>
      </c>
      <c r="M17" s="6" t="n">
        <f aca="false">K17+L17</f>
        <v>15857700</v>
      </c>
      <c r="N17" s="6" t="n">
        <f aca="false">COUNTIFS($E$5:$E$527,J17)</f>
        <v>67</v>
      </c>
    </row>
    <row r="18" customFormat="false" ht="15" hidden="false" customHeight="false" outlineLevel="0" collapsed="false">
      <c r="A18" s="11" t="n">
        <v>41502</v>
      </c>
      <c r="B18" s="11" t="n">
        <v>41522</v>
      </c>
      <c r="C18" s="11" t="n">
        <v>41515</v>
      </c>
      <c r="D18" s="5" t="s">
        <v>26</v>
      </c>
      <c r="E18" s="5" t="s">
        <v>8</v>
      </c>
      <c r="F18" s="5" t="s">
        <v>7</v>
      </c>
      <c r="G18" s="5" t="s">
        <v>40</v>
      </c>
      <c r="H18" s="6" t="n">
        <v>284000</v>
      </c>
      <c r="J18" s="5" t="s">
        <v>18</v>
      </c>
      <c r="K18" s="6" t="n">
        <f aca="false">SUMIFS($H$5:$H$527,$E$5:$E$527,J18,$G$5:$G$527,"Corn")</f>
        <v>272000</v>
      </c>
      <c r="L18" s="6" t="n">
        <f aca="false">SUMIFS($H$5:$H$527,$E$5:$E$527,J18,$G$5:$G$527,"Soybean")</f>
        <v>6044000</v>
      </c>
      <c r="M18" s="6" t="n">
        <f aca="false">K18+L18</f>
        <v>6316000</v>
      </c>
      <c r="N18" s="6" t="n">
        <f aca="false">COUNTIFS($E$5:$E$527,J18)</f>
        <v>35</v>
      </c>
    </row>
    <row r="19" customFormat="false" ht="15" hidden="false" customHeight="false" outlineLevel="0" collapsed="false">
      <c r="A19" s="11" t="n">
        <v>41514</v>
      </c>
      <c r="B19" s="11" t="n">
        <v>41529</v>
      </c>
      <c r="C19" s="11" t="n">
        <v>41522</v>
      </c>
      <c r="D19" s="5" t="s">
        <v>26</v>
      </c>
      <c r="E19" s="5" t="s">
        <v>8</v>
      </c>
      <c r="F19" s="5" t="s">
        <v>7</v>
      </c>
      <c r="G19" s="5" t="s">
        <v>40</v>
      </c>
      <c r="H19" s="6" t="n">
        <v>120000</v>
      </c>
      <c r="J19" s="5" t="s">
        <v>19</v>
      </c>
      <c r="K19" s="6" t="n">
        <f aca="false">SUMIFS($H$5:$H$527,$E$5:$E$527,J19,$G$5:$G$527,"Corn")</f>
        <v>0</v>
      </c>
      <c r="L19" s="6" t="n">
        <f aca="false">SUMIFS($H$5:$H$527,$E$5:$E$527,J19,$G$5:$G$527,"Soybean")</f>
        <v>5138000</v>
      </c>
      <c r="M19" s="6" t="n">
        <f aca="false">K19+L19</f>
        <v>5138000</v>
      </c>
      <c r="N19" s="6" t="n">
        <f aca="false">COUNTIFS($E$5:$E$527,J19)</f>
        <v>33</v>
      </c>
    </row>
    <row r="20" customFormat="false" ht="15" hidden="false" customHeight="false" outlineLevel="0" collapsed="false">
      <c r="A20" s="11" t="n">
        <v>41516</v>
      </c>
      <c r="B20" s="11" t="n">
        <v>41536</v>
      </c>
      <c r="C20" s="11" t="n">
        <v>41529</v>
      </c>
      <c r="D20" s="5" t="s">
        <v>26</v>
      </c>
      <c r="E20" s="5" t="s">
        <v>8</v>
      </c>
      <c r="F20" s="5" t="s">
        <v>7</v>
      </c>
      <c r="G20" s="5" t="s">
        <v>40</v>
      </c>
      <c r="H20" s="6" t="n">
        <v>110000</v>
      </c>
      <c r="J20" s="5" t="s">
        <v>20</v>
      </c>
      <c r="K20" s="6" t="n">
        <f aca="false">SUMIFS($H$5:$H$527,$E$5:$E$527,J20,$G$5:$G$527,"Corn")</f>
        <v>0</v>
      </c>
      <c r="L20" s="6" t="n">
        <f aca="false">SUMIFS($H$5:$H$527,$E$5:$E$527,J20,$G$5:$G$527,"Soybean")</f>
        <v>5885000</v>
      </c>
      <c r="M20" s="6" t="n">
        <f aca="false">K20+L20</f>
        <v>5885000</v>
      </c>
      <c r="N20" s="6" t="n">
        <f aca="false">COUNTIFS($E$5:$E$527,J20)</f>
        <v>24</v>
      </c>
    </row>
    <row r="21" customFormat="false" ht="15" hidden="false" customHeight="false" outlineLevel="0" collapsed="false">
      <c r="A21" s="11" t="n">
        <v>41535</v>
      </c>
      <c r="B21" s="11" t="n">
        <v>41550</v>
      </c>
      <c r="C21" s="11" t="n">
        <v>41543</v>
      </c>
      <c r="D21" s="5" t="s">
        <v>26</v>
      </c>
      <c r="E21" s="5" t="s">
        <v>8</v>
      </c>
      <c r="F21" s="5" t="s">
        <v>8</v>
      </c>
      <c r="G21" s="5" t="s">
        <v>40</v>
      </c>
      <c r="H21" s="6" t="n">
        <v>1930000</v>
      </c>
      <c r="J21" s="5" t="s">
        <v>21</v>
      </c>
      <c r="K21" s="6" t="n">
        <f aca="false">SUMIFS($H$5:$H$527,$E$5:$E$527,J21,$G$5:$G$527,"Corn")</f>
        <v>0</v>
      </c>
      <c r="L21" s="6" t="n">
        <f aca="false">SUMIFS($H$5:$H$527,$E$5:$E$527,J21,$G$5:$G$527,"Soybean")</f>
        <v>6175000</v>
      </c>
      <c r="M21" s="6" t="n">
        <f aca="false">K21+L21</f>
        <v>6175000</v>
      </c>
      <c r="N21" s="6" t="n">
        <f aca="false">COUNTIFS($E$5:$E$527,J21)</f>
        <v>28</v>
      </c>
    </row>
    <row r="22" customFormat="false" ht="15" hidden="false" customHeight="false" outlineLevel="0" collapsed="false">
      <c r="A22" s="11" t="n">
        <v>41548</v>
      </c>
      <c r="B22" s="11" t="n">
        <v>41564</v>
      </c>
      <c r="C22" s="11" t="n">
        <v>41557</v>
      </c>
      <c r="D22" s="5" t="s">
        <v>26</v>
      </c>
      <c r="E22" s="5" t="s">
        <v>8</v>
      </c>
      <c r="F22" s="5" t="s">
        <v>8</v>
      </c>
      <c r="G22" s="5" t="s">
        <v>40</v>
      </c>
      <c r="H22" s="6" t="n">
        <v>113000</v>
      </c>
      <c r="J22" s="8" t="s">
        <v>24</v>
      </c>
      <c r="K22" s="9" t="n">
        <f aca="false">SUM(K5:K21)</f>
        <v>44964000</v>
      </c>
      <c r="L22" s="9" t="n">
        <f aca="false">SUM(L5:L21)</f>
        <v>102951270</v>
      </c>
      <c r="M22" s="9" t="n">
        <f aca="false">SUM(M5:M21)</f>
        <v>147915270</v>
      </c>
      <c r="N22" s="9" t="n">
        <f aca="false">SUM(N5:N21)</f>
        <v>523</v>
      </c>
    </row>
    <row r="23" customFormat="false" ht="15" hidden="false" customHeight="false" outlineLevel="0" collapsed="false">
      <c r="A23" s="11" t="n">
        <v>41565</v>
      </c>
      <c r="B23" s="11" t="n">
        <v>41585</v>
      </c>
      <c r="C23" s="11" t="n">
        <v>41578</v>
      </c>
      <c r="D23" s="5" t="s">
        <v>26</v>
      </c>
      <c r="E23" s="5" t="s">
        <v>8</v>
      </c>
      <c r="F23" s="5" t="s">
        <v>8</v>
      </c>
      <c r="G23" s="5" t="s">
        <v>40</v>
      </c>
      <c r="H23" s="6" t="n">
        <v>222000</v>
      </c>
    </row>
    <row r="24" customFormat="false" ht="15" hidden="false" customHeight="false" outlineLevel="0" collapsed="false">
      <c r="A24" s="11" t="n">
        <v>41572</v>
      </c>
      <c r="B24" s="11" t="n">
        <v>41592</v>
      </c>
      <c r="C24" s="11" t="n">
        <v>41585</v>
      </c>
      <c r="D24" s="5" t="s">
        <v>26</v>
      </c>
      <c r="E24" s="5" t="s">
        <v>8</v>
      </c>
      <c r="F24" s="5" t="s">
        <v>8</v>
      </c>
      <c r="G24" s="5" t="s">
        <v>40</v>
      </c>
      <c r="H24" s="6" t="n">
        <v>120000</v>
      </c>
    </row>
    <row r="25" customFormat="false" ht="15" hidden="false" customHeight="false" outlineLevel="0" collapsed="false">
      <c r="A25" s="11" t="n">
        <v>41579</v>
      </c>
      <c r="B25" s="11" t="n">
        <v>41599</v>
      </c>
      <c r="C25" s="11" t="n">
        <v>41592</v>
      </c>
      <c r="D25" s="5" t="s">
        <v>26</v>
      </c>
      <c r="E25" s="5" t="s">
        <v>8</v>
      </c>
      <c r="F25" s="5" t="s">
        <v>8</v>
      </c>
      <c r="G25" s="5" t="s">
        <v>40</v>
      </c>
      <c r="H25" s="6" t="n">
        <v>115000</v>
      </c>
      <c r="J25" s="10" t="s">
        <v>42</v>
      </c>
    </row>
    <row r="26" customFormat="false" ht="15" hidden="false" customHeight="false" outlineLevel="0" collapsed="false">
      <c r="A26" s="11" t="n">
        <v>41591</v>
      </c>
      <c r="B26" s="11" t="n">
        <v>41606</v>
      </c>
      <c r="C26" s="11" t="n">
        <v>41599</v>
      </c>
      <c r="D26" s="5" t="s">
        <v>26</v>
      </c>
      <c r="E26" s="5" t="s">
        <v>8</v>
      </c>
      <c r="F26" s="5" t="s">
        <v>8</v>
      </c>
      <c r="G26" s="5" t="s">
        <v>40</v>
      </c>
      <c r="H26" s="6" t="n">
        <v>123000</v>
      </c>
      <c r="J26" s="4" t="s">
        <v>54</v>
      </c>
      <c r="K26" s="4" t="s">
        <v>3</v>
      </c>
      <c r="L26" s="4" t="s">
        <v>40</v>
      </c>
      <c r="M26" s="4" t="s">
        <v>24</v>
      </c>
      <c r="N26" s="4" t="s">
        <v>53</v>
      </c>
    </row>
    <row r="27" customFormat="false" ht="15" hidden="false" customHeight="false" outlineLevel="0" collapsed="false">
      <c r="A27" s="11" t="n">
        <v>41597</v>
      </c>
      <c r="B27" s="11" t="n">
        <v>41613</v>
      </c>
      <c r="C27" s="11" t="n">
        <v>41606</v>
      </c>
      <c r="D27" s="5" t="s">
        <v>26</v>
      </c>
      <c r="E27" s="5" t="s">
        <v>9</v>
      </c>
      <c r="F27" s="5" t="s">
        <v>8</v>
      </c>
      <c r="G27" s="5" t="s">
        <v>40</v>
      </c>
      <c r="H27" s="6" t="n">
        <v>240000</v>
      </c>
      <c r="J27" s="5" t="s">
        <v>5</v>
      </c>
      <c r="K27" s="6" t="n">
        <f aca="false">SUMIFS($H$5:$H$527,$F$5:$F$527,J27,$G$5:$G$527,"Corn")</f>
        <v>0</v>
      </c>
      <c r="L27" s="6" t="n">
        <f aca="false">SUMIFS($H$5:$H$527,$F$5:$F$527,J27,$G$5:$G$527,"Soybean")</f>
        <v>132000</v>
      </c>
      <c r="M27" s="6" t="n">
        <f aca="false">K27+L27</f>
        <v>132000</v>
      </c>
      <c r="N27" s="6" t="n">
        <f aca="false">COUNTIFS($F$5:$F$527,J27)</f>
        <v>1</v>
      </c>
    </row>
    <row r="28" customFormat="false" ht="15" hidden="false" customHeight="false" outlineLevel="0" collapsed="false">
      <c r="A28" s="11" t="n">
        <v>41604</v>
      </c>
      <c r="B28" s="11" t="n">
        <v>41620</v>
      </c>
      <c r="C28" s="11" t="n">
        <v>41613</v>
      </c>
      <c r="D28" s="5" t="s">
        <v>26</v>
      </c>
      <c r="E28" s="5" t="s">
        <v>8</v>
      </c>
      <c r="F28" s="5" t="s">
        <v>8</v>
      </c>
      <c r="G28" s="5" t="s">
        <v>40</v>
      </c>
      <c r="H28" s="6" t="n">
        <v>300000</v>
      </c>
      <c r="J28" s="5" t="s">
        <v>6</v>
      </c>
      <c r="K28" s="6" t="n">
        <f aca="false">SUMIFS($H$5:$H$527,$F$5:$F$527,J28,$G$5:$G$527,"Corn")</f>
        <v>0</v>
      </c>
      <c r="L28" s="6" t="n">
        <f aca="false">SUMIFS($H$5:$H$527,$F$5:$F$527,J28,$G$5:$G$527,"Soybean")</f>
        <v>3523000</v>
      </c>
      <c r="M28" s="6" t="n">
        <f aca="false">K28+L28</f>
        <v>3523000</v>
      </c>
      <c r="N28" s="6" t="n">
        <f aca="false">COUNTIFS($F$5:$F$527,J28)</f>
        <v>4</v>
      </c>
    </row>
    <row r="29" customFormat="false" ht="15" hidden="false" customHeight="false" outlineLevel="0" collapsed="false">
      <c r="A29" s="11" t="n">
        <v>41613</v>
      </c>
      <c r="B29" s="11" t="n">
        <v>41627</v>
      </c>
      <c r="C29" s="11" t="n">
        <v>41620</v>
      </c>
      <c r="D29" s="5" t="s">
        <v>26</v>
      </c>
      <c r="E29" s="5" t="s">
        <v>9</v>
      </c>
      <c r="F29" s="5" t="s">
        <v>8</v>
      </c>
      <c r="G29" s="5" t="s">
        <v>40</v>
      </c>
      <c r="H29" s="6" t="n">
        <v>111000</v>
      </c>
      <c r="J29" s="5" t="s">
        <v>7</v>
      </c>
      <c r="K29" s="6" t="n">
        <f aca="false">SUMIFS($H$5:$H$527,$F$5:$F$527,J29,$G$5:$G$527,"Corn")</f>
        <v>1080000</v>
      </c>
      <c r="L29" s="6" t="n">
        <f aca="false">SUMIFS($H$5:$H$527,$F$5:$F$527,J29,$G$5:$G$527,"Soybean")</f>
        <v>2082000</v>
      </c>
      <c r="M29" s="6" t="n">
        <f aca="false">K29+L29</f>
        <v>3162000</v>
      </c>
      <c r="N29" s="6" t="n">
        <f aca="false">COUNTIFS($F$5:$F$527,J29)</f>
        <v>11</v>
      </c>
    </row>
    <row r="30" customFormat="false" ht="15" hidden="false" customHeight="false" outlineLevel="0" collapsed="false">
      <c r="A30" s="11" t="n">
        <v>41663</v>
      </c>
      <c r="B30" s="11" t="n">
        <v>41683</v>
      </c>
      <c r="C30" s="11" t="n">
        <v>41676</v>
      </c>
      <c r="D30" s="5" t="s">
        <v>26</v>
      </c>
      <c r="E30" s="5" t="s">
        <v>9</v>
      </c>
      <c r="F30" s="5" t="s">
        <v>8</v>
      </c>
      <c r="G30" s="5" t="s">
        <v>40</v>
      </c>
      <c r="H30" s="6" t="n">
        <v>126000</v>
      </c>
      <c r="J30" s="5" t="s">
        <v>8</v>
      </c>
      <c r="K30" s="6" t="n">
        <f aca="false">SUMIFS($H$5:$H$527,$F$5:$F$527,J30,$G$5:$G$527,"Corn")</f>
        <v>0</v>
      </c>
      <c r="L30" s="6" t="n">
        <f aca="false">SUMIFS($H$5:$H$527,$F$5:$F$527,J30,$G$5:$G$527,"Soybean")</f>
        <v>3400000</v>
      </c>
      <c r="M30" s="6" t="n">
        <f aca="false">K30+L30</f>
        <v>3400000</v>
      </c>
      <c r="N30" s="6" t="n">
        <f aca="false">COUNTIFS($F$5:$F$527,J30)</f>
        <v>10</v>
      </c>
    </row>
    <row r="31" customFormat="false" ht="15" hidden="false" customHeight="false" outlineLevel="0" collapsed="false">
      <c r="A31" s="11" t="n">
        <v>42376</v>
      </c>
      <c r="B31" s="11" t="n">
        <v>42390</v>
      </c>
      <c r="C31" s="11" t="n">
        <v>42383</v>
      </c>
      <c r="D31" s="5" t="s">
        <v>26</v>
      </c>
      <c r="E31" s="5" t="s">
        <v>10</v>
      </c>
      <c r="F31" s="5" t="s">
        <v>10</v>
      </c>
      <c r="G31" s="5" t="s">
        <v>40</v>
      </c>
      <c r="H31" s="6" t="n">
        <v>246000</v>
      </c>
      <c r="J31" s="5" t="s">
        <v>10</v>
      </c>
      <c r="K31" s="6" t="n">
        <f aca="false">SUMIFS($H$5:$H$527,$F$5:$F$527,J31,$G$5:$G$527,"Corn")</f>
        <v>0</v>
      </c>
      <c r="L31" s="6" t="n">
        <f aca="false">SUMIFS($H$5:$H$527,$F$5:$F$527,J31,$G$5:$G$527,"Soybean")</f>
        <v>5189000</v>
      </c>
      <c r="M31" s="6" t="n">
        <f aca="false">K31+L31</f>
        <v>5189000</v>
      </c>
      <c r="N31" s="6" t="n">
        <f aca="false">COUNTIFS($F$5:$F$527,J31)</f>
        <v>28</v>
      </c>
    </row>
    <row r="32" customFormat="false" ht="15" hidden="false" customHeight="false" outlineLevel="0" collapsed="false">
      <c r="A32" s="11" t="n">
        <v>42380</v>
      </c>
      <c r="B32" s="11" t="n">
        <v>42397</v>
      </c>
      <c r="C32" s="11" t="n">
        <v>42390</v>
      </c>
      <c r="D32" s="5" t="s">
        <v>26</v>
      </c>
      <c r="E32" s="5" t="s">
        <v>10</v>
      </c>
      <c r="F32" s="5" t="s">
        <v>10</v>
      </c>
      <c r="G32" s="5" t="s">
        <v>40</v>
      </c>
      <c r="H32" s="6" t="n">
        <v>120000</v>
      </c>
      <c r="J32" s="5" t="s">
        <v>11</v>
      </c>
      <c r="K32" s="6" t="n">
        <f aca="false">SUMIFS($H$5:$H$527,$F$5:$F$527,J32,$G$5:$G$527,"Corn")</f>
        <v>0</v>
      </c>
      <c r="L32" s="6" t="n">
        <f aca="false">SUMIFS($H$5:$H$527,$F$5:$F$527,J32,$G$5:$G$527,"Soybean")</f>
        <v>10029570</v>
      </c>
      <c r="M32" s="6" t="n">
        <f aca="false">K32+L32</f>
        <v>10029570</v>
      </c>
      <c r="N32" s="6" t="n">
        <f aca="false">COUNTIFS($F$5:$F$527,J32)</f>
        <v>43</v>
      </c>
    </row>
    <row r="33" customFormat="false" ht="15" hidden="false" customHeight="false" outlineLevel="0" collapsed="false">
      <c r="A33" s="11" t="n">
        <v>42397</v>
      </c>
      <c r="B33" s="11" t="n">
        <v>42411</v>
      </c>
      <c r="C33" s="11" t="n">
        <v>42404</v>
      </c>
      <c r="D33" s="5" t="s">
        <v>26</v>
      </c>
      <c r="E33" s="5" t="s">
        <v>10</v>
      </c>
      <c r="F33" s="5" t="s">
        <v>10</v>
      </c>
      <c r="G33" s="5" t="s">
        <v>40</v>
      </c>
      <c r="H33" s="6" t="n">
        <v>395000</v>
      </c>
      <c r="J33" s="5" t="s">
        <v>12</v>
      </c>
      <c r="K33" s="6" t="n">
        <f aca="false">SUMIFS($H$5:$H$527,$F$5:$F$527,J33,$G$5:$G$527,"Corn")</f>
        <v>0</v>
      </c>
      <c r="L33" s="6" t="n">
        <f aca="false">SUMIFS($H$5:$H$527,$F$5:$F$527,J33,$G$5:$G$527,"Soybean")</f>
        <v>8408000</v>
      </c>
      <c r="M33" s="6" t="n">
        <f aca="false">K33+L33</f>
        <v>8408000</v>
      </c>
      <c r="N33" s="6" t="n">
        <f aca="false">COUNTIFS($F$5:$F$527,J33)</f>
        <v>35</v>
      </c>
    </row>
    <row r="34" customFormat="false" ht="15" hidden="false" customHeight="false" outlineLevel="0" collapsed="false">
      <c r="A34" s="11" t="n">
        <v>42437</v>
      </c>
      <c r="B34" s="11" t="n">
        <v>42453</v>
      </c>
      <c r="C34" s="11" t="n">
        <v>42446</v>
      </c>
      <c r="D34" s="5" t="s">
        <v>26</v>
      </c>
      <c r="E34" s="5" t="s">
        <v>11</v>
      </c>
      <c r="F34" s="5" t="s">
        <v>10</v>
      </c>
      <c r="G34" s="5" t="s">
        <v>40</v>
      </c>
      <c r="H34" s="6" t="n">
        <v>110000</v>
      </c>
      <c r="J34" s="5" t="s">
        <v>13</v>
      </c>
      <c r="K34" s="6" t="n">
        <f aca="false">SUMIFS($H$5:$H$527,$F$5:$F$527,J34,$G$5:$G$527,"Corn")</f>
        <v>300000</v>
      </c>
      <c r="L34" s="6" t="n">
        <f aca="false">SUMIFS($H$5:$H$527,$F$5:$F$527,J34,$G$5:$G$527,"Soybean")</f>
        <v>10858000</v>
      </c>
      <c r="M34" s="6" t="n">
        <f aca="false">K34+L34</f>
        <v>11158000</v>
      </c>
      <c r="N34" s="6" t="n">
        <f aca="false">COUNTIFS($F$5:$F$527,J34)</f>
        <v>16</v>
      </c>
    </row>
    <row r="35" customFormat="false" ht="15" hidden="false" customHeight="false" outlineLevel="0" collapsed="false">
      <c r="A35" s="11" t="n">
        <v>42474</v>
      </c>
      <c r="B35" s="11" t="n">
        <v>42488</v>
      </c>
      <c r="C35" s="11" t="n">
        <v>42481</v>
      </c>
      <c r="D35" s="5" t="s">
        <v>26</v>
      </c>
      <c r="E35" s="5" t="s">
        <v>11</v>
      </c>
      <c r="F35" s="5" t="s">
        <v>10</v>
      </c>
      <c r="G35" s="5" t="s">
        <v>40</v>
      </c>
      <c r="H35" s="6" t="n">
        <v>132000</v>
      </c>
      <c r="J35" s="5" t="s">
        <v>14</v>
      </c>
      <c r="K35" s="6" t="n">
        <f aca="false">SUMIFS($H$5:$H$527,$F$5:$F$527,J35,$G$5:$G$527,"Corn")</f>
        <v>9960000</v>
      </c>
      <c r="L35" s="6" t="n">
        <f aca="false">SUMIFS($H$5:$H$527,$F$5:$F$527,J35,$G$5:$G$527,"Soybean")</f>
        <v>14696000</v>
      </c>
      <c r="M35" s="6" t="n">
        <f aca="false">K35+L35</f>
        <v>24656000</v>
      </c>
      <c r="N35" s="6" t="n">
        <f aca="false">COUNTIFS($F$5:$F$527,J35)</f>
        <v>81</v>
      </c>
    </row>
    <row r="36" customFormat="false" ht="15" hidden="false" customHeight="false" outlineLevel="0" collapsed="false">
      <c r="A36" s="11" t="n">
        <v>42509</v>
      </c>
      <c r="B36" s="11" t="n">
        <v>42523</v>
      </c>
      <c r="C36" s="11" t="n">
        <v>42516</v>
      </c>
      <c r="D36" s="5" t="s">
        <v>26</v>
      </c>
      <c r="E36" s="5" t="s">
        <v>10</v>
      </c>
      <c r="F36" s="5" t="s">
        <v>10</v>
      </c>
      <c r="G36" s="5" t="s">
        <v>40</v>
      </c>
      <c r="H36" s="6" t="n">
        <v>129000</v>
      </c>
      <c r="J36" s="5" t="s">
        <v>15</v>
      </c>
      <c r="K36" s="6" t="n">
        <f aca="false">SUMIFS($H$5:$H$527,$F$5:$F$527,J36,$G$5:$G$527,"Corn")</f>
        <v>22744000</v>
      </c>
      <c r="L36" s="6" t="n">
        <f aca="false">SUMIFS($H$5:$H$527,$F$5:$F$527,J36,$G$5:$G$527,"Soybean")</f>
        <v>8711000</v>
      </c>
      <c r="M36" s="6" t="n">
        <f aca="false">K36+L36</f>
        <v>31455000</v>
      </c>
      <c r="N36" s="6" t="n">
        <f aca="false">COUNTIFS($F$5:$F$527,J36)</f>
        <v>68</v>
      </c>
    </row>
    <row r="37" customFormat="false" ht="15" hidden="false" customHeight="false" outlineLevel="0" collapsed="false">
      <c r="A37" s="11" t="n">
        <v>42517</v>
      </c>
      <c r="B37" s="11" t="n">
        <v>42537</v>
      </c>
      <c r="C37" s="11" t="n">
        <v>42530</v>
      </c>
      <c r="D37" s="5" t="s">
        <v>26</v>
      </c>
      <c r="E37" s="5" t="s">
        <v>11</v>
      </c>
      <c r="F37" s="5" t="s">
        <v>10</v>
      </c>
      <c r="G37" s="5" t="s">
        <v>40</v>
      </c>
      <c r="H37" s="6" t="n">
        <v>110000</v>
      </c>
      <c r="J37" s="5" t="s">
        <v>16</v>
      </c>
      <c r="K37" s="6" t="n">
        <f aca="false">SUMIFS($H$5:$H$527,$F$5:$F$527,J37,$G$5:$G$527,"Corn")</f>
        <v>5797000</v>
      </c>
      <c r="L37" s="6" t="n">
        <f aca="false">SUMIFS($H$5:$H$527,$F$5:$F$527,J37,$G$5:$G$527,"Soybean")</f>
        <v>9875000</v>
      </c>
      <c r="M37" s="6" t="n">
        <f aca="false">K37+L37</f>
        <v>15672000</v>
      </c>
      <c r="N37" s="6" t="n">
        <f aca="false">COUNTIFS($F$5:$F$527,J37)</f>
        <v>76</v>
      </c>
    </row>
    <row r="38" customFormat="false" ht="15" hidden="false" customHeight="false" outlineLevel="0" collapsed="false">
      <c r="A38" s="11" t="n">
        <v>42528</v>
      </c>
      <c r="B38" s="11" t="n">
        <v>42544</v>
      </c>
      <c r="C38" s="11" t="n">
        <v>42537</v>
      </c>
      <c r="D38" s="5" t="s">
        <v>26</v>
      </c>
      <c r="E38" s="5" t="s">
        <v>11</v>
      </c>
      <c r="F38" s="5" t="s">
        <v>10</v>
      </c>
      <c r="G38" s="5" t="s">
        <v>40</v>
      </c>
      <c r="H38" s="6" t="n">
        <v>180000</v>
      </c>
      <c r="J38" s="5" t="s">
        <v>17</v>
      </c>
      <c r="K38" s="6" t="n">
        <f aca="false">SUMIFS($H$5:$H$527,$F$5:$F$527,J38,$G$5:$G$527,"Corn")</f>
        <v>5083000</v>
      </c>
      <c r="L38" s="6" t="n">
        <f aca="false">SUMIFS($H$5:$H$527,$F$5:$F$527,J38,$G$5:$G$527,"Soybean")</f>
        <v>4390700</v>
      </c>
      <c r="M38" s="6" t="n">
        <f aca="false">K38+L38</f>
        <v>9473700</v>
      </c>
      <c r="N38" s="6" t="n">
        <f aca="false">COUNTIFS($F$5:$F$527,J38)</f>
        <v>42</v>
      </c>
    </row>
    <row r="39" customFormat="false" ht="15" hidden="false" customHeight="false" outlineLevel="0" collapsed="false">
      <c r="A39" s="11" t="n">
        <v>42529</v>
      </c>
      <c r="B39" s="11" t="n">
        <v>42544</v>
      </c>
      <c r="C39" s="11" t="n">
        <v>42537</v>
      </c>
      <c r="D39" s="5" t="s">
        <v>26</v>
      </c>
      <c r="E39" s="5" t="s">
        <v>10</v>
      </c>
      <c r="F39" s="5" t="s">
        <v>10</v>
      </c>
      <c r="G39" s="5" t="s">
        <v>40</v>
      </c>
      <c r="H39" s="6" t="n">
        <v>132000</v>
      </c>
      <c r="J39" s="5" t="s">
        <v>18</v>
      </c>
      <c r="K39" s="6" t="n">
        <f aca="false">SUMIFS($H$5:$H$527,$F$5:$F$527,J39,$G$5:$G$527,"Corn")</f>
        <v>0</v>
      </c>
      <c r="L39" s="6" t="n">
        <f aca="false">SUMIFS($H$5:$H$527,$F$5:$F$527,J39,$G$5:$G$527,"Soybean")</f>
        <v>6247000</v>
      </c>
      <c r="M39" s="6" t="n">
        <f aca="false">K39+L39</f>
        <v>6247000</v>
      </c>
      <c r="N39" s="6" t="n">
        <f aca="false">COUNTIFS($F$5:$F$527,J39)</f>
        <v>33</v>
      </c>
    </row>
    <row r="40" customFormat="false" ht="15" hidden="false" customHeight="false" outlineLevel="0" collapsed="false">
      <c r="A40" s="11" t="n">
        <v>42530</v>
      </c>
      <c r="B40" s="11" t="n">
        <v>42544</v>
      </c>
      <c r="C40" s="11" t="n">
        <v>42537</v>
      </c>
      <c r="D40" s="5" t="s">
        <v>26</v>
      </c>
      <c r="E40" s="5" t="s">
        <v>11</v>
      </c>
      <c r="F40" s="5" t="s">
        <v>10</v>
      </c>
      <c r="G40" s="5" t="s">
        <v>40</v>
      </c>
      <c r="H40" s="6" t="n">
        <v>240000</v>
      </c>
      <c r="J40" s="5" t="s">
        <v>19</v>
      </c>
      <c r="K40" s="6" t="n">
        <f aca="false">SUMIFS($H$5:$H$527,$F$5:$F$527,J40,$G$5:$G$527,"Corn")</f>
        <v>0</v>
      </c>
      <c r="L40" s="6" t="n">
        <f aca="false">SUMIFS($H$5:$H$527,$F$5:$F$527,J40,$G$5:$G$527,"Soybean")</f>
        <v>3350000</v>
      </c>
      <c r="M40" s="6" t="n">
        <f aca="false">K40+L40</f>
        <v>3350000</v>
      </c>
      <c r="N40" s="6" t="n">
        <f aca="false">COUNTIFS($F$5:$F$527,J40)</f>
        <v>23</v>
      </c>
    </row>
    <row r="41" customFormat="false" ht="15" hidden="false" customHeight="false" outlineLevel="0" collapsed="false">
      <c r="A41" s="11" t="n">
        <v>42538</v>
      </c>
      <c r="B41" s="11" t="n">
        <v>42558</v>
      </c>
      <c r="C41" s="11" t="n">
        <v>42551</v>
      </c>
      <c r="D41" s="5" t="s">
        <v>26</v>
      </c>
      <c r="E41" s="5" t="s">
        <v>10</v>
      </c>
      <c r="F41" s="5" t="s">
        <v>10</v>
      </c>
      <c r="G41" s="5" t="s">
        <v>40</v>
      </c>
      <c r="H41" s="6" t="n">
        <v>66000</v>
      </c>
      <c r="J41" s="5" t="s">
        <v>20</v>
      </c>
      <c r="K41" s="6" t="n">
        <f aca="false">SUMIFS($H$5:$H$527,$F$5:$F$527,J41,$G$5:$G$527,"Corn")</f>
        <v>0</v>
      </c>
      <c r="L41" s="6" t="n">
        <f aca="false">SUMIFS($H$5:$H$527,$F$5:$F$527,J41,$G$5:$G$527,"Soybean")</f>
        <v>10807000</v>
      </c>
      <c r="M41" s="6" t="n">
        <f aca="false">K41+L41</f>
        <v>10807000</v>
      </c>
      <c r="N41" s="6" t="n">
        <f aca="false">COUNTIFS($F$5:$F$527,J41)</f>
        <v>46</v>
      </c>
    </row>
    <row r="42" customFormat="false" ht="15" hidden="false" customHeight="false" outlineLevel="0" collapsed="false">
      <c r="A42" s="11" t="n">
        <v>42538</v>
      </c>
      <c r="B42" s="11" t="n">
        <v>42558</v>
      </c>
      <c r="C42" s="11" t="n">
        <v>42551</v>
      </c>
      <c r="D42" s="5" t="s">
        <v>26</v>
      </c>
      <c r="E42" s="5" t="s">
        <v>11</v>
      </c>
      <c r="F42" s="5" t="s">
        <v>10</v>
      </c>
      <c r="G42" s="5" t="s">
        <v>40</v>
      </c>
      <c r="H42" s="6" t="n">
        <v>63000</v>
      </c>
      <c r="J42" s="5" t="s">
        <v>21</v>
      </c>
      <c r="K42" s="6" t="n">
        <f aca="false">SUMIFS($H$5:$H$527,$F$5:$F$527,J42,$G$5:$G$527,"Corn")</f>
        <v>0</v>
      </c>
      <c r="L42" s="6" t="n">
        <f aca="false">SUMIFS($H$5:$H$527,$F$5:$F$527,J42,$G$5:$G$527,"Soybean")</f>
        <v>1253000</v>
      </c>
      <c r="M42" s="6" t="n">
        <f aca="false">K42+L42</f>
        <v>1253000</v>
      </c>
      <c r="N42" s="6" t="n">
        <f aca="false">COUNTIFS($F$5:$F$527,J42)</f>
        <v>6</v>
      </c>
    </row>
    <row r="43" customFormat="false" ht="15" hidden="false" customHeight="false" outlineLevel="0" collapsed="false">
      <c r="A43" s="11" t="n">
        <v>42542</v>
      </c>
      <c r="B43" s="11" t="n">
        <v>42558</v>
      </c>
      <c r="C43" s="11" t="n">
        <v>42551</v>
      </c>
      <c r="D43" s="5" t="s">
        <v>26</v>
      </c>
      <c r="E43" s="5" t="s">
        <v>11</v>
      </c>
      <c r="F43" s="5" t="s">
        <v>10</v>
      </c>
      <c r="G43" s="5" t="s">
        <v>40</v>
      </c>
      <c r="H43" s="6" t="n">
        <v>132000</v>
      </c>
      <c r="J43" s="8" t="s">
        <v>24</v>
      </c>
      <c r="K43" s="9" t="n">
        <f aca="false">SUM(K27:K42)</f>
        <v>44964000</v>
      </c>
      <c r="L43" s="9" t="n">
        <f aca="false">SUM(L27:L42)</f>
        <v>102951270</v>
      </c>
      <c r="M43" s="9" t="n">
        <f aca="false">SUM(M27:M42)</f>
        <v>147915270</v>
      </c>
      <c r="N43" s="9" t="n">
        <f aca="false">SUM(N27:N42)</f>
        <v>523</v>
      </c>
    </row>
    <row r="44" customFormat="false" ht="15" hidden="false" customHeight="false" outlineLevel="0" collapsed="false">
      <c r="A44" s="11" t="n">
        <v>42558</v>
      </c>
      <c r="B44" s="11" t="n">
        <v>42572</v>
      </c>
      <c r="C44" s="11" t="n">
        <v>42565</v>
      </c>
      <c r="D44" s="5" t="s">
        <v>26</v>
      </c>
      <c r="E44" s="5" t="s">
        <v>11</v>
      </c>
      <c r="F44" s="5" t="s">
        <v>10</v>
      </c>
      <c r="G44" s="5" t="s">
        <v>40</v>
      </c>
      <c r="H44" s="6" t="n">
        <v>120000</v>
      </c>
    </row>
    <row r="45" customFormat="false" ht="15" hidden="false" customHeight="false" outlineLevel="0" collapsed="false">
      <c r="A45" s="11" t="n">
        <v>42578</v>
      </c>
      <c r="B45" s="11" t="n">
        <v>42593</v>
      </c>
      <c r="C45" s="11" t="n">
        <v>42586</v>
      </c>
      <c r="D45" s="5" t="s">
        <v>26</v>
      </c>
      <c r="E45" s="5" t="s">
        <v>10</v>
      </c>
      <c r="F45" s="5" t="s">
        <v>10</v>
      </c>
      <c r="G45" s="5" t="s">
        <v>40</v>
      </c>
      <c r="H45" s="6" t="n">
        <v>65000</v>
      </c>
    </row>
    <row r="46" customFormat="false" ht="15" hidden="false" customHeight="false" outlineLevel="0" collapsed="false">
      <c r="A46" s="11" t="n">
        <v>42578</v>
      </c>
      <c r="B46" s="11" t="n">
        <v>42593</v>
      </c>
      <c r="C46" s="11" t="n">
        <v>42586</v>
      </c>
      <c r="D46" s="5" t="s">
        <v>26</v>
      </c>
      <c r="E46" s="5" t="s">
        <v>11</v>
      </c>
      <c r="F46" s="5" t="s">
        <v>10</v>
      </c>
      <c r="G46" s="5" t="s">
        <v>40</v>
      </c>
      <c r="H46" s="6" t="n">
        <v>66000</v>
      </c>
    </row>
    <row r="47" customFormat="false" ht="15" hidden="false" customHeight="false" outlineLevel="0" collapsed="false">
      <c r="A47" s="11" t="n">
        <v>42579</v>
      </c>
      <c r="B47" s="11" t="n">
        <v>42593</v>
      </c>
      <c r="C47" s="11" t="n">
        <v>42586</v>
      </c>
      <c r="D47" s="5" t="s">
        <v>26</v>
      </c>
      <c r="E47" s="5" t="s">
        <v>10</v>
      </c>
      <c r="F47" s="5" t="s">
        <v>10</v>
      </c>
      <c r="G47" s="5" t="s">
        <v>40</v>
      </c>
      <c r="H47" s="6" t="n">
        <v>66000</v>
      </c>
    </row>
    <row r="48" customFormat="false" ht="15" hidden="false" customHeight="false" outlineLevel="0" collapsed="false">
      <c r="A48" s="11" t="n">
        <v>42579</v>
      </c>
      <c r="B48" s="11" t="n">
        <v>42593</v>
      </c>
      <c r="C48" s="11" t="n">
        <v>42586</v>
      </c>
      <c r="D48" s="5" t="s">
        <v>26</v>
      </c>
      <c r="E48" s="5" t="s">
        <v>11</v>
      </c>
      <c r="F48" s="5" t="s">
        <v>10</v>
      </c>
      <c r="G48" s="5" t="s">
        <v>40</v>
      </c>
      <c r="H48" s="6" t="n">
        <v>63000</v>
      </c>
    </row>
    <row r="49" customFormat="false" ht="15" hidden="false" customHeight="false" outlineLevel="0" collapsed="false">
      <c r="A49" s="11" t="n">
        <v>42584</v>
      </c>
      <c r="B49" s="11" t="n">
        <v>42600</v>
      </c>
      <c r="C49" s="11" t="n">
        <v>42593</v>
      </c>
      <c r="D49" s="5" t="s">
        <v>26</v>
      </c>
      <c r="E49" s="5" t="s">
        <v>11</v>
      </c>
      <c r="F49" s="5" t="s">
        <v>10</v>
      </c>
      <c r="G49" s="5" t="s">
        <v>40</v>
      </c>
      <c r="H49" s="6" t="n">
        <v>252000</v>
      </c>
    </row>
    <row r="50" customFormat="false" ht="15" hidden="false" customHeight="false" outlineLevel="0" collapsed="false">
      <c r="A50" s="11" t="n">
        <v>42585</v>
      </c>
      <c r="B50" s="11" t="n">
        <v>42600</v>
      </c>
      <c r="C50" s="11" t="n">
        <v>42593</v>
      </c>
      <c r="D50" s="5" t="s">
        <v>26</v>
      </c>
      <c r="E50" s="5" t="s">
        <v>11</v>
      </c>
      <c r="F50" s="5" t="s">
        <v>10</v>
      </c>
      <c r="G50" s="5" t="s">
        <v>40</v>
      </c>
      <c r="H50" s="6" t="n">
        <v>441000</v>
      </c>
    </row>
    <row r="51" customFormat="false" ht="15" hidden="false" customHeight="false" outlineLevel="0" collapsed="false">
      <c r="A51" s="11" t="n">
        <v>42586</v>
      </c>
      <c r="B51" s="11" t="n">
        <v>42600</v>
      </c>
      <c r="C51" s="11" t="n">
        <v>42593</v>
      </c>
      <c r="D51" s="5" t="s">
        <v>26</v>
      </c>
      <c r="E51" s="5" t="s">
        <v>11</v>
      </c>
      <c r="F51" s="5" t="s">
        <v>10</v>
      </c>
      <c r="G51" s="5" t="s">
        <v>40</v>
      </c>
      <c r="H51" s="6" t="n">
        <v>252000</v>
      </c>
    </row>
    <row r="52" customFormat="false" ht="15" hidden="false" customHeight="false" outlineLevel="0" collapsed="false">
      <c r="A52" s="11" t="n">
        <v>42587</v>
      </c>
      <c r="B52" s="11" t="n">
        <v>42607</v>
      </c>
      <c r="C52" s="11" t="n">
        <v>42600</v>
      </c>
      <c r="D52" s="5" t="s">
        <v>26</v>
      </c>
      <c r="E52" s="5" t="s">
        <v>11</v>
      </c>
      <c r="F52" s="5" t="s">
        <v>10</v>
      </c>
      <c r="G52" s="5" t="s">
        <v>40</v>
      </c>
      <c r="H52" s="6" t="n">
        <v>498000</v>
      </c>
    </row>
    <row r="53" customFormat="false" ht="15" hidden="false" customHeight="false" outlineLevel="0" collapsed="false">
      <c r="A53" s="11" t="n">
        <v>42590</v>
      </c>
      <c r="B53" s="11" t="n">
        <v>42607</v>
      </c>
      <c r="C53" s="11" t="n">
        <v>42600</v>
      </c>
      <c r="D53" s="5" t="s">
        <v>26</v>
      </c>
      <c r="E53" s="5" t="s">
        <v>11</v>
      </c>
      <c r="F53" s="5" t="s">
        <v>10</v>
      </c>
      <c r="G53" s="5" t="s">
        <v>40</v>
      </c>
      <c r="H53" s="6" t="n">
        <v>246000</v>
      </c>
    </row>
    <row r="54" customFormat="false" ht="15" hidden="false" customHeight="false" outlineLevel="0" collapsed="false">
      <c r="A54" s="11" t="n">
        <v>42593</v>
      </c>
      <c r="B54" s="11" t="n">
        <v>42607</v>
      </c>
      <c r="C54" s="11" t="n">
        <v>42600</v>
      </c>
      <c r="D54" s="5" t="s">
        <v>26</v>
      </c>
      <c r="E54" s="5" t="s">
        <v>11</v>
      </c>
      <c r="F54" s="5" t="s">
        <v>10</v>
      </c>
      <c r="G54" s="5" t="s">
        <v>40</v>
      </c>
      <c r="H54" s="6" t="n">
        <v>120000</v>
      </c>
    </row>
    <row r="55" customFormat="false" ht="15" hidden="false" customHeight="false" outlineLevel="0" collapsed="false">
      <c r="A55" s="11" t="n">
        <v>42594</v>
      </c>
      <c r="B55" s="11" t="n">
        <v>42614</v>
      </c>
      <c r="C55" s="11" t="n">
        <v>42607</v>
      </c>
      <c r="D55" s="5" t="s">
        <v>26</v>
      </c>
      <c r="E55" s="5" t="s">
        <v>11</v>
      </c>
      <c r="F55" s="5" t="s">
        <v>10</v>
      </c>
      <c r="G55" s="5" t="s">
        <v>40</v>
      </c>
      <c r="H55" s="6" t="n">
        <v>258000</v>
      </c>
    </row>
    <row r="56" customFormat="false" ht="15" hidden="false" customHeight="false" outlineLevel="0" collapsed="false">
      <c r="A56" s="11" t="n">
        <v>42598</v>
      </c>
      <c r="B56" s="11" t="n">
        <v>42614</v>
      </c>
      <c r="C56" s="11" t="n">
        <v>42607</v>
      </c>
      <c r="D56" s="5" t="s">
        <v>26</v>
      </c>
      <c r="E56" s="5" t="s">
        <v>11</v>
      </c>
      <c r="F56" s="5" t="s">
        <v>10</v>
      </c>
      <c r="G56" s="5" t="s">
        <v>40</v>
      </c>
      <c r="H56" s="6" t="n">
        <v>119000</v>
      </c>
    </row>
    <row r="57" customFormat="false" ht="15" hidden="false" customHeight="false" outlineLevel="0" collapsed="false">
      <c r="A57" s="11" t="n">
        <v>42599</v>
      </c>
      <c r="B57" s="11" t="n">
        <v>42614</v>
      </c>
      <c r="C57" s="11" t="n">
        <v>42607</v>
      </c>
      <c r="D57" s="5" t="s">
        <v>26</v>
      </c>
      <c r="E57" s="5" t="s">
        <v>11</v>
      </c>
      <c r="F57" s="5" t="s">
        <v>10</v>
      </c>
      <c r="G57" s="5" t="s">
        <v>40</v>
      </c>
      <c r="H57" s="6" t="n">
        <v>381000</v>
      </c>
    </row>
    <row r="58" customFormat="false" ht="15" hidden="false" customHeight="false" outlineLevel="0" collapsed="false">
      <c r="A58" s="11" t="n">
        <v>42613</v>
      </c>
      <c r="B58" s="11" t="n">
        <v>42628</v>
      </c>
      <c r="C58" s="11" t="n">
        <v>42621</v>
      </c>
      <c r="D58" s="5" t="s">
        <v>26</v>
      </c>
      <c r="E58" s="5" t="s">
        <v>11</v>
      </c>
      <c r="F58" s="5" t="s">
        <v>10</v>
      </c>
      <c r="G58" s="5" t="s">
        <v>40</v>
      </c>
      <c r="H58" s="6" t="n">
        <v>187000</v>
      </c>
    </row>
    <row r="59" customFormat="false" ht="15" hidden="false" customHeight="false" outlineLevel="0" collapsed="false">
      <c r="A59" s="11" t="n">
        <v>42620</v>
      </c>
      <c r="B59" s="11" t="n">
        <v>42635</v>
      </c>
      <c r="C59" s="11" t="n">
        <v>42628</v>
      </c>
      <c r="D59" s="5" t="s">
        <v>26</v>
      </c>
      <c r="E59" s="5" t="s">
        <v>11</v>
      </c>
      <c r="F59" s="5" t="s">
        <v>11</v>
      </c>
      <c r="G59" s="5" t="s">
        <v>40</v>
      </c>
      <c r="H59" s="6" t="n">
        <v>220000</v>
      </c>
    </row>
    <row r="60" customFormat="false" ht="15" hidden="false" customHeight="false" outlineLevel="0" collapsed="false">
      <c r="A60" s="11" t="n">
        <v>42633</v>
      </c>
      <c r="B60" s="11" t="n">
        <v>42649</v>
      </c>
      <c r="C60" s="11" t="n">
        <v>42642</v>
      </c>
      <c r="D60" s="5" t="s">
        <v>26</v>
      </c>
      <c r="E60" s="5" t="s">
        <v>11</v>
      </c>
      <c r="F60" s="5" t="s">
        <v>11</v>
      </c>
      <c r="G60" s="5" t="s">
        <v>40</v>
      </c>
      <c r="H60" s="6" t="n">
        <v>110000</v>
      </c>
    </row>
    <row r="61" customFormat="false" ht="15" hidden="false" customHeight="false" outlineLevel="0" collapsed="false">
      <c r="A61" s="11" t="n">
        <v>42634</v>
      </c>
      <c r="B61" s="11" t="n">
        <v>42649</v>
      </c>
      <c r="C61" s="11" t="n">
        <v>42642</v>
      </c>
      <c r="D61" s="5" t="s">
        <v>26</v>
      </c>
      <c r="E61" s="5" t="s">
        <v>11</v>
      </c>
      <c r="F61" s="5" t="s">
        <v>11</v>
      </c>
      <c r="G61" s="5" t="s">
        <v>40</v>
      </c>
      <c r="H61" s="6" t="n">
        <v>120000</v>
      </c>
    </row>
    <row r="62" customFormat="false" ht="15" hidden="false" customHeight="false" outlineLevel="0" collapsed="false">
      <c r="A62" s="11" t="n">
        <v>42635</v>
      </c>
      <c r="B62" s="11" t="n">
        <v>42649</v>
      </c>
      <c r="C62" s="11" t="n">
        <v>42642</v>
      </c>
      <c r="D62" s="5" t="s">
        <v>26</v>
      </c>
      <c r="E62" s="5" t="s">
        <v>11</v>
      </c>
      <c r="F62" s="5" t="s">
        <v>11</v>
      </c>
      <c r="G62" s="5" t="s">
        <v>40</v>
      </c>
      <c r="H62" s="6" t="n">
        <v>240000</v>
      </c>
    </row>
    <row r="63" customFormat="false" ht="15" hidden="false" customHeight="false" outlineLevel="0" collapsed="false">
      <c r="A63" s="11" t="n">
        <v>42640</v>
      </c>
      <c r="B63" s="11" t="n">
        <v>42656</v>
      </c>
      <c r="C63" s="11" t="n">
        <v>42649</v>
      </c>
      <c r="D63" s="5" t="s">
        <v>26</v>
      </c>
      <c r="E63" s="5" t="s">
        <v>11</v>
      </c>
      <c r="F63" s="5" t="s">
        <v>11</v>
      </c>
      <c r="G63" s="5" t="s">
        <v>40</v>
      </c>
      <c r="H63" s="6" t="n">
        <v>120000</v>
      </c>
    </row>
    <row r="64" customFormat="false" ht="15" hidden="false" customHeight="false" outlineLevel="0" collapsed="false">
      <c r="A64" s="11" t="n">
        <v>42641</v>
      </c>
      <c r="B64" s="11" t="n">
        <v>42656</v>
      </c>
      <c r="C64" s="11" t="n">
        <v>42649</v>
      </c>
      <c r="D64" s="5" t="s">
        <v>26</v>
      </c>
      <c r="E64" s="5" t="s">
        <v>11</v>
      </c>
      <c r="F64" s="5" t="s">
        <v>11</v>
      </c>
      <c r="G64" s="5" t="s">
        <v>40</v>
      </c>
      <c r="H64" s="6" t="n">
        <v>133000</v>
      </c>
    </row>
    <row r="65" customFormat="false" ht="15" hidden="false" customHeight="false" outlineLevel="0" collapsed="false">
      <c r="A65" s="11" t="n">
        <v>42642</v>
      </c>
      <c r="B65" s="11" t="n">
        <v>42656</v>
      </c>
      <c r="C65" s="11" t="n">
        <v>42649</v>
      </c>
      <c r="D65" s="5" t="s">
        <v>26</v>
      </c>
      <c r="E65" s="5" t="s">
        <v>11</v>
      </c>
      <c r="F65" s="5" t="s">
        <v>11</v>
      </c>
      <c r="G65" s="5" t="s">
        <v>40</v>
      </c>
      <c r="H65" s="6" t="n">
        <v>120000</v>
      </c>
    </row>
    <row r="66" customFormat="false" ht="15" hidden="false" customHeight="false" outlineLevel="0" collapsed="false">
      <c r="A66" s="11" t="n">
        <v>42643</v>
      </c>
      <c r="B66" s="11" t="n">
        <v>42663</v>
      </c>
      <c r="C66" s="11" t="n">
        <v>42656</v>
      </c>
      <c r="D66" s="5" t="s">
        <v>26</v>
      </c>
      <c r="E66" s="5" t="s">
        <v>11</v>
      </c>
      <c r="F66" s="5" t="s">
        <v>11</v>
      </c>
      <c r="G66" s="5" t="s">
        <v>40</v>
      </c>
      <c r="H66" s="6" t="n">
        <v>118000</v>
      </c>
    </row>
    <row r="67" customFormat="false" ht="15" hidden="false" customHeight="false" outlineLevel="0" collapsed="false">
      <c r="A67" s="11" t="n">
        <v>42655</v>
      </c>
      <c r="B67" s="11" t="n">
        <v>42670</v>
      </c>
      <c r="C67" s="11" t="n">
        <v>42663</v>
      </c>
      <c r="D67" s="5" t="s">
        <v>26</v>
      </c>
      <c r="E67" s="5" t="s">
        <v>11</v>
      </c>
      <c r="F67" s="5" t="s">
        <v>11</v>
      </c>
      <c r="G67" s="5" t="s">
        <v>40</v>
      </c>
      <c r="H67" s="6" t="n">
        <v>115000</v>
      </c>
    </row>
    <row r="68" customFormat="false" ht="15" hidden="false" customHeight="false" outlineLevel="0" collapsed="false">
      <c r="A68" s="11" t="n">
        <v>42656</v>
      </c>
      <c r="B68" s="11" t="n">
        <v>42670</v>
      </c>
      <c r="C68" s="11" t="n">
        <v>42663</v>
      </c>
      <c r="D68" s="5" t="s">
        <v>26</v>
      </c>
      <c r="E68" s="5" t="s">
        <v>11</v>
      </c>
      <c r="F68" s="5" t="s">
        <v>11</v>
      </c>
      <c r="G68" s="5" t="s">
        <v>40</v>
      </c>
      <c r="H68" s="6" t="n">
        <v>126000</v>
      </c>
    </row>
    <row r="69" customFormat="false" ht="15" hidden="false" customHeight="false" outlineLevel="0" collapsed="false">
      <c r="A69" s="11" t="n">
        <v>42661</v>
      </c>
      <c r="B69" s="11" t="n">
        <v>42677</v>
      </c>
      <c r="C69" s="11" t="n">
        <v>42670</v>
      </c>
      <c r="D69" s="5" t="s">
        <v>26</v>
      </c>
      <c r="E69" s="5" t="s">
        <v>11</v>
      </c>
      <c r="F69" s="5" t="s">
        <v>11</v>
      </c>
      <c r="G69" s="5" t="s">
        <v>40</v>
      </c>
      <c r="H69" s="6" t="n">
        <v>706500</v>
      </c>
    </row>
    <row r="70" customFormat="false" ht="15" hidden="false" customHeight="false" outlineLevel="0" collapsed="false">
      <c r="A70" s="11" t="n">
        <v>42668</v>
      </c>
      <c r="B70" s="11" t="n">
        <v>42684</v>
      </c>
      <c r="C70" s="11" t="n">
        <v>42677</v>
      </c>
      <c r="D70" s="5" t="s">
        <v>26</v>
      </c>
      <c r="E70" s="5" t="s">
        <v>11</v>
      </c>
      <c r="F70" s="5" t="s">
        <v>11</v>
      </c>
      <c r="G70" s="5" t="s">
        <v>40</v>
      </c>
      <c r="H70" s="6" t="n">
        <v>516000</v>
      </c>
    </row>
    <row r="71" customFormat="false" ht="15" hidden="false" customHeight="false" outlineLevel="0" collapsed="false">
      <c r="A71" s="11" t="n">
        <v>42670</v>
      </c>
      <c r="B71" s="11" t="n">
        <v>42684</v>
      </c>
      <c r="C71" s="11" t="n">
        <v>42677</v>
      </c>
      <c r="D71" s="5" t="s">
        <v>26</v>
      </c>
      <c r="E71" s="5" t="s">
        <v>11</v>
      </c>
      <c r="F71" s="5" t="s">
        <v>11</v>
      </c>
      <c r="G71" s="5" t="s">
        <v>40</v>
      </c>
      <c r="H71" s="6" t="n">
        <v>396000</v>
      </c>
    </row>
    <row r="72" customFormat="false" ht="15" hidden="false" customHeight="false" outlineLevel="0" collapsed="false">
      <c r="A72" s="11" t="n">
        <v>42674</v>
      </c>
      <c r="B72" s="11" t="n">
        <v>42691</v>
      </c>
      <c r="C72" s="11" t="n">
        <v>42684</v>
      </c>
      <c r="D72" s="5" t="s">
        <v>26</v>
      </c>
      <c r="E72" s="5" t="s">
        <v>11</v>
      </c>
      <c r="F72" s="5" t="s">
        <v>11</v>
      </c>
      <c r="G72" s="5" t="s">
        <v>40</v>
      </c>
      <c r="H72" s="6" t="n">
        <v>528000</v>
      </c>
    </row>
    <row r="73" customFormat="false" ht="15" hidden="false" customHeight="false" outlineLevel="0" collapsed="false">
      <c r="A73" s="11" t="n">
        <v>42676</v>
      </c>
      <c r="B73" s="11" t="n">
        <v>42691</v>
      </c>
      <c r="C73" s="11" t="n">
        <v>42684</v>
      </c>
      <c r="D73" s="5" t="s">
        <v>26</v>
      </c>
      <c r="E73" s="5" t="s">
        <v>11</v>
      </c>
      <c r="F73" s="5" t="s">
        <v>11</v>
      </c>
      <c r="G73" s="5" t="s">
        <v>40</v>
      </c>
      <c r="H73" s="6" t="n">
        <v>132000</v>
      </c>
    </row>
    <row r="74" customFormat="false" ht="15" hidden="false" customHeight="false" outlineLevel="0" collapsed="false">
      <c r="A74" s="11" t="n">
        <v>42681</v>
      </c>
      <c r="B74" s="11" t="n">
        <v>42698</v>
      </c>
      <c r="C74" s="11" t="n">
        <v>42691</v>
      </c>
      <c r="D74" s="5" t="s">
        <v>26</v>
      </c>
      <c r="E74" s="5" t="s">
        <v>11</v>
      </c>
      <c r="F74" s="5" t="s">
        <v>11</v>
      </c>
      <c r="G74" s="5" t="s">
        <v>40</v>
      </c>
      <c r="H74" s="6" t="n">
        <v>132000</v>
      </c>
    </row>
    <row r="75" customFormat="false" ht="15" hidden="false" customHeight="false" outlineLevel="0" collapsed="false">
      <c r="A75" s="11" t="n">
        <v>42684</v>
      </c>
      <c r="B75" s="11" t="n">
        <v>42698</v>
      </c>
      <c r="C75" s="11" t="n">
        <v>42691</v>
      </c>
      <c r="D75" s="5" t="s">
        <v>26</v>
      </c>
      <c r="E75" s="5" t="s">
        <v>11</v>
      </c>
      <c r="F75" s="5" t="s">
        <v>11</v>
      </c>
      <c r="G75" s="5" t="s">
        <v>40</v>
      </c>
      <c r="H75" s="6" t="n">
        <v>126000</v>
      </c>
    </row>
    <row r="76" customFormat="false" ht="15" hidden="false" customHeight="false" outlineLevel="0" collapsed="false">
      <c r="A76" s="11" t="n">
        <v>42688</v>
      </c>
      <c r="B76" s="11" t="n">
        <v>42705</v>
      </c>
      <c r="C76" s="11" t="n">
        <v>42698</v>
      </c>
      <c r="D76" s="5" t="s">
        <v>26</v>
      </c>
      <c r="E76" s="5" t="s">
        <v>11</v>
      </c>
      <c r="F76" s="5" t="s">
        <v>11</v>
      </c>
      <c r="G76" s="5" t="s">
        <v>40</v>
      </c>
      <c r="H76" s="6" t="n">
        <v>324000</v>
      </c>
    </row>
    <row r="77" customFormat="false" ht="15" hidden="false" customHeight="false" outlineLevel="0" collapsed="false">
      <c r="A77" s="11" t="n">
        <v>42689</v>
      </c>
      <c r="B77" s="11" t="n">
        <v>42705</v>
      </c>
      <c r="C77" s="11" t="n">
        <v>42698</v>
      </c>
      <c r="D77" s="5" t="s">
        <v>26</v>
      </c>
      <c r="E77" s="5" t="s">
        <v>11</v>
      </c>
      <c r="F77" s="5" t="s">
        <v>11</v>
      </c>
      <c r="G77" s="5" t="s">
        <v>40</v>
      </c>
      <c r="H77" s="6" t="n">
        <v>121500</v>
      </c>
    </row>
    <row r="78" customFormat="false" ht="15" hidden="false" customHeight="false" outlineLevel="0" collapsed="false">
      <c r="A78" s="11" t="n">
        <v>42690</v>
      </c>
      <c r="B78" s="11" t="n">
        <v>42705</v>
      </c>
      <c r="C78" s="11" t="n">
        <v>42698</v>
      </c>
      <c r="D78" s="5" t="s">
        <v>26</v>
      </c>
      <c r="E78" s="5" t="s">
        <v>11</v>
      </c>
      <c r="F78" s="5" t="s">
        <v>11</v>
      </c>
      <c r="G78" s="5" t="s">
        <v>40</v>
      </c>
      <c r="H78" s="6" t="n">
        <v>165000</v>
      </c>
    </row>
    <row r="79" customFormat="false" ht="15" hidden="false" customHeight="false" outlineLevel="0" collapsed="false">
      <c r="A79" s="11" t="n">
        <v>42692</v>
      </c>
      <c r="B79" s="11" t="n">
        <v>42712</v>
      </c>
      <c r="C79" s="11" t="n">
        <v>42705</v>
      </c>
      <c r="D79" s="5" t="s">
        <v>26</v>
      </c>
      <c r="E79" s="5" t="s">
        <v>11</v>
      </c>
      <c r="F79" s="5" t="s">
        <v>11</v>
      </c>
      <c r="G79" s="5" t="s">
        <v>40</v>
      </c>
      <c r="H79" s="6" t="n">
        <v>165000</v>
      </c>
    </row>
    <row r="80" customFormat="false" ht="15" hidden="false" customHeight="false" outlineLevel="0" collapsed="false">
      <c r="A80" s="11" t="n">
        <v>42704</v>
      </c>
      <c r="B80" s="11" t="n">
        <v>42719</v>
      </c>
      <c r="C80" s="11" t="n">
        <v>42712</v>
      </c>
      <c r="D80" s="5" t="s">
        <v>26</v>
      </c>
      <c r="E80" s="5" t="s">
        <v>11</v>
      </c>
      <c r="F80" s="5" t="s">
        <v>11</v>
      </c>
      <c r="G80" s="5" t="s">
        <v>40</v>
      </c>
      <c r="H80" s="6" t="n">
        <v>123000</v>
      </c>
    </row>
    <row r="81" customFormat="false" ht="15" hidden="false" customHeight="false" outlineLevel="0" collapsed="false">
      <c r="A81" s="11" t="n">
        <v>42709</v>
      </c>
      <c r="B81" s="11" t="n">
        <v>42726</v>
      </c>
      <c r="C81" s="11" t="n">
        <v>42719</v>
      </c>
      <c r="D81" s="5" t="s">
        <v>26</v>
      </c>
      <c r="E81" s="5" t="s">
        <v>11</v>
      </c>
      <c r="F81" s="5" t="s">
        <v>11</v>
      </c>
      <c r="G81" s="5" t="s">
        <v>40</v>
      </c>
      <c r="H81" s="6" t="n">
        <v>426000</v>
      </c>
    </row>
    <row r="82" customFormat="false" ht="15" hidden="false" customHeight="false" outlineLevel="0" collapsed="false">
      <c r="A82" s="11" t="n">
        <v>42710</v>
      </c>
      <c r="B82" s="11" t="n">
        <v>42726</v>
      </c>
      <c r="C82" s="11" t="n">
        <v>42719</v>
      </c>
      <c r="D82" s="5" t="s">
        <v>26</v>
      </c>
      <c r="E82" s="5" t="s">
        <v>11</v>
      </c>
      <c r="F82" s="5" t="s">
        <v>11</v>
      </c>
      <c r="G82" s="5" t="s">
        <v>40</v>
      </c>
      <c r="H82" s="6" t="n">
        <v>198000</v>
      </c>
    </row>
    <row r="83" customFormat="false" ht="15" hidden="false" customHeight="false" outlineLevel="0" collapsed="false">
      <c r="A83" s="11" t="n">
        <v>42711</v>
      </c>
      <c r="B83" s="11" t="n">
        <v>42726</v>
      </c>
      <c r="C83" s="11" t="n">
        <v>42719</v>
      </c>
      <c r="D83" s="5" t="s">
        <v>26</v>
      </c>
      <c r="E83" s="5" t="s">
        <v>11</v>
      </c>
      <c r="F83" s="5" t="s">
        <v>11</v>
      </c>
      <c r="G83" s="5" t="s">
        <v>40</v>
      </c>
      <c r="H83" s="6" t="n">
        <v>66000</v>
      </c>
    </row>
    <row r="84" customFormat="false" ht="15" hidden="false" customHeight="false" outlineLevel="0" collapsed="false">
      <c r="A84" s="11" t="n">
        <v>42711</v>
      </c>
      <c r="B84" s="11" t="n">
        <v>42726</v>
      </c>
      <c r="C84" s="11" t="n">
        <v>42719</v>
      </c>
      <c r="D84" s="5" t="s">
        <v>26</v>
      </c>
      <c r="E84" s="5" t="s">
        <v>12</v>
      </c>
      <c r="F84" s="5" t="s">
        <v>11</v>
      </c>
      <c r="G84" s="5" t="s">
        <v>40</v>
      </c>
      <c r="H84" s="6" t="n">
        <v>264000</v>
      </c>
    </row>
    <row r="85" customFormat="false" ht="15" hidden="false" customHeight="false" outlineLevel="0" collapsed="false">
      <c r="A85" s="11" t="n">
        <v>42716</v>
      </c>
      <c r="B85" s="11" t="n">
        <v>42733</v>
      </c>
      <c r="C85" s="11" t="n">
        <v>42726</v>
      </c>
      <c r="D85" s="5" t="s">
        <v>26</v>
      </c>
      <c r="E85" s="5" t="s">
        <v>11</v>
      </c>
      <c r="F85" s="5" t="s">
        <v>11</v>
      </c>
      <c r="G85" s="5" t="s">
        <v>40</v>
      </c>
      <c r="H85" s="6" t="n">
        <v>256600</v>
      </c>
    </row>
    <row r="86" customFormat="false" ht="15" hidden="false" customHeight="false" outlineLevel="0" collapsed="false">
      <c r="A86" s="11" t="n">
        <v>42719</v>
      </c>
      <c r="B86" s="11" t="n">
        <v>42733</v>
      </c>
      <c r="C86" s="11" t="n">
        <v>42726</v>
      </c>
      <c r="D86" s="5" t="s">
        <v>26</v>
      </c>
      <c r="E86" s="5" t="s">
        <v>11</v>
      </c>
      <c r="F86" s="5" t="s">
        <v>11</v>
      </c>
      <c r="G86" s="5" t="s">
        <v>40</v>
      </c>
      <c r="H86" s="6" t="n">
        <v>132000</v>
      </c>
    </row>
    <row r="87" customFormat="false" ht="15" hidden="false" customHeight="false" outlineLevel="0" collapsed="false">
      <c r="A87" s="11" t="n">
        <v>42723</v>
      </c>
      <c r="B87" s="11" t="n">
        <v>42740</v>
      </c>
      <c r="C87" s="11" t="n">
        <v>42733</v>
      </c>
      <c r="D87" s="5" t="s">
        <v>26</v>
      </c>
      <c r="E87" s="5" t="s">
        <v>11</v>
      </c>
      <c r="F87" s="5" t="s">
        <v>11</v>
      </c>
      <c r="G87" s="5" t="s">
        <v>40</v>
      </c>
      <c r="H87" s="6" t="n">
        <v>264000</v>
      </c>
    </row>
    <row r="88" customFormat="false" ht="15" hidden="false" customHeight="false" outlineLevel="0" collapsed="false">
      <c r="A88" s="11" t="n">
        <v>42725</v>
      </c>
      <c r="B88" s="11" t="n">
        <v>42740</v>
      </c>
      <c r="C88" s="11" t="n">
        <v>42733</v>
      </c>
      <c r="D88" s="5" t="s">
        <v>26</v>
      </c>
      <c r="E88" s="5" t="s">
        <v>11</v>
      </c>
      <c r="F88" s="5" t="s">
        <v>11</v>
      </c>
      <c r="G88" s="5" t="s">
        <v>40</v>
      </c>
      <c r="H88" s="6" t="n">
        <v>132000</v>
      </c>
    </row>
    <row r="89" customFormat="false" ht="15" hidden="false" customHeight="false" outlineLevel="0" collapsed="false">
      <c r="A89" s="11" t="n">
        <v>42816</v>
      </c>
      <c r="B89" s="11" t="n">
        <v>42831</v>
      </c>
      <c r="C89" s="11" t="n">
        <v>42824</v>
      </c>
      <c r="D89" s="5" t="s">
        <v>26</v>
      </c>
      <c r="E89" s="5" t="s">
        <v>12</v>
      </c>
      <c r="F89" s="5" t="s">
        <v>11</v>
      </c>
      <c r="G89" s="5" t="s">
        <v>40</v>
      </c>
      <c r="H89" s="6" t="n">
        <v>120000</v>
      </c>
    </row>
    <row r="90" customFormat="false" ht="15" hidden="false" customHeight="false" outlineLevel="0" collapsed="false">
      <c r="A90" s="11" t="n">
        <v>42824</v>
      </c>
      <c r="B90" s="11" t="n">
        <v>42838</v>
      </c>
      <c r="C90" s="11" t="n">
        <v>42831</v>
      </c>
      <c r="D90" s="5" t="s">
        <v>26</v>
      </c>
      <c r="E90" s="5" t="s">
        <v>12</v>
      </c>
      <c r="F90" s="5" t="s">
        <v>11</v>
      </c>
      <c r="G90" s="5" t="s">
        <v>40</v>
      </c>
      <c r="H90" s="6" t="n">
        <v>165000</v>
      </c>
    </row>
    <row r="91" customFormat="false" ht="15" hidden="false" customHeight="false" outlineLevel="0" collapsed="false">
      <c r="A91" s="11" t="n">
        <v>42930</v>
      </c>
      <c r="B91" s="11" t="n">
        <v>42950</v>
      </c>
      <c r="C91" s="11" t="n">
        <v>42943</v>
      </c>
      <c r="D91" s="5" t="s">
        <v>26</v>
      </c>
      <c r="E91" s="5" t="s">
        <v>12</v>
      </c>
      <c r="F91" s="5" t="s">
        <v>11</v>
      </c>
      <c r="G91" s="5" t="s">
        <v>40</v>
      </c>
      <c r="H91" s="6" t="n">
        <v>1300000</v>
      </c>
    </row>
    <row r="92" customFormat="false" ht="15" hidden="false" customHeight="false" outlineLevel="0" collapsed="false">
      <c r="A92" s="11" t="n">
        <v>42958</v>
      </c>
      <c r="B92" s="11" t="n">
        <v>42978</v>
      </c>
      <c r="C92" s="11" t="n">
        <v>42971</v>
      </c>
      <c r="D92" s="5" t="s">
        <v>26</v>
      </c>
      <c r="E92" s="5" t="s">
        <v>11</v>
      </c>
      <c r="F92" s="5" t="s">
        <v>11</v>
      </c>
      <c r="G92" s="5" t="s">
        <v>40</v>
      </c>
      <c r="H92" s="6" t="n">
        <v>60000</v>
      </c>
    </row>
    <row r="93" customFormat="false" ht="15" hidden="false" customHeight="false" outlineLevel="0" collapsed="false">
      <c r="A93" s="11" t="n">
        <v>42958</v>
      </c>
      <c r="B93" s="11" t="n">
        <v>42978</v>
      </c>
      <c r="C93" s="11" t="n">
        <v>42971</v>
      </c>
      <c r="D93" s="5" t="s">
        <v>26</v>
      </c>
      <c r="E93" s="5" t="s">
        <v>12</v>
      </c>
      <c r="F93" s="5" t="s">
        <v>11</v>
      </c>
      <c r="G93" s="5" t="s">
        <v>40</v>
      </c>
      <c r="H93" s="6" t="n">
        <v>60000</v>
      </c>
    </row>
    <row r="94" customFormat="false" ht="15" hidden="false" customHeight="false" outlineLevel="0" collapsed="false">
      <c r="A94" s="11" t="n">
        <v>42962</v>
      </c>
      <c r="B94" s="11" t="n">
        <v>42978</v>
      </c>
      <c r="C94" s="11" t="n">
        <v>42971</v>
      </c>
      <c r="D94" s="5" t="s">
        <v>26</v>
      </c>
      <c r="E94" s="5" t="s">
        <v>12</v>
      </c>
      <c r="F94" s="5" t="s">
        <v>11</v>
      </c>
      <c r="G94" s="5" t="s">
        <v>40</v>
      </c>
      <c r="H94" s="6" t="n">
        <v>132000</v>
      </c>
    </row>
    <row r="95" customFormat="false" ht="15" hidden="false" customHeight="false" outlineLevel="0" collapsed="false">
      <c r="A95" s="11" t="n">
        <v>42964</v>
      </c>
      <c r="B95" s="11" t="n">
        <v>42978</v>
      </c>
      <c r="C95" s="11" t="n">
        <v>42971</v>
      </c>
      <c r="D95" s="5" t="s">
        <v>26</v>
      </c>
      <c r="E95" s="5" t="s">
        <v>12</v>
      </c>
      <c r="F95" s="5" t="s">
        <v>11</v>
      </c>
      <c r="G95" s="5" t="s">
        <v>40</v>
      </c>
      <c r="H95" s="6" t="n">
        <v>165000</v>
      </c>
    </row>
    <row r="96" customFormat="false" ht="15" hidden="false" customHeight="false" outlineLevel="0" collapsed="false">
      <c r="A96" s="11" t="n">
        <v>42968</v>
      </c>
      <c r="B96" s="11" t="n">
        <v>42985</v>
      </c>
      <c r="C96" s="11" t="n">
        <v>42978</v>
      </c>
      <c r="D96" s="5" t="s">
        <v>26</v>
      </c>
      <c r="E96" s="5" t="s">
        <v>12</v>
      </c>
      <c r="F96" s="5" t="s">
        <v>11</v>
      </c>
      <c r="G96" s="5" t="s">
        <v>40</v>
      </c>
      <c r="H96" s="6" t="n">
        <v>198000</v>
      </c>
    </row>
    <row r="97" customFormat="false" ht="15" hidden="false" customHeight="false" outlineLevel="0" collapsed="false">
      <c r="A97" s="11" t="n">
        <v>42970</v>
      </c>
      <c r="B97" s="11" t="n">
        <v>42985</v>
      </c>
      <c r="C97" s="11" t="n">
        <v>42978</v>
      </c>
      <c r="D97" s="5" t="s">
        <v>26</v>
      </c>
      <c r="E97" s="5" t="s">
        <v>11</v>
      </c>
      <c r="F97" s="5" t="s">
        <v>11</v>
      </c>
      <c r="G97" s="5" t="s">
        <v>40</v>
      </c>
      <c r="H97" s="6" t="n">
        <v>640970</v>
      </c>
    </row>
    <row r="98" customFormat="false" ht="15" hidden="false" customHeight="false" outlineLevel="0" collapsed="false">
      <c r="A98" s="11" t="n">
        <v>42971</v>
      </c>
      <c r="B98" s="11" t="n">
        <v>42985</v>
      </c>
      <c r="C98" s="11" t="n">
        <v>42978</v>
      </c>
      <c r="D98" s="5" t="s">
        <v>26</v>
      </c>
      <c r="E98" s="5" t="s">
        <v>12</v>
      </c>
      <c r="F98" s="5" t="s">
        <v>11</v>
      </c>
      <c r="G98" s="5" t="s">
        <v>40</v>
      </c>
      <c r="H98" s="6" t="n">
        <v>132000</v>
      </c>
    </row>
    <row r="99" customFormat="false" ht="15" hidden="false" customHeight="false" outlineLevel="0" collapsed="false">
      <c r="A99" s="11" t="n">
        <v>42972</v>
      </c>
      <c r="B99" s="11" t="n">
        <v>42992</v>
      </c>
      <c r="C99" s="11" t="n">
        <v>42985</v>
      </c>
      <c r="D99" s="5" t="s">
        <v>26</v>
      </c>
      <c r="E99" s="5" t="s">
        <v>12</v>
      </c>
      <c r="F99" s="5" t="s">
        <v>11</v>
      </c>
      <c r="G99" s="5" t="s">
        <v>40</v>
      </c>
      <c r="H99" s="6" t="n">
        <v>132000</v>
      </c>
    </row>
    <row r="100" customFormat="false" ht="15" hidden="false" customHeight="false" outlineLevel="0" collapsed="false">
      <c r="A100" s="11" t="n">
        <v>42976</v>
      </c>
      <c r="B100" s="11" t="n">
        <v>42992</v>
      </c>
      <c r="C100" s="11" t="n">
        <v>42985</v>
      </c>
      <c r="D100" s="5" t="s">
        <v>26</v>
      </c>
      <c r="E100" s="5" t="s">
        <v>12</v>
      </c>
      <c r="F100" s="5" t="s">
        <v>11</v>
      </c>
      <c r="G100" s="5" t="s">
        <v>40</v>
      </c>
      <c r="H100" s="6" t="n">
        <v>198000</v>
      </c>
    </row>
    <row r="101" customFormat="false" ht="15" hidden="false" customHeight="false" outlineLevel="0" collapsed="false">
      <c r="A101" s="11" t="n">
        <v>42977</v>
      </c>
      <c r="B101" s="11" t="n">
        <v>42992</v>
      </c>
      <c r="C101" s="11" t="n">
        <v>42985</v>
      </c>
      <c r="D101" s="5" t="s">
        <v>26</v>
      </c>
      <c r="E101" s="5" t="s">
        <v>12</v>
      </c>
      <c r="F101" s="5" t="s">
        <v>11</v>
      </c>
      <c r="G101" s="5" t="s">
        <v>40</v>
      </c>
      <c r="H101" s="6" t="n">
        <v>131000</v>
      </c>
    </row>
    <row r="102" customFormat="false" ht="15" hidden="false" customHeight="false" outlineLevel="0" collapsed="false">
      <c r="A102" s="11" t="n">
        <v>42983</v>
      </c>
      <c r="B102" s="11" t="n">
        <v>42999</v>
      </c>
      <c r="C102" s="11" t="n">
        <v>42992</v>
      </c>
      <c r="D102" s="5" t="s">
        <v>26</v>
      </c>
      <c r="E102" s="5" t="s">
        <v>12</v>
      </c>
      <c r="F102" s="5" t="s">
        <v>12</v>
      </c>
      <c r="G102" s="5" t="s">
        <v>40</v>
      </c>
      <c r="H102" s="6" t="n">
        <v>136000</v>
      </c>
    </row>
    <row r="103" customFormat="false" ht="15" hidden="false" customHeight="false" outlineLevel="0" collapsed="false">
      <c r="A103" s="11" t="n">
        <v>42986</v>
      </c>
      <c r="B103" s="11" t="n">
        <v>43006</v>
      </c>
      <c r="C103" s="11" t="n">
        <v>42999</v>
      </c>
      <c r="D103" s="5" t="s">
        <v>26</v>
      </c>
      <c r="E103" s="5" t="s">
        <v>12</v>
      </c>
      <c r="F103" s="5" t="s">
        <v>12</v>
      </c>
      <c r="G103" s="5" t="s">
        <v>40</v>
      </c>
      <c r="H103" s="6" t="n">
        <v>264000</v>
      </c>
    </row>
    <row r="104" customFormat="false" ht="15" hidden="false" customHeight="false" outlineLevel="0" collapsed="false">
      <c r="A104" s="11" t="n">
        <v>42992</v>
      </c>
      <c r="B104" s="11" t="n">
        <v>43006</v>
      </c>
      <c r="C104" s="11" t="n">
        <v>42999</v>
      </c>
      <c r="D104" s="5" t="s">
        <v>26</v>
      </c>
      <c r="E104" s="5" t="s">
        <v>12</v>
      </c>
      <c r="F104" s="5" t="s">
        <v>12</v>
      </c>
      <c r="G104" s="5" t="s">
        <v>40</v>
      </c>
      <c r="H104" s="6" t="n">
        <v>198000</v>
      </c>
    </row>
    <row r="105" customFormat="false" ht="15" hidden="false" customHeight="false" outlineLevel="0" collapsed="false">
      <c r="A105" s="11" t="n">
        <v>42993</v>
      </c>
      <c r="B105" s="11" t="n">
        <v>43013</v>
      </c>
      <c r="C105" s="11" t="n">
        <v>43006</v>
      </c>
      <c r="D105" s="5" t="s">
        <v>26</v>
      </c>
      <c r="E105" s="5" t="s">
        <v>12</v>
      </c>
      <c r="F105" s="5" t="s">
        <v>12</v>
      </c>
      <c r="G105" s="5" t="s">
        <v>40</v>
      </c>
      <c r="H105" s="6" t="n">
        <v>132000</v>
      </c>
    </row>
    <row r="106" customFormat="false" ht="15" hidden="false" customHeight="false" outlineLevel="0" collapsed="false">
      <c r="A106" s="11" t="n">
        <v>42996</v>
      </c>
      <c r="B106" s="11" t="n">
        <v>43013</v>
      </c>
      <c r="C106" s="11" t="n">
        <v>43006</v>
      </c>
      <c r="D106" s="5" t="s">
        <v>26</v>
      </c>
      <c r="E106" s="5" t="s">
        <v>12</v>
      </c>
      <c r="F106" s="5" t="s">
        <v>12</v>
      </c>
      <c r="G106" s="5" t="s">
        <v>40</v>
      </c>
      <c r="H106" s="6" t="n">
        <v>261000</v>
      </c>
    </row>
    <row r="107" customFormat="false" ht="15" hidden="false" customHeight="false" outlineLevel="0" collapsed="false">
      <c r="A107" s="11" t="n">
        <v>42998</v>
      </c>
      <c r="B107" s="11" t="n">
        <v>43013</v>
      </c>
      <c r="C107" s="11" t="n">
        <v>43006</v>
      </c>
      <c r="D107" s="5" t="s">
        <v>26</v>
      </c>
      <c r="E107" s="5" t="s">
        <v>12</v>
      </c>
      <c r="F107" s="5" t="s">
        <v>12</v>
      </c>
      <c r="G107" s="5" t="s">
        <v>40</v>
      </c>
      <c r="H107" s="6" t="n">
        <v>132000</v>
      </c>
    </row>
    <row r="108" customFormat="false" ht="15" hidden="false" customHeight="false" outlineLevel="0" collapsed="false">
      <c r="A108" s="11" t="n">
        <v>42999</v>
      </c>
      <c r="B108" s="11" t="n">
        <v>43013</v>
      </c>
      <c r="C108" s="11" t="n">
        <v>43006</v>
      </c>
      <c r="D108" s="5" t="s">
        <v>26</v>
      </c>
      <c r="E108" s="5" t="s">
        <v>12</v>
      </c>
      <c r="F108" s="5" t="s">
        <v>12</v>
      </c>
      <c r="G108" s="5" t="s">
        <v>40</v>
      </c>
      <c r="H108" s="6" t="n">
        <v>132000</v>
      </c>
    </row>
    <row r="109" customFormat="false" ht="15" hidden="false" customHeight="false" outlineLevel="0" collapsed="false">
      <c r="A109" s="11" t="n">
        <v>43005</v>
      </c>
      <c r="B109" s="11" t="n">
        <v>43020</v>
      </c>
      <c r="C109" s="11" t="n">
        <v>43013</v>
      </c>
      <c r="D109" s="5" t="s">
        <v>26</v>
      </c>
      <c r="E109" s="5" t="s">
        <v>12</v>
      </c>
      <c r="F109" s="5" t="s">
        <v>12</v>
      </c>
      <c r="G109" s="5" t="s">
        <v>40</v>
      </c>
      <c r="H109" s="6" t="n">
        <v>132000</v>
      </c>
    </row>
    <row r="110" customFormat="false" ht="15" hidden="false" customHeight="false" outlineLevel="0" collapsed="false">
      <c r="A110" s="11" t="n">
        <v>43010</v>
      </c>
      <c r="B110" s="11" t="n">
        <v>43027</v>
      </c>
      <c r="C110" s="11" t="n">
        <v>43020</v>
      </c>
      <c r="D110" s="5" t="s">
        <v>26</v>
      </c>
      <c r="E110" s="5" t="s">
        <v>12</v>
      </c>
      <c r="F110" s="5" t="s">
        <v>12</v>
      </c>
      <c r="G110" s="5" t="s">
        <v>40</v>
      </c>
      <c r="H110" s="6" t="n">
        <v>132000</v>
      </c>
    </row>
    <row r="111" customFormat="false" ht="15" hidden="false" customHeight="false" outlineLevel="0" collapsed="false">
      <c r="A111" s="11" t="n">
        <v>43018</v>
      </c>
      <c r="B111" s="11" t="n">
        <v>43034</v>
      </c>
      <c r="C111" s="11" t="n">
        <v>43027</v>
      </c>
      <c r="D111" s="5" t="s">
        <v>26</v>
      </c>
      <c r="E111" s="5" t="s">
        <v>12</v>
      </c>
      <c r="F111" s="5" t="s">
        <v>12</v>
      </c>
      <c r="G111" s="5" t="s">
        <v>40</v>
      </c>
      <c r="H111" s="6" t="n">
        <v>131000</v>
      </c>
    </row>
    <row r="112" customFormat="false" ht="15" hidden="false" customHeight="false" outlineLevel="0" collapsed="false">
      <c r="A112" s="11" t="n">
        <v>43019</v>
      </c>
      <c r="B112" s="11" t="n">
        <v>43034</v>
      </c>
      <c r="C112" s="11" t="n">
        <v>43027</v>
      </c>
      <c r="D112" s="5" t="s">
        <v>26</v>
      </c>
      <c r="E112" s="5" t="s">
        <v>12</v>
      </c>
      <c r="F112" s="5" t="s">
        <v>12</v>
      </c>
      <c r="G112" s="5" t="s">
        <v>40</v>
      </c>
      <c r="H112" s="6" t="n">
        <v>264000</v>
      </c>
    </row>
    <row r="113" customFormat="false" ht="15" hidden="false" customHeight="false" outlineLevel="0" collapsed="false">
      <c r="A113" s="11" t="n">
        <v>43027</v>
      </c>
      <c r="B113" s="11" t="n">
        <v>43041</v>
      </c>
      <c r="C113" s="11" t="n">
        <v>43034</v>
      </c>
      <c r="D113" s="5" t="s">
        <v>26</v>
      </c>
      <c r="E113" s="5" t="s">
        <v>12</v>
      </c>
      <c r="F113" s="5" t="s">
        <v>12</v>
      </c>
      <c r="G113" s="5" t="s">
        <v>40</v>
      </c>
      <c r="H113" s="6" t="n">
        <v>384000</v>
      </c>
    </row>
    <row r="114" customFormat="false" ht="15" hidden="false" customHeight="false" outlineLevel="0" collapsed="false">
      <c r="A114" s="11" t="n">
        <v>43028</v>
      </c>
      <c r="B114" s="11" t="n">
        <v>43048</v>
      </c>
      <c r="C114" s="11" t="n">
        <v>43041</v>
      </c>
      <c r="D114" s="5" t="s">
        <v>26</v>
      </c>
      <c r="E114" s="5" t="s">
        <v>12</v>
      </c>
      <c r="F114" s="5" t="s">
        <v>12</v>
      </c>
      <c r="G114" s="5" t="s">
        <v>40</v>
      </c>
      <c r="H114" s="6" t="n">
        <v>198000</v>
      </c>
    </row>
    <row r="115" customFormat="false" ht="15" hidden="false" customHeight="false" outlineLevel="0" collapsed="false">
      <c r="A115" s="11" t="n">
        <v>43035</v>
      </c>
      <c r="B115" s="11" t="n">
        <v>43055</v>
      </c>
      <c r="C115" s="11" t="n">
        <v>43048</v>
      </c>
      <c r="D115" s="5" t="s">
        <v>26</v>
      </c>
      <c r="E115" s="5" t="s">
        <v>12</v>
      </c>
      <c r="F115" s="5" t="s">
        <v>12</v>
      </c>
      <c r="G115" s="5" t="s">
        <v>40</v>
      </c>
      <c r="H115" s="6" t="n">
        <v>238000</v>
      </c>
    </row>
    <row r="116" customFormat="false" ht="15" hidden="false" customHeight="false" outlineLevel="0" collapsed="false">
      <c r="A116" s="11" t="n">
        <v>43060</v>
      </c>
      <c r="B116" s="11" t="n">
        <v>43076</v>
      </c>
      <c r="C116" s="11" t="n">
        <v>43069</v>
      </c>
      <c r="D116" s="5" t="s">
        <v>26</v>
      </c>
      <c r="E116" s="5" t="s">
        <v>12</v>
      </c>
      <c r="F116" s="5" t="s">
        <v>12</v>
      </c>
      <c r="G116" s="5" t="s">
        <v>40</v>
      </c>
      <c r="H116" s="6" t="n">
        <v>130000</v>
      </c>
    </row>
    <row r="117" customFormat="false" ht="15" hidden="false" customHeight="false" outlineLevel="0" collapsed="false">
      <c r="A117" s="11" t="n">
        <v>43068</v>
      </c>
      <c r="B117" s="11" t="n">
        <v>43083</v>
      </c>
      <c r="C117" s="11" t="n">
        <v>43076</v>
      </c>
      <c r="D117" s="5" t="s">
        <v>26</v>
      </c>
      <c r="E117" s="5" t="s">
        <v>12</v>
      </c>
      <c r="F117" s="5" t="s">
        <v>12</v>
      </c>
      <c r="G117" s="5" t="s">
        <v>40</v>
      </c>
      <c r="H117" s="6" t="n">
        <v>263000</v>
      </c>
    </row>
    <row r="118" customFormat="false" ht="15" hidden="false" customHeight="false" outlineLevel="0" collapsed="false">
      <c r="A118" s="11" t="n">
        <v>43069</v>
      </c>
      <c r="B118" s="11" t="n">
        <v>43083</v>
      </c>
      <c r="C118" s="11" t="n">
        <v>43076</v>
      </c>
      <c r="D118" s="5" t="s">
        <v>26</v>
      </c>
      <c r="E118" s="5" t="s">
        <v>12</v>
      </c>
      <c r="F118" s="5" t="s">
        <v>12</v>
      </c>
      <c r="G118" s="5" t="s">
        <v>40</v>
      </c>
      <c r="H118" s="6" t="n">
        <v>525000</v>
      </c>
    </row>
    <row r="119" customFormat="false" ht="15" hidden="false" customHeight="false" outlineLevel="0" collapsed="false">
      <c r="A119" s="11" t="n">
        <v>43075</v>
      </c>
      <c r="B119" s="11" t="n">
        <v>43090</v>
      </c>
      <c r="C119" s="11" t="n">
        <v>43083</v>
      </c>
      <c r="D119" s="5" t="s">
        <v>26</v>
      </c>
      <c r="E119" s="5" t="s">
        <v>12</v>
      </c>
      <c r="F119" s="5" t="s">
        <v>12</v>
      </c>
      <c r="G119" s="5" t="s">
        <v>40</v>
      </c>
      <c r="H119" s="6" t="n">
        <v>393000</v>
      </c>
    </row>
    <row r="120" customFormat="false" ht="15" hidden="false" customHeight="false" outlineLevel="0" collapsed="false">
      <c r="A120" s="11" t="n">
        <v>43077</v>
      </c>
      <c r="B120" s="11" t="n">
        <v>43097</v>
      </c>
      <c r="C120" s="11" t="n">
        <v>43090</v>
      </c>
      <c r="D120" s="5" t="s">
        <v>26</v>
      </c>
      <c r="E120" s="5" t="s">
        <v>12</v>
      </c>
      <c r="F120" s="5" t="s">
        <v>12</v>
      </c>
      <c r="G120" s="5" t="s">
        <v>40</v>
      </c>
      <c r="H120" s="6" t="n">
        <v>268000</v>
      </c>
    </row>
    <row r="121" customFormat="false" ht="15" hidden="false" customHeight="false" outlineLevel="0" collapsed="false">
      <c r="A121" s="11" t="n">
        <v>43081</v>
      </c>
      <c r="B121" s="11" t="n">
        <v>43097</v>
      </c>
      <c r="C121" s="11" t="n">
        <v>43090</v>
      </c>
      <c r="D121" s="5" t="s">
        <v>26</v>
      </c>
      <c r="E121" s="5" t="s">
        <v>12</v>
      </c>
      <c r="F121" s="5" t="s">
        <v>12</v>
      </c>
      <c r="G121" s="5" t="s">
        <v>40</v>
      </c>
      <c r="H121" s="6" t="n">
        <v>492000</v>
      </c>
    </row>
    <row r="122" customFormat="false" ht="15" hidden="false" customHeight="false" outlineLevel="0" collapsed="false">
      <c r="A122" s="11" t="n">
        <v>43084</v>
      </c>
      <c r="B122" s="11" t="n">
        <v>43104</v>
      </c>
      <c r="C122" s="11" t="n">
        <v>43097</v>
      </c>
      <c r="D122" s="5" t="s">
        <v>26</v>
      </c>
      <c r="E122" s="5" t="s">
        <v>12</v>
      </c>
      <c r="F122" s="5" t="s">
        <v>12</v>
      </c>
      <c r="G122" s="5" t="s">
        <v>40</v>
      </c>
      <c r="H122" s="6" t="n">
        <v>257000</v>
      </c>
    </row>
    <row r="123" customFormat="false" ht="15" hidden="false" customHeight="false" outlineLevel="0" collapsed="false">
      <c r="A123" s="11" t="n">
        <v>43087</v>
      </c>
      <c r="B123" s="11" t="n">
        <v>43104</v>
      </c>
      <c r="C123" s="11" t="n">
        <v>43097</v>
      </c>
      <c r="D123" s="5" t="s">
        <v>26</v>
      </c>
      <c r="E123" s="5" t="s">
        <v>12</v>
      </c>
      <c r="F123" s="5" t="s">
        <v>12</v>
      </c>
      <c r="G123" s="5" t="s">
        <v>40</v>
      </c>
      <c r="H123" s="6" t="n">
        <v>396000</v>
      </c>
    </row>
    <row r="124" customFormat="false" ht="15" hidden="false" customHeight="false" outlineLevel="0" collapsed="false">
      <c r="A124" s="11" t="n">
        <v>43091</v>
      </c>
      <c r="B124" s="11" t="n">
        <v>43111</v>
      </c>
      <c r="C124" s="11" t="n">
        <v>43104</v>
      </c>
      <c r="D124" s="5" t="s">
        <v>26</v>
      </c>
      <c r="E124" s="5" t="s">
        <v>12</v>
      </c>
      <c r="F124" s="5" t="s">
        <v>12</v>
      </c>
      <c r="G124" s="5" t="s">
        <v>40</v>
      </c>
      <c r="H124" s="6" t="n">
        <v>252000</v>
      </c>
    </row>
    <row r="125" customFormat="false" ht="15" hidden="false" customHeight="false" outlineLevel="0" collapsed="false">
      <c r="A125" s="11" t="n">
        <v>43096</v>
      </c>
      <c r="B125" s="11" t="n">
        <v>43111</v>
      </c>
      <c r="C125" s="11" t="n">
        <v>43104</v>
      </c>
      <c r="D125" s="5" t="s">
        <v>26</v>
      </c>
      <c r="E125" s="5" t="s">
        <v>12</v>
      </c>
      <c r="F125" s="5" t="s">
        <v>12</v>
      </c>
      <c r="G125" s="5" t="s">
        <v>40</v>
      </c>
      <c r="H125" s="6" t="n">
        <v>110000</v>
      </c>
    </row>
    <row r="126" customFormat="false" ht="15" hidden="false" customHeight="false" outlineLevel="0" collapsed="false">
      <c r="A126" s="11" t="n">
        <v>43143</v>
      </c>
      <c r="B126" s="11" t="n">
        <v>43160</v>
      </c>
      <c r="C126" s="11" t="n">
        <v>43153</v>
      </c>
      <c r="D126" s="5" t="s">
        <v>26</v>
      </c>
      <c r="E126" s="5" t="s">
        <v>12</v>
      </c>
      <c r="F126" s="5" t="s">
        <v>12</v>
      </c>
      <c r="G126" s="5" t="s">
        <v>40</v>
      </c>
      <c r="H126" s="6" t="n">
        <v>455000</v>
      </c>
    </row>
    <row r="127" customFormat="false" ht="15" hidden="false" customHeight="false" outlineLevel="0" collapsed="false">
      <c r="A127" s="11" t="n">
        <v>43157</v>
      </c>
      <c r="B127" s="11" t="n">
        <v>43174</v>
      </c>
      <c r="C127" s="11" t="n">
        <v>43167</v>
      </c>
      <c r="D127" s="5" t="s">
        <v>26</v>
      </c>
      <c r="E127" s="5" t="s">
        <v>12</v>
      </c>
      <c r="F127" s="5" t="s">
        <v>12</v>
      </c>
      <c r="G127" s="5" t="s">
        <v>40</v>
      </c>
      <c r="H127" s="6" t="n">
        <v>132000</v>
      </c>
    </row>
    <row r="128" customFormat="false" ht="15" hidden="false" customHeight="false" outlineLevel="0" collapsed="false">
      <c r="A128" s="11" t="n">
        <v>43160</v>
      </c>
      <c r="B128" s="11" t="n">
        <v>43174</v>
      </c>
      <c r="C128" s="11" t="n">
        <v>43167</v>
      </c>
      <c r="D128" s="5" t="s">
        <v>26</v>
      </c>
      <c r="E128" s="5" t="s">
        <v>12</v>
      </c>
      <c r="F128" s="5" t="s">
        <v>12</v>
      </c>
      <c r="G128" s="5" t="s">
        <v>40</v>
      </c>
      <c r="H128" s="6" t="n">
        <v>60000</v>
      </c>
    </row>
    <row r="129" customFormat="false" ht="15" hidden="false" customHeight="false" outlineLevel="0" collapsed="false">
      <c r="A129" s="11" t="n">
        <v>43160</v>
      </c>
      <c r="B129" s="11" t="n">
        <v>43174</v>
      </c>
      <c r="C129" s="11" t="n">
        <v>43167</v>
      </c>
      <c r="D129" s="5" t="s">
        <v>26</v>
      </c>
      <c r="E129" s="5" t="s">
        <v>13</v>
      </c>
      <c r="F129" s="5" t="s">
        <v>12</v>
      </c>
      <c r="G129" s="5" t="s">
        <v>40</v>
      </c>
      <c r="H129" s="6" t="n">
        <v>60000</v>
      </c>
    </row>
    <row r="130" customFormat="false" ht="15" hidden="false" customHeight="false" outlineLevel="0" collapsed="false">
      <c r="A130" s="11" t="n">
        <v>43161</v>
      </c>
      <c r="B130" s="11" t="n">
        <v>43181</v>
      </c>
      <c r="C130" s="11" t="n">
        <v>43174</v>
      </c>
      <c r="D130" s="5" t="s">
        <v>26</v>
      </c>
      <c r="E130" s="5" t="s">
        <v>12</v>
      </c>
      <c r="F130" s="5" t="s">
        <v>12</v>
      </c>
      <c r="G130" s="5" t="s">
        <v>40</v>
      </c>
      <c r="H130" s="6" t="n">
        <v>198000</v>
      </c>
    </row>
    <row r="131" customFormat="false" ht="15" hidden="false" customHeight="false" outlineLevel="0" collapsed="false">
      <c r="A131" s="11" t="n">
        <v>43165</v>
      </c>
      <c r="B131" s="11" t="n">
        <v>43181</v>
      </c>
      <c r="C131" s="11" t="n">
        <v>43174</v>
      </c>
      <c r="D131" s="5" t="s">
        <v>26</v>
      </c>
      <c r="E131" s="5" t="s">
        <v>12</v>
      </c>
      <c r="F131" s="5" t="s">
        <v>12</v>
      </c>
      <c r="G131" s="5" t="s">
        <v>40</v>
      </c>
      <c r="H131" s="6" t="n">
        <v>120000</v>
      </c>
    </row>
    <row r="132" customFormat="false" ht="15" hidden="false" customHeight="false" outlineLevel="0" collapsed="false">
      <c r="A132" s="11" t="n">
        <v>43168</v>
      </c>
      <c r="B132" s="11" t="n">
        <v>43188</v>
      </c>
      <c r="C132" s="11" t="n">
        <v>43181</v>
      </c>
      <c r="D132" s="5" t="s">
        <v>26</v>
      </c>
      <c r="E132" s="5" t="s">
        <v>12</v>
      </c>
      <c r="F132" s="5" t="s">
        <v>12</v>
      </c>
      <c r="G132" s="5" t="s">
        <v>40</v>
      </c>
      <c r="H132" s="6" t="n">
        <v>183000</v>
      </c>
    </row>
    <row r="133" customFormat="false" ht="15" hidden="false" customHeight="false" outlineLevel="0" collapsed="false">
      <c r="A133" s="11" t="n">
        <v>43194</v>
      </c>
      <c r="B133" s="11" t="n">
        <v>43209</v>
      </c>
      <c r="C133" s="11" t="n">
        <v>43202</v>
      </c>
      <c r="D133" s="5" t="s">
        <v>26</v>
      </c>
      <c r="E133" s="5" t="s">
        <v>13</v>
      </c>
      <c r="F133" s="5" t="s">
        <v>12</v>
      </c>
      <c r="G133" s="5" t="s">
        <v>40</v>
      </c>
      <c r="H133" s="6" t="n">
        <v>129000</v>
      </c>
    </row>
    <row r="134" customFormat="false" ht="15" hidden="false" customHeight="false" outlineLevel="0" collapsed="false">
      <c r="A134" s="11" t="n">
        <v>43200</v>
      </c>
      <c r="B134" s="11" t="n">
        <v>43216</v>
      </c>
      <c r="C134" s="11" t="n">
        <v>43209</v>
      </c>
      <c r="D134" s="5" t="s">
        <v>26</v>
      </c>
      <c r="E134" s="5" t="s">
        <v>13</v>
      </c>
      <c r="F134" s="5" t="s">
        <v>12</v>
      </c>
      <c r="G134" s="5" t="s">
        <v>40</v>
      </c>
      <c r="H134" s="6" t="n">
        <v>132000</v>
      </c>
    </row>
    <row r="135" customFormat="false" ht="15" hidden="false" customHeight="false" outlineLevel="0" collapsed="false">
      <c r="A135" s="11" t="n">
        <v>43245</v>
      </c>
      <c r="B135" s="11" t="n">
        <v>43265</v>
      </c>
      <c r="C135" s="11" t="n">
        <v>43258</v>
      </c>
      <c r="D135" s="5" t="s">
        <v>26</v>
      </c>
      <c r="E135" s="5" t="s">
        <v>13</v>
      </c>
      <c r="F135" s="5" t="s">
        <v>12</v>
      </c>
      <c r="G135" s="5" t="s">
        <v>40</v>
      </c>
      <c r="H135" s="6" t="n">
        <v>954000</v>
      </c>
    </row>
    <row r="136" customFormat="false" ht="15" hidden="false" customHeight="false" outlineLevel="0" collapsed="false">
      <c r="A136" s="11" t="n">
        <v>43304</v>
      </c>
      <c r="B136" s="11" t="n">
        <v>43321</v>
      </c>
      <c r="C136" s="11" t="n">
        <v>43314</v>
      </c>
      <c r="D136" s="5" t="s">
        <v>26</v>
      </c>
      <c r="E136" s="5" t="s">
        <v>13</v>
      </c>
      <c r="F136" s="5" t="s">
        <v>12</v>
      </c>
      <c r="G136" s="5" t="s">
        <v>40</v>
      </c>
      <c r="H136" s="6" t="n">
        <v>165000</v>
      </c>
    </row>
    <row r="137" customFormat="false" ht="15" hidden="false" customHeight="false" outlineLevel="0" collapsed="false">
      <c r="A137" s="11" t="n">
        <v>43392</v>
      </c>
      <c r="B137" s="11" t="n">
        <v>43412</v>
      </c>
      <c r="C137" s="11" t="n">
        <v>43405</v>
      </c>
      <c r="D137" s="5" t="s">
        <v>26</v>
      </c>
      <c r="E137" s="5" t="s">
        <v>13</v>
      </c>
      <c r="F137" s="5" t="s">
        <v>13</v>
      </c>
      <c r="G137" s="5" t="s">
        <v>40</v>
      </c>
      <c r="H137" s="6" t="n">
        <v>180000</v>
      </c>
    </row>
    <row r="138" customFormat="false" ht="15" hidden="false" customHeight="false" outlineLevel="0" collapsed="false">
      <c r="A138" s="11" t="n">
        <v>43447</v>
      </c>
      <c r="B138" s="11" t="n">
        <v>43461</v>
      </c>
      <c r="C138" s="11" t="n">
        <v>43454</v>
      </c>
      <c r="D138" s="5" t="s">
        <v>26</v>
      </c>
      <c r="E138" s="5" t="s">
        <v>13</v>
      </c>
      <c r="F138" s="5" t="s">
        <v>13</v>
      </c>
      <c r="G138" s="5" t="s">
        <v>40</v>
      </c>
      <c r="H138" s="6" t="n">
        <v>1130000</v>
      </c>
    </row>
    <row r="139" customFormat="false" ht="15" hidden="false" customHeight="false" outlineLevel="0" collapsed="false">
      <c r="A139" s="11" t="n">
        <v>43448</v>
      </c>
      <c r="B139" s="11" t="n">
        <v>43468</v>
      </c>
      <c r="C139" s="11" t="n">
        <v>43461</v>
      </c>
      <c r="D139" s="5" t="s">
        <v>26</v>
      </c>
      <c r="E139" s="5" t="s">
        <v>13</v>
      </c>
      <c r="F139" s="5" t="s">
        <v>13</v>
      </c>
      <c r="G139" s="5" t="s">
        <v>40</v>
      </c>
      <c r="H139" s="6" t="n">
        <v>300000</v>
      </c>
    </row>
    <row r="140" customFormat="false" ht="15" hidden="false" customHeight="false" outlineLevel="0" collapsed="false">
      <c r="A140" s="11" t="n">
        <v>43453</v>
      </c>
      <c r="B140" s="11" t="n">
        <v>43468</v>
      </c>
      <c r="C140" s="11" t="n">
        <v>43461</v>
      </c>
      <c r="D140" s="5" t="s">
        <v>26</v>
      </c>
      <c r="E140" s="5" t="s">
        <v>13</v>
      </c>
      <c r="F140" s="5" t="s">
        <v>13</v>
      </c>
      <c r="G140" s="5" t="s">
        <v>40</v>
      </c>
      <c r="H140" s="6" t="n">
        <v>1199000</v>
      </c>
    </row>
    <row r="141" customFormat="false" ht="15" hidden="false" customHeight="false" outlineLevel="0" collapsed="false">
      <c r="A141" s="11" t="n">
        <v>43454</v>
      </c>
      <c r="B141" s="11" t="n">
        <v>43468</v>
      </c>
      <c r="C141" s="11" t="n">
        <v>43461</v>
      </c>
      <c r="D141" s="5" t="s">
        <v>26</v>
      </c>
      <c r="E141" s="5" t="s">
        <v>13</v>
      </c>
      <c r="F141" s="5" t="s">
        <v>13</v>
      </c>
      <c r="G141" s="5" t="s">
        <v>40</v>
      </c>
      <c r="H141" s="6" t="n">
        <v>204000</v>
      </c>
    </row>
    <row r="142" customFormat="false" ht="15" hidden="false" customHeight="false" outlineLevel="0" collapsed="false">
      <c r="A142" s="11" t="n">
        <v>43500</v>
      </c>
      <c r="B142" s="11" t="n">
        <v>43517</v>
      </c>
      <c r="C142" s="11" t="n">
        <v>43510</v>
      </c>
      <c r="D142" s="5" t="s">
        <v>26</v>
      </c>
      <c r="E142" s="5" t="s">
        <v>13</v>
      </c>
      <c r="F142" s="5" t="s">
        <v>13</v>
      </c>
      <c r="G142" s="5" t="s">
        <v>40</v>
      </c>
      <c r="H142" s="6" t="n">
        <v>612000</v>
      </c>
    </row>
    <row r="143" customFormat="false" ht="15" hidden="false" customHeight="false" outlineLevel="0" collapsed="false">
      <c r="A143" s="11" t="n">
        <v>43501</v>
      </c>
      <c r="B143" s="11" t="n">
        <v>43517</v>
      </c>
      <c r="C143" s="11" t="n">
        <v>43510</v>
      </c>
      <c r="D143" s="5" t="s">
        <v>26</v>
      </c>
      <c r="E143" s="5" t="s">
        <v>13</v>
      </c>
      <c r="F143" s="5" t="s">
        <v>13</v>
      </c>
      <c r="G143" s="5" t="s">
        <v>40</v>
      </c>
      <c r="H143" s="6" t="n">
        <v>2603000</v>
      </c>
    </row>
    <row r="144" customFormat="false" ht="15" hidden="false" customHeight="false" outlineLevel="0" collapsed="false">
      <c r="A144" s="11" t="n">
        <v>43502</v>
      </c>
      <c r="B144" s="11" t="n">
        <v>43517</v>
      </c>
      <c r="C144" s="11" t="n">
        <v>43510</v>
      </c>
      <c r="D144" s="5" t="s">
        <v>26</v>
      </c>
      <c r="E144" s="5" t="s">
        <v>13</v>
      </c>
      <c r="F144" s="5" t="s">
        <v>13</v>
      </c>
      <c r="G144" s="5" t="s">
        <v>40</v>
      </c>
      <c r="H144" s="6" t="n">
        <v>523000</v>
      </c>
    </row>
    <row r="145" customFormat="false" ht="15" hidden="false" customHeight="false" outlineLevel="0" collapsed="false">
      <c r="A145" s="11" t="n">
        <v>43502</v>
      </c>
      <c r="B145" s="11" t="n">
        <v>43517</v>
      </c>
      <c r="C145" s="11" t="n">
        <v>43510</v>
      </c>
      <c r="D145" s="5" t="s">
        <v>26</v>
      </c>
      <c r="E145" s="5" t="s">
        <v>14</v>
      </c>
      <c r="F145" s="5" t="s">
        <v>13</v>
      </c>
      <c r="G145" s="5" t="s">
        <v>40</v>
      </c>
      <c r="H145" s="6" t="n">
        <v>63000</v>
      </c>
    </row>
    <row r="146" customFormat="false" ht="15" hidden="false" customHeight="false" outlineLevel="0" collapsed="false">
      <c r="A146" s="11" t="n">
        <v>43532</v>
      </c>
      <c r="B146" s="11" t="n">
        <v>43552</v>
      </c>
      <c r="C146" s="11" t="n">
        <v>43545</v>
      </c>
      <c r="D146" s="5" t="s">
        <v>26</v>
      </c>
      <c r="E146" s="5" t="s">
        <v>13</v>
      </c>
      <c r="F146" s="5" t="s">
        <v>13</v>
      </c>
      <c r="G146" s="5" t="s">
        <v>40</v>
      </c>
      <c r="H146" s="6" t="n">
        <v>664000</v>
      </c>
    </row>
    <row r="147" customFormat="false" ht="15" hidden="false" customHeight="false" outlineLevel="0" collapsed="false">
      <c r="A147" s="11" t="n">
        <v>43535</v>
      </c>
      <c r="B147" s="11" t="n">
        <v>43552</v>
      </c>
      <c r="C147" s="11" t="n">
        <v>43545</v>
      </c>
      <c r="D147" s="5" t="s">
        <v>26</v>
      </c>
      <c r="E147" s="5" t="s">
        <v>13</v>
      </c>
      <c r="F147" s="5" t="s">
        <v>13</v>
      </c>
      <c r="G147" s="5" t="s">
        <v>40</v>
      </c>
      <c r="H147" s="6" t="n">
        <v>926000</v>
      </c>
    </row>
    <row r="148" customFormat="false" ht="15" hidden="false" customHeight="false" outlineLevel="0" collapsed="false">
      <c r="A148" s="11" t="n">
        <v>43546</v>
      </c>
      <c r="B148" s="11" t="n">
        <v>43566</v>
      </c>
      <c r="C148" s="11" t="n">
        <v>43559</v>
      </c>
      <c r="D148" s="5" t="s">
        <v>26</v>
      </c>
      <c r="E148" s="5" t="s">
        <v>13</v>
      </c>
      <c r="F148" s="5" t="s">
        <v>13</v>
      </c>
      <c r="G148" s="5" t="s">
        <v>3</v>
      </c>
      <c r="H148" s="6" t="n">
        <v>300000</v>
      </c>
    </row>
    <row r="149" customFormat="false" ht="15" hidden="false" customHeight="false" outlineLevel="0" collapsed="false">
      <c r="A149" s="11" t="n">
        <v>43553</v>
      </c>
      <c r="B149" s="11" t="n">
        <v>43573</v>
      </c>
      <c r="C149" s="11" t="n">
        <v>43566</v>
      </c>
      <c r="D149" s="5" t="s">
        <v>26</v>
      </c>
      <c r="E149" s="5" t="s">
        <v>13</v>
      </c>
      <c r="F149" s="5" t="s">
        <v>13</v>
      </c>
      <c r="G149" s="5" t="s">
        <v>40</v>
      </c>
      <c r="H149" s="6" t="n">
        <v>816000</v>
      </c>
    </row>
    <row r="150" customFormat="false" ht="15" hidden="false" customHeight="false" outlineLevel="0" collapsed="false">
      <c r="A150" s="11" t="n">
        <v>43556</v>
      </c>
      <c r="B150" s="11" t="n">
        <v>43573</v>
      </c>
      <c r="C150" s="11" t="n">
        <v>43566</v>
      </c>
      <c r="D150" s="5" t="s">
        <v>26</v>
      </c>
      <c r="E150" s="5" t="s">
        <v>13</v>
      </c>
      <c r="F150" s="5" t="s">
        <v>13</v>
      </c>
      <c r="G150" s="5" t="s">
        <v>40</v>
      </c>
      <c r="H150" s="6" t="n">
        <v>828000</v>
      </c>
    </row>
    <row r="151" customFormat="false" ht="15" hidden="false" customHeight="false" outlineLevel="0" collapsed="false">
      <c r="A151" s="11" t="n">
        <v>43630</v>
      </c>
      <c r="B151" s="11" t="n">
        <v>43650</v>
      </c>
      <c r="C151" s="11" t="n">
        <v>43643</v>
      </c>
      <c r="D151" s="5" t="s">
        <v>26</v>
      </c>
      <c r="E151" s="5" t="s">
        <v>13</v>
      </c>
      <c r="F151" s="5" t="s">
        <v>13</v>
      </c>
      <c r="G151" s="5" t="s">
        <v>40</v>
      </c>
      <c r="H151" s="6" t="n">
        <v>266000</v>
      </c>
    </row>
    <row r="152" customFormat="false" ht="15" hidden="false" customHeight="false" outlineLevel="0" collapsed="false">
      <c r="A152" s="11" t="n">
        <v>43644</v>
      </c>
      <c r="B152" s="11" t="n">
        <v>43664</v>
      </c>
      <c r="C152" s="11" t="n">
        <v>43657</v>
      </c>
      <c r="D152" s="5" t="s">
        <v>26</v>
      </c>
      <c r="E152" s="5" t="s">
        <v>13</v>
      </c>
      <c r="F152" s="5" t="s">
        <v>13</v>
      </c>
      <c r="G152" s="5" t="s">
        <v>40</v>
      </c>
      <c r="H152" s="6" t="n">
        <v>544000</v>
      </c>
    </row>
    <row r="153" customFormat="false" ht="15" hidden="false" customHeight="false" outlineLevel="0" collapsed="false">
      <c r="A153" s="11" t="n">
        <v>43721</v>
      </c>
      <c r="B153" s="11" t="n">
        <v>43741</v>
      </c>
      <c r="C153" s="11" t="n">
        <v>43734</v>
      </c>
      <c r="D153" s="5" t="s">
        <v>26</v>
      </c>
      <c r="E153" s="5" t="s">
        <v>14</v>
      </c>
      <c r="F153" s="5" t="s">
        <v>14</v>
      </c>
      <c r="G153" s="5" t="s">
        <v>40</v>
      </c>
      <c r="H153" s="6" t="n">
        <v>204000</v>
      </c>
    </row>
    <row r="154" customFormat="false" ht="15" hidden="false" customHeight="false" outlineLevel="0" collapsed="false">
      <c r="A154" s="11" t="n">
        <v>43724</v>
      </c>
      <c r="B154" s="11" t="n">
        <v>43741</v>
      </c>
      <c r="C154" s="11" t="n">
        <v>43734</v>
      </c>
      <c r="D154" s="5" t="s">
        <v>26</v>
      </c>
      <c r="E154" s="5" t="s">
        <v>14</v>
      </c>
      <c r="F154" s="5" t="s">
        <v>14</v>
      </c>
      <c r="G154" s="5" t="s">
        <v>40</v>
      </c>
      <c r="H154" s="6" t="n">
        <v>256000</v>
      </c>
    </row>
    <row r="155" customFormat="false" ht="15" hidden="false" customHeight="false" outlineLevel="0" collapsed="false">
      <c r="A155" s="11" t="n">
        <v>43725</v>
      </c>
      <c r="B155" s="11" t="n">
        <v>43741</v>
      </c>
      <c r="C155" s="11" t="n">
        <v>43734</v>
      </c>
      <c r="D155" s="5" t="s">
        <v>26</v>
      </c>
      <c r="E155" s="5" t="s">
        <v>14</v>
      </c>
      <c r="F155" s="5" t="s">
        <v>14</v>
      </c>
      <c r="G155" s="5" t="s">
        <v>40</v>
      </c>
      <c r="H155" s="6" t="n">
        <v>260000</v>
      </c>
    </row>
    <row r="156" customFormat="false" ht="15" hidden="false" customHeight="false" outlineLevel="0" collapsed="false">
      <c r="A156" s="11" t="n">
        <v>43733</v>
      </c>
      <c r="B156" s="11" t="n">
        <v>43748</v>
      </c>
      <c r="C156" s="11" t="n">
        <v>43741</v>
      </c>
      <c r="D156" s="5" t="s">
        <v>26</v>
      </c>
      <c r="E156" s="5" t="s">
        <v>14</v>
      </c>
      <c r="F156" s="5" t="s">
        <v>14</v>
      </c>
      <c r="G156" s="5" t="s">
        <v>40</v>
      </c>
      <c r="H156" s="6" t="n">
        <v>581000</v>
      </c>
    </row>
    <row r="157" customFormat="false" ht="15" hidden="false" customHeight="false" outlineLevel="0" collapsed="false">
      <c r="A157" s="11" t="n">
        <v>43734</v>
      </c>
      <c r="B157" s="11" t="n">
        <v>43748</v>
      </c>
      <c r="C157" s="11" t="n">
        <v>43741</v>
      </c>
      <c r="D157" s="5" t="s">
        <v>26</v>
      </c>
      <c r="E157" s="5" t="s">
        <v>14</v>
      </c>
      <c r="F157" s="5" t="s">
        <v>14</v>
      </c>
      <c r="G157" s="5" t="s">
        <v>40</v>
      </c>
      <c r="H157" s="6" t="n">
        <v>257000</v>
      </c>
    </row>
    <row r="158" customFormat="false" ht="15" hidden="false" customHeight="false" outlineLevel="0" collapsed="false">
      <c r="A158" s="11" t="n">
        <v>43735</v>
      </c>
      <c r="B158" s="11" t="n">
        <v>43755</v>
      </c>
      <c r="C158" s="11" t="n">
        <v>43748</v>
      </c>
      <c r="D158" s="5" t="s">
        <v>26</v>
      </c>
      <c r="E158" s="5" t="s">
        <v>14</v>
      </c>
      <c r="F158" s="5" t="s">
        <v>14</v>
      </c>
      <c r="G158" s="5" t="s">
        <v>40</v>
      </c>
      <c r="H158" s="6" t="n">
        <v>126000</v>
      </c>
    </row>
    <row r="159" customFormat="false" ht="15" hidden="false" customHeight="false" outlineLevel="0" collapsed="false">
      <c r="A159" s="11" t="n">
        <v>43740</v>
      </c>
      <c r="B159" s="11" t="n">
        <v>43755</v>
      </c>
      <c r="C159" s="11" t="n">
        <v>43748</v>
      </c>
      <c r="D159" s="5" t="s">
        <v>26</v>
      </c>
      <c r="E159" s="5" t="s">
        <v>14</v>
      </c>
      <c r="F159" s="5" t="s">
        <v>14</v>
      </c>
      <c r="G159" s="5" t="s">
        <v>40</v>
      </c>
      <c r="H159" s="6" t="n">
        <v>464000</v>
      </c>
    </row>
    <row r="160" customFormat="false" ht="15" hidden="false" customHeight="false" outlineLevel="0" collapsed="false">
      <c r="A160" s="11" t="n">
        <v>43741</v>
      </c>
      <c r="B160" s="11" t="n">
        <v>43755</v>
      </c>
      <c r="C160" s="11" t="n">
        <v>43748</v>
      </c>
      <c r="D160" s="5" t="s">
        <v>26</v>
      </c>
      <c r="E160" s="5" t="s">
        <v>14</v>
      </c>
      <c r="F160" s="5" t="s">
        <v>14</v>
      </c>
      <c r="G160" s="5" t="s">
        <v>40</v>
      </c>
      <c r="H160" s="6" t="n">
        <v>252000</v>
      </c>
    </row>
    <row r="161" customFormat="false" ht="15" hidden="false" customHeight="false" outlineLevel="0" collapsed="false">
      <c r="A161" s="11" t="n">
        <v>43745</v>
      </c>
      <c r="B161" s="11" t="n">
        <v>43762</v>
      </c>
      <c r="C161" s="11" t="n">
        <v>43755</v>
      </c>
      <c r="D161" s="5" t="s">
        <v>26</v>
      </c>
      <c r="E161" s="5" t="s">
        <v>14</v>
      </c>
      <c r="F161" s="5" t="s">
        <v>14</v>
      </c>
      <c r="G161" s="5" t="s">
        <v>40</v>
      </c>
      <c r="H161" s="6" t="n">
        <v>198000</v>
      </c>
    </row>
    <row r="162" customFormat="false" ht="15" hidden="false" customHeight="false" outlineLevel="0" collapsed="false">
      <c r="A162" s="11" t="n">
        <v>43748</v>
      </c>
      <c r="B162" s="11" t="n">
        <v>43762</v>
      </c>
      <c r="C162" s="11" t="n">
        <v>43755</v>
      </c>
      <c r="D162" s="5" t="s">
        <v>26</v>
      </c>
      <c r="E162" s="5" t="s">
        <v>14</v>
      </c>
      <c r="F162" s="5" t="s">
        <v>14</v>
      </c>
      <c r="G162" s="5" t="s">
        <v>40</v>
      </c>
      <c r="H162" s="6" t="n">
        <v>398000</v>
      </c>
    </row>
    <row r="163" customFormat="false" ht="15" hidden="false" customHeight="false" outlineLevel="0" collapsed="false">
      <c r="A163" s="11" t="n">
        <v>43762</v>
      </c>
      <c r="B163" s="11" t="n">
        <v>43776</v>
      </c>
      <c r="C163" s="11" t="n">
        <v>43769</v>
      </c>
      <c r="D163" s="5" t="s">
        <v>26</v>
      </c>
      <c r="E163" s="5" t="s">
        <v>14</v>
      </c>
      <c r="F163" s="5" t="s">
        <v>14</v>
      </c>
      <c r="G163" s="5" t="s">
        <v>40</v>
      </c>
      <c r="H163" s="6" t="n">
        <v>264000</v>
      </c>
    </row>
    <row r="164" customFormat="false" ht="15" hidden="false" customHeight="false" outlineLevel="0" collapsed="false">
      <c r="A164" s="11" t="n">
        <v>43770</v>
      </c>
      <c r="B164" s="11" t="n">
        <v>43790</v>
      </c>
      <c r="C164" s="11" t="n">
        <v>43783</v>
      </c>
      <c r="D164" s="5" t="s">
        <v>26</v>
      </c>
      <c r="E164" s="5" t="s">
        <v>14</v>
      </c>
      <c r="F164" s="5" t="s">
        <v>14</v>
      </c>
      <c r="G164" s="5" t="s">
        <v>40</v>
      </c>
      <c r="H164" s="6" t="n">
        <v>132000</v>
      </c>
    </row>
    <row r="165" customFormat="false" ht="15" hidden="false" customHeight="false" outlineLevel="0" collapsed="false">
      <c r="A165" s="11" t="n">
        <v>43776</v>
      </c>
      <c r="B165" s="11" t="n">
        <v>43790</v>
      </c>
      <c r="C165" s="11" t="n">
        <v>43783</v>
      </c>
      <c r="D165" s="5" t="s">
        <v>26</v>
      </c>
      <c r="E165" s="5" t="s">
        <v>14</v>
      </c>
      <c r="F165" s="5" t="s">
        <v>14</v>
      </c>
      <c r="G165" s="5" t="s">
        <v>40</v>
      </c>
      <c r="H165" s="6" t="n">
        <v>136000</v>
      </c>
    </row>
    <row r="166" customFormat="false" ht="15" hidden="false" customHeight="false" outlineLevel="0" collapsed="false">
      <c r="A166" s="11" t="n">
        <v>43783</v>
      </c>
      <c r="B166" s="11" t="n">
        <v>43797</v>
      </c>
      <c r="C166" s="11" t="n">
        <v>43790</v>
      </c>
      <c r="D166" s="5" t="s">
        <v>26</v>
      </c>
      <c r="E166" s="5" t="s">
        <v>14</v>
      </c>
      <c r="F166" s="5" t="s">
        <v>14</v>
      </c>
      <c r="G166" s="5" t="s">
        <v>40</v>
      </c>
      <c r="H166" s="6" t="n">
        <v>129000</v>
      </c>
    </row>
    <row r="167" customFormat="false" ht="15" hidden="false" customHeight="false" outlineLevel="0" collapsed="false">
      <c r="A167" s="11" t="n">
        <v>43810</v>
      </c>
      <c r="B167" s="11" t="n">
        <v>43825</v>
      </c>
      <c r="C167" s="11" t="n">
        <v>43818</v>
      </c>
      <c r="D167" s="5" t="s">
        <v>26</v>
      </c>
      <c r="E167" s="5" t="s">
        <v>14</v>
      </c>
      <c r="F167" s="5" t="s">
        <v>14</v>
      </c>
      <c r="G167" s="5" t="s">
        <v>40</v>
      </c>
      <c r="H167" s="6" t="n">
        <v>585000</v>
      </c>
    </row>
    <row r="168" customFormat="false" ht="15" hidden="false" customHeight="false" outlineLevel="0" collapsed="false">
      <c r="A168" s="11" t="n">
        <v>43818</v>
      </c>
      <c r="B168" s="11" t="n">
        <v>43832</v>
      </c>
      <c r="C168" s="11" t="n">
        <v>43825</v>
      </c>
      <c r="D168" s="5" t="s">
        <v>26</v>
      </c>
      <c r="E168" s="5" t="s">
        <v>14</v>
      </c>
      <c r="F168" s="5" t="s">
        <v>14</v>
      </c>
      <c r="G168" s="5" t="s">
        <v>40</v>
      </c>
      <c r="H168" s="6" t="n">
        <v>126000</v>
      </c>
    </row>
    <row r="169" customFormat="false" ht="15" hidden="false" customHeight="false" outlineLevel="0" collapsed="false">
      <c r="A169" s="11" t="n">
        <v>43822</v>
      </c>
      <c r="B169" s="11" t="n">
        <v>43839</v>
      </c>
      <c r="C169" s="11" t="n">
        <v>43832</v>
      </c>
      <c r="D169" s="5" t="s">
        <v>26</v>
      </c>
      <c r="E169" s="5" t="s">
        <v>14</v>
      </c>
      <c r="F169" s="5" t="s">
        <v>14</v>
      </c>
      <c r="G169" s="5" t="s">
        <v>40</v>
      </c>
      <c r="H169" s="6" t="n">
        <v>126000</v>
      </c>
    </row>
    <row r="170" customFormat="false" ht="15" hidden="false" customHeight="false" outlineLevel="0" collapsed="false">
      <c r="A170" s="11" t="n">
        <v>43845</v>
      </c>
      <c r="B170" s="11" t="n">
        <v>43860</v>
      </c>
      <c r="C170" s="11" t="n">
        <v>43853</v>
      </c>
      <c r="D170" s="5" t="s">
        <v>26</v>
      </c>
      <c r="E170" s="5" t="s">
        <v>14</v>
      </c>
      <c r="F170" s="5" t="s">
        <v>14</v>
      </c>
      <c r="G170" s="5" t="s">
        <v>40</v>
      </c>
      <c r="H170" s="6" t="n">
        <v>126000</v>
      </c>
    </row>
    <row r="171" customFormat="false" ht="15" hidden="false" customHeight="false" outlineLevel="0" collapsed="false">
      <c r="A171" s="11" t="n">
        <v>43910</v>
      </c>
      <c r="B171" s="11" t="n">
        <v>43930</v>
      </c>
      <c r="C171" s="11" t="n">
        <v>43923</v>
      </c>
      <c r="D171" s="5" t="s">
        <v>26</v>
      </c>
      <c r="E171" s="5" t="s">
        <v>14</v>
      </c>
      <c r="F171" s="5" t="s">
        <v>14</v>
      </c>
      <c r="G171" s="5" t="s">
        <v>3</v>
      </c>
      <c r="H171" s="6" t="n">
        <v>756000</v>
      </c>
    </row>
    <row r="172" customFormat="false" ht="15" hidden="false" customHeight="false" outlineLevel="0" collapsed="false">
      <c r="A172" s="11" t="n">
        <v>43924</v>
      </c>
      <c r="B172" s="11" t="n">
        <v>43944</v>
      </c>
      <c r="C172" s="11" t="n">
        <v>43937</v>
      </c>
      <c r="D172" s="5" t="s">
        <v>26</v>
      </c>
      <c r="E172" s="5" t="s">
        <v>14</v>
      </c>
      <c r="F172" s="5" t="s">
        <v>14</v>
      </c>
      <c r="G172" s="5" t="s">
        <v>3</v>
      </c>
      <c r="H172" s="6" t="n">
        <v>63000</v>
      </c>
    </row>
    <row r="173" customFormat="false" ht="15" hidden="false" customHeight="false" outlineLevel="0" collapsed="false">
      <c r="A173" s="11" t="n">
        <v>43924</v>
      </c>
      <c r="B173" s="11" t="n">
        <v>43944</v>
      </c>
      <c r="C173" s="11" t="n">
        <v>43937</v>
      </c>
      <c r="D173" s="5" t="s">
        <v>26</v>
      </c>
      <c r="E173" s="5" t="s">
        <v>15</v>
      </c>
      <c r="F173" s="5" t="s">
        <v>14</v>
      </c>
      <c r="G173" s="5" t="s">
        <v>3</v>
      </c>
      <c r="H173" s="6" t="n">
        <v>504000</v>
      </c>
    </row>
    <row r="174" customFormat="false" ht="15" hidden="false" customHeight="false" outlineLevel="0" collapsed="false">
      <c r="A174" s="11" t="n">
        <v>43943</v>
      </c>
      <c r="B174" s="11" t="n">
        <v>43958</v>
      </c>
      <c r="C174" s="11" t="n">
        <v>43951</v>
      </c>
      <c r="D174" s="5" t="s">
        <v>26</v>
      </c>
      <c r="E174" s="5" t="s">
        <v>14</v>
      </c>
      <c r="F174" s="5" t="s">
        <v>14</v>
      </c>
      <c r="G174" s="5" t="s">
        <v>40</v>
      </c>
      <c r="H174" s="6" t="n">
        <v>198000</v>
      </c>
    </row>
    <row r="175" customFormat="false" ht="15" hidden="false" customHeight="false" outlineLevel="0" collapsed="false">
      <c r="A175" s="11" t="n">
        <v>43944</v>
      </c>
      <c r="B175" s="11" t="n">
        <v>43958</v>
      </c>
      <c r="C175" s="11" t="n">
        <v>43951</v>
      </c>
      <c r="D175" s="5" t="s">
        <v>26</v>
      </c>
      <c r="E175" s="5" t="s">
        <v>14</v>
      </c>
      <c r="F175" s="5" t="s">
        <v>14</v>
      </c>
      <c r="G175" s="5" t="s">
        <v>40</v>
      </c>
      <c r="H175" s="6" t="n">
        <v>272000</v>
      </c>
    </row>
    <row r="176" customFormat="false" ht="15" hidden="false" customHeight="false" outlineLevel="0" collapsed="false">
      <c r="A176" s="11" t="n">
        <v>43945</v>
      </c>
      <c r="B176" s="11" t="n">
        <v>43965</v>
      </c>
      <c r="C176" s="11" t="n">
        <v>43958</v>
      </c>
      <c r="D176" s="5" t="s">
        <v>26</v>
      </c>
      <c r="E176" s="5" t="s">
        <v>14</v>
      </c>
      <c r="F176" s="5" t="s">
        <v>14</v>
      </c>
      <c r="G176" s="5" t="s">
        <v>40</v>
      </c>
      <c r="H176" s="6" t="n">
        <v>136000</v>
      </c>
    </row>
    <row r="177" customFormat="false" ht="15" hidden="false" customHeight="false" outlineLevel="0" collapsed="false">
      <c r="A177" s="11" t="n">
        <v>43952</v>
      </c>
      <c r="B177" s="11" t="n">
        <v>43972</v>
      </c>
      <c r="C177" s="11" t="n">
        <v>43965</v>
      </c>
      <c r="D177" s="5" t="s">
        <v>26</v>
      </c>
      <c r="E177" s="5" t="s">
        <v>14</v>
      </c>
      <c r="F177" s="5" t="s">
        <v>14</v>
      </c>
      <c r="G177" s="5" t="s">
        <v>40</v>
      </c>
      <c r="H177" s="6" t="n">
        <v>132000</v>
      </c>
    </row>
    <row r="178" customFormat="false" ht="15" hidden="false" customHeight="false" outlineLevel="0" collapsed="false">
      <c r="A178" s="11" t="n">
        <v>43952</v>
      </c>
      <c r="B178" s="11" t="n">
        <v>43972</v>
      </c>
      <c r="C178" s="11" t="n">
        <v>43965</v>
      </c>
      <c r="D178" s="5" t="s">
        <v>26</v>
      </c>
      <c r="E178" s="5" t="s">
        <v>15</v>
      </c>
      <c r="F178" s="5" t="s">
        <v>14</v>
      </c>
      <c r="G178" s="5" t="s">
        <v>40</v>
      </c>
      <c r="H178" s="6" t="n">
        <v>132000</v>
      </c>
    </row>
    <row r="179" customFormat="false" ht="15" hidden="false" customHeight="false" outlineLevel="0" collapsed="false">
      <c r="A179" s="11" t="n">
        <v>43956</v>
      </c>
      <c r="B179" s="11" t="n">
        <v>43972</v>
      </c>
      <c r="C179" s="11" t="n">
        <v>43965</v>
      </c>
      <c r="D179" s="5" t="s">
        <v>26</v>
      </c>
      <c r="E179" s="5" t="s">
        <v>14</v>
      </c>
      <c r="F179" s="5" t="s">
        <v>14</v>
      </c>
      <c r="G179" s="5" t="s">
        <v>40</v>
      </c>
      <c r="H179" s="6" t="n">
        <v>136000</v>
      </c>
    </row>
    <row r="180" customFormat="false" ht="15" hidden="false" customHeight="false" outlineLevel="0" collapsed="false">
      <c r="A180" s="11" t="n">
        <v>43956</v>
      </c>
      <c r="B180" s="11" t="n">
        <v>43972</v>
      </c>
      <c r="C180" s="11" t="n">
        <v>43965</v>
      </c>
      <c r="D180" s="5" t="s">
        <v>26</v>
      </c>
      <c r="E180" s="5" t="s">
        <v>15</v>
      </c>
      <c r="F180" s="5" t="s">
        <v>14</v>
      </c>
      <c r="G180" s="5" t="s">
        <v>40</v>
      </c>
      <c r="H180" s="6" t="n">
        <v>242000</v>
      </c>
    </row>
    <row r="181" customFormat="false" ht="15" hidden="false" customHeight="false" outlineLevel="0" collapsed="false">
      <c r="A181" s="11" t="n">
        <v>43958</v>
      </c>
      <c r="B181" s="11" t="n">
        <v>43972</v>
      </c>
      <c r="C181" s="11" t="n">
        <v>43965</v>
      </c>
      <c r="D181" s="5" t="s">
        <v>26</v>
      </c>
      <c r="E181" s="5" t="s">
        <v>14</v>
      </c>
      <c r="F181" s="5" t="s">
        <v>14</v>
      </c>
      <c r="G181" s="5" t="s">
        <v>3</v>
      </c>
      <c r="H181" s="6" t="n">
        <v>371000</v>
      </c>
    </row>
    <row r="182" customFormat="false" ht="15" hidden="false" customHeight="false" outlineLevel="0" collapsed="false">
      <c r="A182" s="11" t="n">
        <v>43958</v>
      </c>
      <c r="B182" s="11" t="n">
        <v>43972</v>
      </c>
      <c r="C182" s="11" t="n">
        <v>43965</v>
      </c>
      <c r="D182" s="5" t="s">
        <v>26</v>
      </c>
      <c r="E182" s="5" t="s">
        <v>15</v>
      </c>
      <c r="F182" s="5" t="s">
        <v>14</v>
      </c>
      <c r="G182" s="5" t="s">
        <v>3</v>
      </c>
      <c r="H182" s="6" t="n">
        <v>315000</v>
      </c>
    </row>
    <row r="183" customFormat="false" ht="15" hidden="false" customHeight="false" outlineLevel="0" collapsed="false">
      <c r="A183" s="11" t="n">
        <v>43963</v>
      </c>
      <c r="B183" s="11" t="n">
        <v>43979</v>
      </c>
      <c r="C183" s="11" t="n">
        <v>43972</v>
      </c>
      <c r="D183" s="5" t="s">
        <v>26</v>
      </c>
      <c r="E183" s="5" t="s">
        <v>14</v>
      </c>
      <c r="F183" s="5" t="s">
        <v>14</v>
      </c>
      <c r="G183" s="5" t="s">
        <v>40</v>
      </c>
      <c r="H183" s="6" t="n">
        <v>136000</v>
      </c>
    </row>
    <row r="184" customFormat="false" ht="15" hidden="false" customHeight="false" outlineLevel="0" collapsed="false">
      <c r="A184" s="11" t="n">
        <v>43964</v>
      </c>
      <c r="B184" s="11" t="n">
        <v>43979</v>
      </c>
      <c r="C184" s="11" t="n">
        <v>43972</v>
      </c>
      <c r="D184" s="5" t="s">
        <v>26</v>
      </c>
      <c r="E184" s="5" t="s">
        <v>14</v>
      </c>
      <c r="F184" s="5" t="s">
        <v>14</v>
      </c>
      <c r="G184" s="5" t="s">
        <v>40</v>
      </c>
      <c r="H184" s="6" t="n">
        <v>198000</v>
      </c>
    </row>
    <row r="185" customFormat="false" ht="15" hidden="false" customHeight="false" outlineLevel="0" collapsed="false">
      <c r="A185" s="11" t="n">
        <v>43964</v>
      </c>
      <c r="B185" s="11" t="n">
        <v>43979</v>
      </c>
      <c r="C185" s="11" t="n">
        <v>43972</v>
      </c>
      <c r="D185" s="5" t="s">
        <v>26</v>
      </c>
      <c r="E185" s="5" t="s">
        <v>15</v>
      </c>
      <c r="F185" s="5" t="s">
        <v>14</v>
      </c>
      <c r="G185" s="5" t="s">
        <v>40</v>
      </c>
      <c r="H185" s="6" t="n">
        <v>198000</v>
      </c>
    </row>
    <row r="186" customFormat="false" ht="15" hidden="false" customHeight="false" outlineLevel="0" collapsed="false">
      <c r="A186" s="11" t="n">
        <v>43965</v>
      </c>
      <c r="B186" s="11" t="n">
        <v>43979</v>
      </c>
      <c r="C186" s="11" t="n">
        <v>43972</v>
      </c>
      <c r="D186" s="5" t="s">
        <v>26</v>
      </c>
      <c r="E186" s="5" t="s">
        <v>14</v>
      </c>
      <c r="F186" s="5" t="s">
        <v>14</v>
      </c>
      <c r="G186" s="5" t="s">
        <v>40</v>
      </c>
      <c r="H186" s="6" t="n">
        <v>132000</v>
      </c>
    </row>
    <row r="187" customFormat="false" ht="15" hidden="false" customHeight="false" outlineLevel="0" collapsed="false">
      <c r="A187" s="11" t="n">
        <v>43965</v>
      </c>
      <c r="B187" s="11" t="n">
        <v>43979</v>
      </c>
      <c r="C187" s="11" t="n">
        <v>43972</v>
      </c>
      <c r="D187" s="5" t="s">
        <v>26</v>
      </c>
      <c r="E187" s="5" t="s">
        <v>15</v>
      </c>
      <c r="F187" s="5" t="s">
        <v>14</v>
      </c>
      <c r="G187" s="5" t="s">
        <v>40</v>
      </c>
      <c r="H187" s="6" t="n">
        <v>66000</v>
      </c>
    </row>
    <row r="188" customFormat="false" ht="15" hidden="false" customHeight="false" outlineLevel="0" collapsed="false">
      <c r="A188" s="11" t="n">
        <v>43977</v>
      </c>
      <c r="B188" s="11" t="n">
        <v>43993</v>
      </c>
      <c r="C188" s="11" t="n">
        <v>43986</v>
      </c>
      <c r="D188" s="5" t="s">
        <v>26</v>
      </c>
      <c r="E188" s="5" t="s">
        <v>14</v>
      </c>
      <c r="F188" s="5" t="s">
        <v>14</v>
      </c>
      <c r="G188" s="5" t="s">
        <v>40</v>
      </c>
      <c r="H188" s="6" t="n">
        <v>126000</v>
      </c>
    </row>
    <row r="189" customFormat="false" ht="15" hidden="false" customHeight="false" outlineLevel="0" collapsed="false">
      <c r="A189" s="11" t="n">
        <v>43977</v>
      </c>
      <c r="B189" s="11" t="n">
        <v>43993</v>
      </c>
      <c r="C189" s="11" t="n">
        <v>43986</v>
      </c>
      <c r="D189" s="5" t="s">
        <v>26</v>
      </c>
      <c r="E189" s="5" t="s">
        <v>15</v>
      </c>
      <c r="F189" s="5" t="s">
        <v>14</v>
      </c>
      <c r="G189" s="5" t="s">
        <v>40</v>
      </c>
      <c r="H189" s="6" t="n">
        <v>396000</v>
      </c>
    </row>
    <row r="190" customFormat="false" ht="15" hidden="false" customHeight="false" outlineLevel="0" collapsed="false">
      <c r="A190" s="11" t="n">
        <v>43980</v>
      </c>
      <c r="B190" s="11" t="n">
        <v>44000</v>
      </c>
      <c r="C190" s="11" t="n">
        <v>43993</v>
      </c>
      <c r="D190" s="5" t="s">
        <v>26</v>
      </c>
      <c r="E190" s="5" t="s">
        <v>14</v>
      </c>
      <c r="F190" s="5" t="s">
        <v>14</v>
      </c>
      <c r="G190" s="5" t="s">
        <v>40</v>
      </c>
      <c r="H190" s="6" t="n">
        <v>66000</v>
      </c>
    </row>
    <row r="191" customFormat="false" ht="15" hidden="false" customHeight="false" outlineLevel="0" collapsed="false">
      <c r="A191" s="11" t="n">
        <v>43980</v>
      </c>
      <c r="B191" s="11" t="n">
        <v>44000</v>
      </c>
      <c r="C191" s="11" t="n">
        <v>43993</v>
      </c>
      <c r="D191" s="5" t="s">
        <v>26</v>
      </c>
      <c r="E191" s="5" t="s">
        <v>15</v>
      </c>
      <c r="F191" s="5" t="s">
        <v>14</v>
      </c>
      <c r="G191" s="5" t="s">
        <v>40</v>
      </c>
      <c r="H191" s="6" t="n">
        <v>66000</v>
      </c>
    </row>
    <row r="192" customFormat="false" ht="15" hidden="false" customHeight="false" outlineLevel="0" collapsed="false">
      <c r="A192" s="11" t="n">
        <v>43984</v>
      </c>
      <c r="B192" s="11" t="n">
        <v>44000</v>
      </c>
      <c r="C192" s="11" t="n">
        <v>43993</v>
      </c>
      <c r="D192" s="5" t="s">
        <v>26</v>
      </c>
      <c r="E192" s="5" t="s">
        <v>15</v>
      </c>
      <c r="F192" s="5" t="s">
        <v>14</v>
      </c>
      <c r="G192" s="5" t="s">
        <v>40</v>
      </c>
      <c r="H192" s="6" t="n">
        <v>132000</v>
      </c>
    </row>
    <row r="193" customFormat="false" ht="15" hidden="false" customHeight="false" outlineLevel="0" collapsed="false">
      <c r="A193" s="11" t="n">
        <v>43993</v>
      </c>
      <c r="B193" s="11" t="n">
        <v>44007</v>
      </c>
      <c r="C193" s="11" t="n">
        <v>44000</v>
      </c>
      <c r="D193" s="5" t="s">
        <v>26</v>
      </c>
      <c r="E193" s="5" t="s">
        <v>14</v>
      </c>
      <c r="F193" s="5" t="s">
        <v>14</v>
      </c>
      <c r="G193" s="5" t="s">
        <v>40</v>
      </c>
      <c r="H193" s="6" t="n">
        <v>63000</v>
      </c>
    </row>
    <row r="194" customFormat="false" ht="15" hidden="false" customHeight="false" outlineLevel="0" collapsed="false">
      <c r="A194" s="11" t="n">
        <v>43993</v>
      </c>
      <c r="B194" s="11" t="n">
        <v>44007</v>
      </c>
      <c r="C194" s="11" t="n">
        <v>44000</v>
      </c>
      <c r="D194" s="5" t="s">
        <v>26</v>
      </c>
      <c r="E194" s="5" t="s">
        <v>15</v>
      </c>
      <c r="F194" s="5" t="s">
        <v>14</v>
      </c>
      <c r="G194" s="5" t="s">
        <v>40</v>
      </c>
      <c r="H194" s="6" t="n">
        <v>657000</v>
      </c>
    </row>
    <row r="195" customFormat="false" ht="15" hidden="false" customHeight="false" outlineLevel="0" collapsed="false">
      <c r="A195" s="11" t="n">
        <v>43997</v>
      </c>
      <c r="B195" s="11" t="n">
        <v>44014</v>
      </c>
      <c r="C195" s="11" t="n">
        <v>44007</v>
      </c>
      <c r="D195" s="5" t="s">
        <v>26</v>
      </c>
      <c r="E195" s="5" t="s">
        <v>15</v>
      </c>
      <c r="F195" s="5" t="s">
        <v>14</v>
      </c>
      <c r="G195" s="5" t="s">
        <v>40</v>
      </c>
      <c r="H195" s="6" t="n">
        <v>390000</v>
      </c>
    </row>
    <row r="196" customFormat="false" ht="15" hidden="false" customHeight="false" outlineLevel="0" collapsed="false">
      <c r="A196" s="11" t="n">
        <v>44005</v>
      </c>
      <c r="B196" s="11" t="n">
        <v>44021</v>
      </c>
      <c r="C196" s="11" t="n">
        <v>44014</v>
      </c>
      <c r="D196" s="5" t="s">
        <v>26</v>
      </c>
      <c r="E196" s="5" t="s">
        <v>15</v>
      </c>
      <c r="F196" s="5" t="s">
        <v>14</v>
      </c>
      <c r="G196" s="5" t="s">
        <v>40</v>
      </c>
      <c r="H196" s="6" t="n">
        <v>132000</v>
      </c>
    </row>
    <row r="197" customFormat="false" ht="15" hidden="false" customHeight="false" outlineLevel="0" collapsed="false">
      <c r="A197" s="11" t="n">
        <v>44008</v>
      </c>
      <c r="B197" s="11" t="n">
        <v>44028</v>
      </c>
      <c r="C197" s="11" t="n">
        <v>44021</v>
      </c>
      <c r="D197" s="5" t="s">
        <v>26</v>
      </c>
      <c r="E197" s="5" t="s">
        <v>15</v>
      </c>
      <c r="F197" s="5" t="s">
        <v>14</v>
      </c>
      <c r="G197" s="5" t="s">
        <v>40</v>
      </c>
      <c r="H197" s="6" t="n">
        <v>132000</v>
      </c>
    </row>
    <row r="198" customFormat="false" ht="15" hidden="false" customHeight="false" outlineLevel="0" collapsed="false">
      <c r="A198" s="11" t="n">
        <v>44014</v>
      </c>
      <c r="B198" s="11" t="n">
        <v>44028</v>
      </c>
      <c r="C198" s="11" t="n">
        <v>44021</v>
      </c>
      <c r="D198" s="5" t="s">
        <v>26</v>
      </c>
      <c r="E198" s="5" t="s">
        <v>15</v>
      </c>
      <c r="F198" s="5" t="s">
        <v>14</v>
      </c>
      <c r="G198" s="5" t="s">
        <v>3</v>
      </c>
      <c r="H198" s="6" t="n">
        <v>202000</v>
      </c>
    </row>
    <row r="199" customFormat="false" ht="15" hidden="false" customHeight="false" outlineLevel="0" collapsed="false">
      <c r="A199" s="11" t="n">
        <v>44014</v>
      </c>
      <c r="B199" s="11" t="n">
        <v>44028</v>
      </c>
      <c r="C199" s="11" t="n">
        <v>44021</v>
      </c>
      <c r="D199" s="5" t="s">
        <v>26</v>
      </c>
      <c r="E199" s="5" t="s">
        <v>15</v>
      </c>
      <c r="F199" s="5" t="s">
        <v>14</v>
      </c>
      <c r="G199" s="5" t="s">
        <v>40</v>
      </c>
      <c r="H199" s="6" t="n">
        <v>126000</v>
      </c>
    </row>
    <row r="200" customFormat="false" ht="15" hidden="false" customHeight="false" outlineLevel="0" collapsed="false">
      <c r="A200" s="11" t="n">
        <v>44018</v>
      </c>
      <c r="B200" s="11" t="n">
        <v>44035</v>
      </c>
      <c r="C200" s="11" t="n">
        <v>44028</v>
      </c>
      <c r="D200" s="5" t="s">
        <v>26</v>
      </c>
      <c r="E200" s="5" t="s">
        <v>15</v>
      </c>
      <c r="F200" s="5" t="s">
        <v>14</v>
      </c>
      <c r="G200" s="5" t="s">
        <v>3</v>
      </c>
      <c r="H200" s="6" t="n">
        <v>202000</v>
      </c>
    </row>
    <row r="201" customFormat="false" ht="15" hidden="false" customHeight="false" outlineLevel="0" collapsed="false">
      <c r="A201" s="11" t="n">
        <v>44018</v>
      </c>
      <c r="B201" s="11" t="n">
        <v>44035</v>
      </c>
      <c r="C201" s="11" t="n">
        <v>44028</v>
      </c>
      <c r="D201" s="5" t="s">
        <v>26</v>
      </c>
      <c r="E201" s="5" t="s">
        <v>14</v>
      </c>
      <c r="F201" s="5" t="s">
        <v>14</v>
      </c>
      <c r="G201" s="5" t="s">
        <v>40</v>
      </c>
      <c r="H201" s="6" t="n">
        <v>264000</v>
      </c>
    </row>
    <row r="202" customFormat="false" ht="15" hidden="false" customHeight="false" outlineLevel="0" collapsed="false">
      <c r="A202" s="11" t="n">
        <v>44022</v>
      </c>
      <c r="B202" s="11" t="n">
        <v>44042</v>
      </c>
      <c r="C202" s="11" t="n">
        <v>44035</v>
      </c>
      <c r="D202" s="5" t="s">
        <v>26</v>
      </c>
      <c r="E202" s="5" t="s">
        <v>14</v>
      </c>
      <c r="F202" s="5" t="s">
        <v>14</v>
      </c>
      <c r="G202" s="5" t="s">
        <v>3</v>
      </c>
      <c r="H202" s="6" t="n">
        <v>765000</v>
      </c>
    </row>
    <row r="203" customFormat="false" ht="15" hidden="false" customHeight="false" outlineLevel="0" collapsed="false">
      <c r="A203" s="11" t="n">
        <v>44022</v>
      </c>
      <c r="B203" s="11" t="n">
        <v>44042</v>
      </c>
      <c r="C203" s="11" t="n">
        <v>44035</v>
      </c>
      <c r="D203" s="5" t="s">
        <v>26</v>
      </c>
      <c r="E203" s="5" t="s">
        <v>15</v>
      </c>
      <c r="F203" s="5" t="s">
        <v>14</v>
      </c>
      <c r="G203" s="5" t="s">
        <v>3</v>
      </c>
      <c r="H203" s="6" t="n">
        <v>600000</v>
      </c>
    </row>
    <row r="204" customFormat="false" ht="15" hidden="false" customHeight="false" outlineLevel="0" collapsed="false">
      <c r="A204" s="11" t="n">
        <v>44026</v>
      </c>
      <c r="B204" s="11" t="n">
        <v>44042</v>
      </c>
      <c r="C204" s="11" t="n">
        <v>44035</v>
      </c>
      <c r="D204" s="5" t="s">
        <v>26</v>
      </c>
      <c r="E204" s="5" t="s">
        <v>15</v>
      </c>
      <c r="F204" s="5" t="s">
        <v>14</v>
      </c>
      <c r="G204" s="5" t="s">
        <v>3</v>
      </c>
      <c r="H204" s="6" t="n">
        <v>1762000</v>
      </c>
    </row>
    <row r="205" customFormat="false" ht="15" hidden="false" customHeight="false" outlineLevel="0" collapsed="false">
      <c r="A205" s="11" t="n">
        <v>44026</v>
      </c>
      <c r="B205" s="11" t="n">
        <v>44042</v>
      </c>
      <c r="C205" s="11" t="n">
        <v>44035</v>
      </c>
      <c r="D205" s="5" t="s">
        <v>26</v>
      </c>
      <c r="E205" s="5" t="s">
        <v>15</v>
      </c>
      <c r="F205" s="5" t="s">
        <v>14</v>
      </c>
      <c r="G205" s="5" t="s">
        <v>40</v>
      </c>
      <c r="H205" s="6" t="n">
        <v>129000</v>
      </c>
    </row>
    <row r="206" customFormat="false" ht="15" hidden="false" customHeight="false" outlineLevel="0" collapsed="false">
      <c r="A206" s="11" t="n">
        <v>44027</v>
      </c>
      <c r="B206" s="11" t="n">
        <v>44042</v>
      </c>
      <c r="C206" s="11" t="n">
        <v>44035</v>
      </c>
      <c r="D206" s="5" t="s">
        <v>26</v>
      </c>
      <c r="E206" s="5" t="s">
        <v>15</v>
      </c>
      <c r="F206" s="5" t="s">
        <v>14</v>
      </c>
      <c r="G206" s="5" t="s">
        <v>3</v>
      </c>
      <c r="H206" s="6" t="n">
        <v>132000</v>
      </c>
    </row>
    <row r="207" customFormat="false" ht="15" hidden="false" customHeight="false" outlineLevel="0" collapsed="false">
      <c r="A207" s="11" t="n">
        <v>44027</v>
      </c>
      <c r="B207" s="11" t="n">
        <v>44042</v>
      </c>
      <c r="C207" s="11" t="n">
        <v>44035</v>
      </c>
      <c r="D207" s="5" t="s">
        <v>26</v>
      </c>
      <c r="E207" s="5" t="s">
        <v>15</v>
      </c>
      <c r="F207" s="5" t="s">
        <v>14</v>
      </c>
      <c r="G207" s="5" t="s">
        <v>40</v>
      </c>
      <c r="H207" s="6" t="n">
        <v>389000</v>
      </c>
    </row>
    <row r="208" customFormat="false" ht="15" hidden="false" customHeight="false" outlineLevel="0" collapsed="false">
      <c r="A208" s="11" t="n">
        <v>44028</v>
      </c>
      <c r="B208" s="11" t="n">
        <v>44042</v>
      </c>
      <c r="C208" s="11" t="n">
        <v>44035</v>
      </c>
      <c r="D208" s="5" t="s">
        <v>26</v>
      </c>
      <c r="E208" s="5" t="s">
        <v>14</v>
      </c>
      <c r="F208" s="5" t="s">
        <v>14</v>
      </c>
      <c r="G208" s="5" t="s">
        <v>40</v>
      </c>
      <c r="H208" s="6" t="n">
        <v>132000</v>
      </c>
    </row>
    <row r="209" customFormat="false" ht="15" hidden="false" customHeight="false" outlineLevel="0" collapsed="false">
      <c r="A209" s="11" t="n">
        <v>44028</v>
      </c>
      <c r="B209" s="11" t="n">
        <v>44042</v>
      </c>
      <c r="C209" s="11" t="n">
        <v>44035</v>
      </c>
      <c r="D209" s="5" t="s">
        <v>26</v>
      </c>
      <c r="E209" s="5" t="s">
        <v>15</v>
      </c>
      <c r="F209" s="5" t="s">
        <v>14</v>
      </c>
      <c r="G209" s="5" t="s">
        <v>40</v>
      </c>
      <c r="H209" s="6" t="n">
        <v>390000</v>
      </c>
    </row>
    <row r="210" customFormat="false" ht="15" hidden="false" customHeight="false" outlineLevel="0" collapsed="false">
      <c r="A210" s="11" t="n">
        <v>44032</v>
      </c>
      <c r="B210" s="11" t="n">
        <v>44049</v>
      </c>
      <c r="C210" s="11" t="n">
        <v>44042</v>
      </c>
      <c r="D210" s="5" t="s">
        <v>26</v>
      </c>
      <c r="E210" s="5" t="s">
        <v>15</v>
      </c>
      <c r="F210" s="5" t="s">
        <v>14</v>
      </c>
      <c r="G210" s="5" t="s">
        <v>40</v>
      </c>
      <c r="H210" s="6" t="n">
        <v>132000</v>
      </c>
    </row>
    <row r="211" customFormat="false" ht="15" hidden="false" customHeight="false" outlineLevel="0" collapsed="false">
      <c r="A211" s="11" t="n">
        <v>44033</v>
      </c>
      <c r="B211" s="11" t="n">
        <v>44049</v>
      </c>
      <c r="C211" s="11" t="n">
        <v>44042</v>
      </c>
      <c r="D211" s="5" t="s">
        <v>26</v>
      </c>
      <c r="E211" s="5" t="s">
        <v>15</v>
      </c>
      <c r="F211" s="5" t="s">
        <v>14</v>
      </c>
      <c r="G211" s="5" t="s">
        <v>40</v>
      </c>
      <c r="H211" s="6" t="n">
        <v>126000</v>
      </c>
    </row>
    <row r="212" customFormat="false" ht="15" hidden="false" customHeight="false" outlineLevel="0" collapsed="false">
      <c r="A212" s="11" t="n">
        <v>44034</v>
      </c>
      <c r="B212" s="11" t="n">
        <v>44049</v>
      </c>
      <c r="C212" s="11" t="n">
        <v>44042</v>
      </c>
      <c r="D212" s="5" t="s">
        <v>26</v>
      </c>
      <c r="E212" s="5" t="s">
        <v>14</v>
      </c>
      <c r="F212" s="5" t="s">
        <v>14</v>
      </c>
      <c r="G212" s="5" t="s">
        <v>40</v>
      </c>
      <c r="H212" s="6" t="n">
        <v>66000</v>
      </c>
    </row>
    <row r="213" customFormat="false" ht="15" hidden="false" customHeight="false" outlineLevel="0" collapsed="false">
      <c r="A213" s="11" t="n">
        <v>44034</v>
      </c>
      <c r="B213" s="11" t="n">
        <v>44049</v>
      </c>
      <c r="C213" s="11" t="n">
        <v>44042</v>
      </c>
      <c r="D213" s="5" t="s">
        <v>26</v>
      </c>
      <c r="E213" s="5" t="s">
        <v>15</v>
      </c>
      <c r="F213" s="5" t="s">
        <v>14</v>
      </c>
      <c r="G213" s="5" t="s">
        <v>40</v>
      </c>
      <c r="H213" s="6" t="n">
        <v>649000</v>
      </c>
    </row>
    <row r="214" customFormat="false" ht="15" hidden="false" customHeight="false" outlineLevel="0" collapsed="false">
      <c r="A214" s="11" t="n">
        <v>44035</v>
      </c>
      <c r="B214" s="11" t="n">
        <v>44049</v>
      </c>
      <c r="C214" s="11" t="n">
        <v>44042</v>
      </c>
      <c r="D214" s="5" t="s">
        <v>26</v>
      </c>
      <c r="E214" s="5" t="s">
        <v>15</v>
      </c>
      <c r="F214" s="5" t="s">
        <v>14</v>
      </c>
      <c r="G214" s="5" t="s">
        <v>40</v>
      </c>
      <c r="H214" s="6" t="n">
        <v>132000</v>
      </c>
    </row>
    <row r="215" customFormat="false" ht="15" hidden="false" customHeight="false" outlineLevel="0" collapsed="false">
      <c r="A215" s="11" t="n">
        <v>44039</v>
      </c>
      <c r="B215" s="11" t="n">
        <v>44056</v>
      </c>
      <c r="C215" s="11" t="n">
        <v>44049</v>
      </c>
      <c r="D215" s="5" t="s">
        <v>26</v>
      </c>
      <c r="E215" s="5" t="s">
        <v>15</v>
      </c>
      <c r="F215" s="5" t="s">
        <v>14</v>
      </c>
      <c r="G215" s="5" t="s">
        <v>40</v>
      </c>
      <c r="H215" s="6" t="n">
        <v>132000</v>
      </c>
    </row>
    <row r="216" customFormat="false" ht="15" hidden="false" customHeight="false" outlineLevel="0" collapsed="false">
      <c r="A216" s="11" t="n">
        <v>44042</v>
      </c>
      <c r="B216" s="11" t="n">
        <v>44056</v>
      </c>
      <c r="C216" s="11" t="n">
        <v>44049</v>
      </c>
      <c r="D216" s="5" t="s">
        <v>26</v>
      </c>
      <c r="E216" s="5" t="s">
        <v>15</v>
      </c>
      <c r="F216" s="5" t="s">
        <v>14</v>
      </c>
      <c r="G216" s="5" t="s">
        <v>3</v>
      </c>
      <c r="H216" s="6" t="n">
        <v>1937000</v>
      </c>
    </row>
    <row r="217" customFormat="false" ht="15" hidden="false" customHeight="false" outlineLevel="0" collapsed="false">
      <c r="A217" s="11" t="n">
        <v>44048</v>
      </c>
      <c r="B217" s="11" t="n">
        <v>44063</v>
      </c>
      <c r="C217" s="11" t="n">
        <v>44056</v>
      </c>
      <c r="D217" s="5" t="s">
        <v>26</v>
      </c>
      <c r="E217" s="5" t="s">
        <v>15</v>
      </c>
      <c r="F217" s="5" t="s">
        <v>14</v>
      </c>
      <c r="G217" s="5" t="s">
        <v>40</v>
      </c>
      <c r="H217" s="6" t="n">
        <v>192000</v>
      </c>
    </row>
    <row r="218" customFormat="false" ht="15" hidden="false" customHeight="false" outlineLevel="0" collapsed="false">
      <c r="A218" s="11" t="n">
        <v>44049</v>
      </c>
      <c r="B218" s="11" t="n">
        <v>44063</v>
      </c>
      <c r="C218" s="11" t="n">
        <v>44056</v>
      </c>
      <c r="D218" s="5" t="s">
        <v>26</v>
      </c>
      <c r="E218" s="5" t="s">
        <v>15</v>
      </c>
      <c r="F218" s="5" t="s">
        <v>14</v>
      </c>
      <c r="G218" s="5" t="s">
        <v>40</v>
      </c>
      <c r="H218" s="6" t="n">
        <v>126000</v>
      </c>
    </row>
    <row r="219" customFormat="false" ht="15" hidden="false" customHeight="false" outlineLevel="0" collapsed="false">
      <c r="A219" s="11" t="n">
        <v>44050</v>
      </c>
      <c r="B219" s="11" t="n">
        <v>44070</v>
      </c>
      <c r="C219" s="11" t="n">
        <v>44063</v>
      </c>
      <c r="D219" s="5" t="s">
        <v>26</v>
      </c>
      <c r="E219" s="5" t="s">
        <v>15</v>
      </c>
      <c r="F219" s="5" t="s">
        <v>14</v>
      </c>
      <c r="G219" s="5" t="s">
        <v>40</v>
      </c>
      <c r="H219" s="6" t="n">
        <v>456000</v>
      </c>
    </row>
    <row r="220" customFormat="false" ht="15" hidden="false" customHeight="false" outlineLevel="0" collapsed="false">
      <c r="A220" s="11" t="n">
        <v>44053</v>
      </c>
      <c r="B220" s="11" t="n">
        <v>44070</v>
      </c>
      <c r="C220" s="11" t="n">
        <v>44063</v>
      </c>
      <c r="D220" s="5" t="s">
        <v>26</v>
      </c>
      <c r="E220" s="5" t="s">
        <v>15</v>
      </c>
      <c r="F220" s="5" t="s">
        <v>14</v>
      </c>
      <c r="G220" s="5" t="s">
        <v>40</v>
      </c>
      <c r="H220" s="6" t="n">
        <v>588000</v>
      </c>
    </row>
    <row r="221" customFormat="false" ht="15" hidden="false" customHeight="false" outlineLevel="0" collapsed="false">
      <c r="A221" s="11" t="n">
        <v>44054</v>
      </c>
      <c r="B221" s="11" t="n">
        <v>44070</v>
      </c>
      <c r="C221" s="11" t="n">
        <v>44063</v>
      </c>
      <c r="D221" s="5" t="s">
        <v>26</v>
      </c>
      <c r="E221" s="5" t="s">
        <v>15</v>
      </c>
      <c r="F221" s="5" t="s">
        <v>14</v>
      </c>
      <c r="G221" s="5" t="s">
        <v>40</v>
      </c>
      <c r="H221" s="6" t="n">
        <v>132000</v>
      </c>
    </row>
    <row r="222" customFormat="false" ht="15" hidden="false" customHeight="false" outlineLevel="0" collapsed="false">
      <c r="A222" s="11" t="n">
        <v>44055</v>
      </c>
      <c r="B222" s="11" t="n">
        <v>44070</v>
      </c>
      <c r="C222" s="11" t="n">
        <v>44063</v>
      </c>
      <c r="D222" s="5" t="s">
        <v>26</v>
      </c>
      <c r="E222" s="5" t="s">
        <v>15</v>
      </c>
      <c r="F222" s="5" t="s">
        <v>14</v>
      </c>
      <c r="G222" s="5" t="s">
        <v>40</v>
      </c>
      <c r="H222" s="6" t="n">
        <v>258000</v>
      </c>
    </row>
    <row r="223" customFormat="false" ht="15" hidden="false" customHeight="false" outlineLevel="0" collapsed="false">
      <c r="A223" s="11" t="n">
        <v>44056</v>
      </c>
      <c r="B223" s="11" t="n">
        <v>44070</v>
      </c>
      <c r="C223" s="11" t="n">
        <v>44063</v>
      </c>
      <c r="D223" s="5" t="s">
        <v>26</v>
      </c>
      <c r="E223" s="5" t="s">
        <v>15</v>
      </c>
      <c r="F223" s="5" t="s">
        <v>14</v>
      </c>
      <c r="G223" s="5" t="s">
        <v>40</v>
      </c>
      <c r="H223" s="6" t="n">
        <v>197000</v>
      </c>
    </row>
    <row r="224" customFormat="false" ht="15" hidden="false" customHeight="false" outlineLevel="0" collapsed="false">
      <c r="A224" s="11" t="n">
        <v>44057</v>
      </c>
      <c r="B224" s="11" t="n">
        <v>44077</v>
      </c>
      <c r="C224" s="11" t="n">
        <v>44070</v>
      </c>
      <c r="D224" s="5" t="s">
        <v>26</v>
      </c>
      <c r="E224" s="5" t="s">
        <v>15</v>
      </c>
      <c r="F224" s="5" t="s">
        <v>14</v>
      </c>
      <c r="G224" s="5" t="s">
        <v>40</v>
      </c>
      <c r="H224" s="6" t="n">
        <v>126000</v>
      </c>
    </row>
    <row r="225" customFormat="false" ht="15" hidden="false" customHeight="false" outlineLevel="0" collapsed="false">
      <c r="A225" s="11" t="n">
        <v>44061</v>
      </c>
      <c r="B225" s="11" t="n">
        <v>44077</v>
      </c>
      <c r="C225" s="11" t="n">
        <v>44070</v>
      </c>
      <c r="D225" s="5" t="s">
        <v>26</v>
      </c>
      <c r="E225" s="5" t="s">
        <v>15</v>
      </c>
      <c r="F225" s="5" t="s">
        <v>14</v>
      </c>
      <c r="G225" s="5" t="s">
        <v>3</v>
      </c>
      <c r="H225" s="6" t="n">
        <v>195000</v>
      </c>
    </row>
    <row r="226" customFormat="false" ht="15" hidden="false" customHeight="false" outlineLevel="0" collapsed="false">
      <c r="A226" s="11" t="n">
        <v>44062</v>
      </c>
      <c r="B226" s="11" t="n">
        <v>44077</v>
      </c>
      <c r="C226" s="11" t="n">
        <v>44070</v>
      </c>
      <c r="D226" s="5" t="s">
        <v>26</v>
      </c>
      <c r="E226" s="5" t="s">
        <v>15</v>
      </c>
      <c r="F226" s="5" t="s">
        <v>14</v>
      </c>
      <c r="G226" s="5" t="s">
        <v>40</v>
      </c>
      <c r="H226" s="6" t="n">
        <v>192000</v>
      </c>
    </row>
    <row r="227" customFormat="false" ht="15" hidden="false" customHeight="false" outlineLevel="0" collapsed="false">
      <c r="A227" s="11" t="n">
        <v>44064</v>
      </c>
      <c r="B227" s="11" t="n">
        <v>44084</v>
      </c>
      <c r="C227" s="11" t="n">
        <v>44077</v>
      </c>
      <c r="D227" s="5" t="s">
        <v>26</v>
      </c>
      <c r="E227" s="5" t="s">
        <v>15</v>
      </c>
      <c r="F227" s="5" t="s">
        <v>14</v>
      </c>
      <c r="G227" s="5" t="s">
        <v>3</v>
      </c>
      <c r="H227" s="6" t="n">
        <v>405000</v>
      </c>
    </row>
    <row r="228" customFormat="false" ht="15" hidden="false" customHeight="false" outlineLevel="0" collapsed="false">
      <c r="A228" s="11" t="n">
        <v>44064</v>
      </c>
      <c r="B228" s="11" t="n">
        <v>44084</v>
      </c>
      <c r="C228" s="11" t="n">
        <v>44077</v>
      </c>
      <c r="D228" s="5" t="s">
        <v>26</v>
      </c>
      <c r="E228" s="5" t="s">
        <v>15</v>
      </c>
      <c r="F228" s="5" t="s">
        <v>14</v>
      </c>
      <c r="G228" s="5" t="s">
        <v>40</v>
      </c>
      <c r="H228" s="6" t="n">
        <v>400000</v>
      </c>
    </row>
    <row r="229" customFormat="false" ht="15" hidden="false" customHeight="false" outlineLevel="0" collapsed="false">
      <c r="A229" s="11" t="n">
        <v>44068</v>
      </c>
      <c r="B229" s="11" t="n">
        <v>44084</v>
      </c>
      <c r="C229" s="11" t="n">
        <v>44077</v>
      </c>
      <c r="D229" s="5" t="s">
        <v>26</v>
      </c>
      <c r="E229" s="5" t="s">
        <v>15</v>
      </c>
      <c r="F229" s="5" t="s">
        <v>14</v>
      </c>
      <c r="G229" s="5" t="s">
        <v>3</v>
      </c>
      <c r="H229" s="6" t="n">
        <v>408000</v>
      </c>
    </row>
    <row r="230" customFormat="false" ht="15" hidden="false" customHeight="false" outlineLevel="0" collapsed="false">
      <c r="A230" s="11" t="n">
        <v>44068</v>
      </c>
      <c r="B230" s="11" t="n">
        <v>44084</v>
      </c>
      <c r="C230" s="11" t="n">
        <v>44077</v>
      </c>
      <c r="D230" s="5" t="s">
        <v>26</v>
      </c>
      <c r="E230" s="5" t="s">
        <v>15</v>
      </c>
      <c r="F230" s="5" t="s">
        <v>14</v>
      </c>
      <c r="G230" s="5" t="s">
        <v>40</v>
      </c>
      <c r="H230" s="6" t="n">
        <v>204000</v>
      </c>
    </row>
    <row r="231" customFormat="false" ht="15" hidden="false" customHeight="false" outlineLevel="0" collapsed="false">
      <c r="A231" s="11" t="n">
        <v>44069</v>
      </c>
      <c r="B231" s="11" t="n">
        <v>44084</v>
      </c>
      <c r="C231" s="11" t="n">
        <v>44077</v>
      </c>
      <c r="D231" s="5" t="s">
        <v>26</v>
      </c>
      <c r="E231" s="5" t="s">
        <v>15</v>
      </c>
      <c r="F231" s="5" t="s">
        <v>14</v>
      </c>
      <c r="G231" s="5" t="s">
        <v>40</v>
      </c>
      <c r="H231" s="6" t="n">
        <v>400000</v>
      </c>
    </row>
    <row r="232" customFormat="false" ht="15" hidden="false" customHeight="false" outlineLevel="0" collapsed="false">
      <c r="A232" s="11" t="n">
        <v>44070</v>
      </c>
      <c r="B232" s="11" t="n">
        <v>44084</v>
      </c>
      <c r="C232" s="11" t="n">
        <v>44077</v>
      </c>
      <c r="D232" s="5" t="s">
        <v>26</v>
      </c>
      <c r="E232" s="5" t="s">
        <v>15</v>
      </c>
      <c r="F232" s="5" t="s">
        <v>14</v>
      </c>
      <c r="G232" s="5" t="s">
        <v>3</v>
      </c>
      <c r="H232" s="6" t="n">
        <v>747000</v>
      </c>
    </row>
    <row r="233" customFormat="false" ht="15" hidden="false" customHeight="false" outlineLevel="0" collapsed="false">
      <c r="A233" s="11" t="n">
        <v>44074</v>
      </c>
      <c r="B233" s="11" t="n">
        <v>44091</v>
      </c>
      <c r="C233" s="11" t="n">
        <v>44084</v>
      </c>
      <c r="D233" s="5" t="s">
        <v>26</v>
      </c>
      <c r="E233" s="5" t="s">
        <v>15</v>
      </c>
      <c r="F233" s="5" t="s">
        <v>14</v>
      </c>
      <c r="G233" s="5" t="s">
        <v>3</v>
      </c>
      <c r="H233" s="6" t="n">
        <v>596000</v>
      </c>
    </row>
    <row r="234" customFormat="false" ht="15" hidden="false" customHeight="false" outlineLevel="0" collapsed="false">
      <c r="A234" s="11" t="n">
        <v>44075</v>
      </c>
      <c r="B234" s="11" t="n">
        <v>44091</v>
      </c>
      <c r="C234" s="11" t="n">
        <v>44084</v>
      </c>
      <c r="D234" s="5" t="s">
        <v>26</v>
      </c>
      <c r="E234" s="5" t="s">
        <v>15</v>
      </c>
      <c r="F234" s="5" t="s">
        <v>15</v>
      </c>
      <c r="G234" s="5" t="s">
        <v>3</v>
      </c>
      <c r="H234" s="6" t="n">
        <v>596000</v>
      </c>
    </row>
    <row r="235" customFormat="false" ht="15" hidden="false" customHeight="false" outlineLevel="0" collapsed="false">
      <c r="A235" s="11" t="n">
        <v>44077</v>
      </c>
      <c r="B235" s="11" t="n">
        <v>44091</v>
      </c>
      <c r="C235" s="11" t="n">
        <v>44084</v>
      </c>
      <c r="D235" s="5" t="s">
        <v>26</v>
      </c>
      <c r="E235" s="5" t="s">
        <v>15</v>
      </c>
      <c r="F235" s="5" t="s">
        <v>15</v>
      </c>
      <c r="G235" s="5" t="s">
        <v>40</v>
      </c>
      <c r="H235" s="6" t="n">
        <v>132000</v>
      </c>
    </row>
    <row r="236" customFormat="false" ht="15" hidden="false" customHeight="false" outlineLevel="0" collapsed="false">
      <c r="A236" s="11" t="n">
        <v>44078</v>
      </c>
      <c r="B236" s="11" t="n">
        <v>44098</v>
      </c>
      <c r="C236" s="11" t="n">
        <v>44091</v>
      </c>
      <c r="D236" s="5" t="s">
        <v>26</v>
      </c>
      <c r="E236" s="5" t="s">
        <v>15</v>
      </c>
      <c r="F236" s="5" t="s">
        <v>15</v>
      </c>
      <c r="G236" s="5" t="s">
        <v>40</v>
      </c>
      <c r="H236" s="6" t="n">
        <v>318000</v>
      </c>
    </row>
    <row r="237" customFormat="false" ht="15" hidden="false" customHeight="false" outlineLevel="0" collapsed="false">
      <c r="A237" s="11" t="n">
        <v>44082</v>
      </c>
      <c r="B237" s="11" t="n">
        <v>44098</v>
      </c>
      <c r="C237" s="11" t="n">
        <v>44091</v>
      </c>
      <c r="D237" s="5" t="s">
        <v>26</v>
      </c>
      <c r="E237" s="5" t="s">
        <v>15</v>
      </c>
      <c r="F237" s="5" t="s">
        <v>15</v>
      </c>
      <c r="G237" s="5" t="s">
        <v>40</v>
      </c>
      <c r="H237" s="6" t="n">
        <v>664000</v>
      </c>
    </row>
    <row r="238" customFormat="false" ht="15" hidden="false" customHeight="false" outlineLevel="0" collapsed="false">
      <c r="A238" s="11" t="n">
        <v>44083</v>
      </c>
      <c r="B238" s="11" t="n">
        <v>44098</v>
      </c>
      <c r="C238" s="11" t="n">
        <v>44091</v>
      </c>
      <c r="D238" s="5" t="s">
        <v>26</v>
      </c>
      <c r="E238" s="5" t="s">
        <v>15</v>
      </c>
      <c r="F238" s="5" t="s">
        <v>15</v>
      </c>
      <c r="G238" s="5" t="s">
        <v>40</v>
      </c>
      <c r="H238" s="6" t="n">
        <v>238000</v>
      </c>
    </row>
    <row r="239" customFormat="false" ht="15" hidden="false" customHeight="false" outlineLevel="0" collapsed="false">
      <c r="A239" s="11" t="n">
        <v>44084</v>
      </c>
      <c r="B239" s="11" t="n">
        <v>44098</v>
      </c>
      <c r="C239" s="11" t="n">
        <v>44091</v>
      </c>
      <c r="D239" s="5" t="s">
        <v>26</v>
      </c>
      <c r="E239" s="5" t="s">
        <v>15</v>
      </c>
      <c r="F239" s="5" t="s">
        <v>15</v>
      </c>
      <c r="G239" s="5" t="s">
        <v>40</v>
      </c>
      <c r="H239" s="6" t="n">
        <v>195000</v>
      </c>
    </row>
    <row r="240" customFormat="false" ht="15" hidden="false" customHeight="false" outlineLevel="0" collapsed="false">
      <c r="A240" s="11" t="n">
        <v>44085</v>
      </c>
      <c r="B240" s="11" t="n">
        <v>44105</v>
      </c>
      <c r="C240" s="11" t="n">
        <v>44098</v>
      </c>
      <c r="D240" s="5" t="s">
        <v>26</v>
      </c>
      <c r="E240" s="5" t="s">
        <v>15</v>
      </c>
      <c r="F240" s="5" t="s">
        <v>15</v>
      </c>
      <c r="G240" s="5" t="s">
        <v>40</v>
      </c>
      <c r="H240" s="6" t="n">
        <v>262000</v>
      </c>
    </row>
    <row r="241" customFormat="false" ht="15" hidden="false" customHeight="false" outlineLevel="0" collapsed="false">
      <c r="A241" s="11" t="n">
        <v>44088</v>
      </c>
      <c r="B241" s="11" t="n">
        <v>44105</v>
      </c>
      <c r="C241" s="11" t="n">
        <v>44098</v>
      </c>
      <c r="D241" s="5" t="s">
        <v>26</v>
      </c>
      <c r="E241" s="5" t="s">
        <v>15</v>
      </c>
      <c r="F241" s="5" t="s">
        <v>15</v>
      </c>
      <c r="G241" s="5" t="s">
        <v>3</v>
      </c>
      <c r="H241" s="6" t="n">
        <v>490000</v>
      </c>
    </row>
    <row r="242" customFormat="false" ht="15" hidden="false" customHeight="false" outlineLevel="0" collapsed="false">
      <c r="A242" s="11" t="n">
        <v>44088</v>
      </c>
      <c r="B242" s="11" t="n">
        <v>44105</v>
      </c>
      <c r="C242" s="11" t="n">
        <v>44098</v>
      </c>
      <c r="D242" s="5" t="s">
        <v>26</v>
      </c>
      <c r="E242" s="5" t="s">
        <v>15</v>
      </c>
      <c r="F242" s="5" t="s">
        <v>15</v>
      </c>
      <c r="G242" s="5" t="s">
        <v>40</v>
      </c>
      <c r="H242" s="6" t="n">
        <v>129000</v>
      </c>
    </row>
    <row r="243" customFormat="false" ht="15" hidden="false" customHeight="false" outlineLevel="0" collapsed="false">
      <c r="A243" s="11" t="n">
        <v>44089</v>
      </c>
      <c r="B243" s="11" t="n">
        <v>44105</v>
      </c>
      <c r="C243" s="11" t="n">
        <v>44098</v>
      </c>
      <c r="D243" s="5" t="s">
        <v>26</v>
      </c>
      <c r="E243" s="5" t="s">
        <v>15</v>
      </c>
      <c r="F243" s="5" t="s">
        <v>15</v>
      </c>
      <c r="G243" s="5" t="s">
        <v>40</v>
      </c>
      <c r="H243" s="6" t="n">
        <v>132000</v>
      </c>
    </row>
    <row r="244" customFormat="false" ht="15" hidden="false" customHeight="false" outlineLevel="0" collapsed="false">
      <c r="A244" s="11" t="n">
        <v>44090</v>
      </c>
      <c r="B244" s="11" t="n">
        <v>44105</v>
      </c>
      <c r="C244" s="11" t="n">
        <v>44098</v>
      </c>
      <c r="D244" s="5" t="s">
        <v>26</v>
      </c>
      <c r="E244" s="5" t="s">
        <v>15</v>
      </c>
      <c r="F244" s="5" t="s">
        <v>15</v>
      </c>
      <c r="G244" s="5" t="s">
        <v>40</v>
      </c>
      <c r="H244" s="6" t="n">
        <v>327000</v>
      </c>
    </row>
    <row r="245" customFormat="false" ht="15" hidden="false" customHeight="false" outlineLevel="0" collapsed="false">
      <c r="A245" s="11" t="n">
        <v>44091</v>
      </c>
      <c r="B245" s="11" t="n">
        <v>44105</v>
      </c>
      <c r="C245" s="11" t="n">
        <v>44098</v>
      </c>
      <c r="D245" s="5" t="s">
        <v>26</v>
      </c>
      <c r="E245" s="5" t="s">
        <v>15</v>
      </c>
      <c r="F245" s="5" t="s">
        <v>15</v>
      </c>
      <c r="G245" s="5" t="s">
        <v>40</v>
      </c>
      <c r="H245" s="6" t="n">
        <v>264000</v>
      </c>
    </row>
    <row r="246" customFormat="false" ht="15" hidden="false" customHeight="false" outlineLevel="0" collapsed="false">
      <c r="A246" s="11" t="n">
        <v>44092</v>
      </c>
      <c r="B246" s="11" t="n">
        <v>44112</v>
      </c>
      <c r="C246" s="11" t="n">
        <v>44105</v>
      </c>
      <c r="D246" s="5" t="s">
        <v>26</v>
      </c>
      <c r="E246" s="5" t="s">
        <v>15</v>
      </c>
      <c r="F246" s="5" t="s">
        <v>15</v>
      </c>
      <c r="G246" s="5" t="s">
        <v>3</v>
      </c>
      <c r="H246" s="6" t="n">
        <v>210000</v>
      </c>
    </row>
    <row r="247" customFormat="false" ht="15" hidden="false" customHeight="false" outlineLevel="0" collapsed="false">
      <c r="A247" s="11" t="n">
        <v>44092</v>
      </c>
      <c r="B247" s="11" t="n">
        <v>44112</v>
      </c>
      <c r="C247" s="11" t="n">
        <v>44105</v>
      </c>
      <c r="D247" s="5" t="s">
        <v>26</v>
      </c>
      <c r="E247" s="5" t="s">
        <v>15</v>
      </c>
      <c r="F247" s="5" t="s">
        <v>15</v>
      </c>
      <c r="G247" s="5" t="s">
        <v>40</v>
      </c>
      <c r="H247" s="6" t="n">
        <v>132000</v>
      </c>
    </row>
    <row r="248" customFormat="false" ht="15" hidden="false" customHeight="false" outlineLevel="0" collapsed="false">
      <c r="A248" s="11" t="n">
        <v>44095</v>
      </c>
      <c r="B248" s="11" t="n">
        <v>44112</v>
      </c>
      <c r="C248" s="11" t="n">
        <v>44105</v>
      </c>
      <c r="D248" s="5" t="s">
        <v>26</v>
      </c>
      <c r="E248" s="5" t="s">
        <v>15</v>
      </c>
      <c r="F248" s="5" t="s">
        <v>15</v>
      </c>
      <c r="G248" s="5" t="s">
        <v>40</v>
      </c>
      <c r="H248" s="6" t="n">
        <v>132000</v>
      </c>
    </row>
    <row r="249" customFormat="false" ht="15" hidden="false" customHeight="false" outlineLevel="0" collapsed="false">
      <c r="A249" s="11" t="n">
        <v>44096</v>
      </c>
      <c r="B249" s="11" t="n">
        <v>44112</v>
      </c>
      <c r="C249" s="11" t="n">
        <v>44105</v>
      </c>
      <c r="D249" s="5" t="s">
        <v>26</v>
      </c>
      <c r="E249" s="5" t="s">
        <v>15</v>
      </c>
      <c r="F249" s="5" t="s">
        <v>15</v>
      </c>
      <c r="G249" s="5" t="s">
        <v>3</v>
      </c>
      <c r="H249" s="6" t="n">
        <v>140000</v>
      </c>
    </row>
    <row r="250" customFormat="false" ht="15" hidden="false" customHeight="false" outlineLevel="0" collapsed="false">
      <c r="A250" s="11" t="n">
        <v>44096</v>
      </c>
      <c r="B250" s="11" t="n">
        <v>44112</v>
      </c>
      <c r="C250" s="11" t="n">
        <v>44105</v>
      </c>
      <c r="D250" s="5" t="s">
        <v>26</v>
      </c>
      <c r="E250" s="5" t="s">
        <v>15</v>
      </c>
      <c r="F250" s="5" t="s">
        <v>15</v>
      </c>
      <c r="G250" s="5" t="s">
        <v>40</v>
      </c>
      <c r="H250" s="6" t="n">
        <v>266000</v>
      </c>
    </row>
    <row r="251" customFormat="false" ht="15" hidden="false" customHeight="false" outlineLevel="0" collapsed="false">
      <c r="A251" s="11" t="n">
        <v>44097</v>
      </c>
      <c r="B251" s="11" t="n">
        <v>44112</v>
      </c>
      <c r="C251" s="11" t="n">
        <v>44105</v>
      </c>
      <c r="D251" s="5" t="s">
        <v>26</v>
      </c>
      <c r="E251" s="5" t="s">
        <v>15</v>
      </c>
      <c r="F251" s="5" t="s">
        <v>15</v>
      </c>
      <c r="G251" s="5" t="s">
        <v>40</v>
      </c>
      <c r="H251" s="6" t="n">
        <v>132000</v>
      </c>
    </row>
    <row r="252" customFormat="false" ht="15" hidden="false" customHeight="false" outlineLevel="0" collapsed="false">
      <c r="A252" s="11" t="n">
        <v>44106</v>
      </c>
      <c r="B252" s="11" t="n">
        <v>44126</v>
      </c>
      <c r="C252" s="11" t="n">
        <v>44119</v>
      </c>
      <c r="D252" s="5" t="s">
        <v>26</v>
      </c>
      <c r="E252" s="5" t="s">
        <v>15</v>
      </c>
      <c r="F252" s="5" t="s">
        <v>15</v>
      </c>
      <c r="G252" s="5" t="s">
        <v>40</v>
      </c>
      <c r="H252" s="6" t="n">
        <v>264000</v>
      </c>
    </row>
    <row r="253" customFormat="false" ht="15" hidden="false" customHeight="false" outlineLevel="0" collapsed="false">
      <c r="A253" s="11" t="n">
        <v>44111</v>
      </c>
      <c r="B253" s="11" t="n">
        <v>44126</v>
      </c>
      <c r="C253" s="11" t="n">
        <v>44119</v>
      </c>
      <c r="D253" s="5" t="s">
        <v>26</v>
      </c>
      <c r="E253" s="5" t="s">
        <v>15</v>
      </c>
      <c r="F253" s="5" t="s">
        <v>15</v>
      </c>
      <c r="G253" s="5" t="s">
        <v>40</v>
      </c>
      <c r="H253" s="6" t="n">
        <v>132000</v>
      </c>
    </row>
    <row r="254" customFormat="false" ht="15" hidden="false" customHeight="false" outlineLevel="0" collapsed="false">
      <c r="A254" s="11" t="n">
        <v>44112</v>
      </c>
      <c r="B254" s="11" t="n">
        <v>44126</v>
      </c>
      <c r="C254" s="11" t="n">
        <v>44119</v>
      </c>
      <c r="D254" s="5" t="s">
        <v>26</v>
      </c>
      <c r="E254" s="5" t="s">
        <v>15</v>
      </c>
      <c r="F254" s="5" t="s">
        <v>15</v>
      </c>
      <c r="G254" s="5" t="s">
        <v>40</v>
      </c>
      <c r="H254" s="6" t="n">
        <v>374000</v>
      </c>
    </row>
    <row r="255" customFormat="false" ht="15" hidden="false" customHeight="false" outlineLevel="0" collapsed="false">
      <c r="A255" s="11" t="n">
        <v>44118</v>
      </c>
      <c r="B255" s="11" t="n">
        <v>44133</v>
      </c>
      <c r="C255" s="11" t="n">
        <v>44126</v>
      </c>
      <c r="D255" s="5" t="s">
        <v>26</v>
      </c>
      <c r="E255" s="5" t="s">
        <v>15</v>
      </c>
      <c r="F255" s="5" t="s">
        <v>15</v>
      </c>
      <c r="G255" s="5" t="s">
        <v>3</v>
      </c>
      <c r="H255" s="6" t="n">
        <v>420000</v>
      </c>
    </row>
    <row r="256" customFormat="false" ht="15" hidden="false" customHeight="false" outlineLevel="0" collapsed="false">
      <c r="A256" s="11" t="n">
        <v>44118</v>
      </c>
      <c r="B256" s="11" t="n">
        <v>44133</v>
      </c>
      <c r="C256" s="11" t="n">
        <v>44126</v>
      </c>
      <c r="D256" s="5" t="s">
        <v>26</v>
      </c>
      <c r="E256" s="5" t="s">
        <v>15</v>
      </c>
      <c r="F256" s="5" t="s">
        <v>15</v>
      </c>
      <c r="G256" s="5" t="s">
        <v>40</v>
      </c>
      <c r="H256" s="6" t="n">
        <v>264000</v>
      </c>
    </row>
    <row r="257" customFormat="false" ht="15" hidden="false" customHeight="false" outlineLevel="0" collapsed="false">
      <c r="A257" s="11" t="n">
        <v>44119</v>
      </c>
      <c r="B257" s="11" t="n">
        <v>44133</v>
      </c>
      <c r="C257" s="11" t="n">
        <v>44126</v>
      </c>
      <c r="D257" s="5" t="s">
        <v>26</v>
      </c>
      <c r="E257" s="5" t="s">
        <v>15</v>
      </c>
      <c r="F257" s="5" t="s">
        <v>15</v>
      </c>
      <c r="G257" s="5" t="s">
        <v>40</v>
      </c>
      <c r="H257" s="6" t="n">
        <v>261000</v>
      </c>
    </row>
    <row r="258" customFormat="false" ht="15" hidden="false" customHeight="false" outlineLevel="0" collapsed="false">
      <c r="A258" s="11" t="n">
        <v>44141</v>
      </c>
      <c r="B258" s="11" t="n">
        <v>44161</v>
      </c>
      <c r="C258" s="11" t="n">
        <v>44154</v>
      </c>
      <c r="D258" s="5" t="s">
        <v>26</v>
      </c>
      <c r="E258" s="5" t="s">
        <v>15</v>
      </c>
      <c r="F258" s="5" t="s">
        <v>15</v>
      </c>
      <c r="G258" s="5" t="s">
        <v>40</v>
      </c>
      <c r="H258" s="6" t="n">
        <v>132000</v>
      </c>
    </row>
    <row r="259" customFormat="false" ht="15" hidden="false" customHeight="false" outlineLevel="0" collapsed="false">
      <c r="A259" s="11" t="n">
        <v>44204</v>
      </c>
      <c r="B259" s="11" t="n">
        <v>44224</v>
      </c>
      <c r="C259" s="11" t="n">
        <v>44217</v>
      </c>
      <c r="D259" s="5" t="s">
        <v>26</v>
      </c>
      <c r="E259" s="5" t="s">
        <v>15</v>
      </c>
      <c r="F259" s="5" t="s">
        <v>15</v>
      </c>
      <c r="G259" s="5" t="s">
        <v>40</v>
      </c>
      <c r="H259" s="6" t="n">
        <v>204000</v>
      </c>
    </row>
    <row r="260" customFormat="false" ht="15" hidden="false" customHeight="false" outlineLevel="0" collapsed="false">
      <c r="A260" s="11" t="n">
        <v>44207</v>
      </c>
      <c r="B260" s="11" t="n">
        <v>44224</v>
      </c>
      <c r="C260" s="11" t="n">
        <v>44217</v>
      </c>
      <c r="D260" s="5" t="s">
        <v>26</v>
      </c>
      <c r="E260" s="5" t="s">
        <v>15</v>
      </c>
      <c r="F260" s="5" t="s">
        <v>15</v>
      </c>
      <c r="G260" s="5" t="s">
        <v>40</v>
      </c>
      <c r="H260" s="6" t="n">
        <v>132000</v>
      </c>
    </row>
    <row r="261" customFormat="false" ht="15" hidden="false" customHeight="false" outlineLevel="0" collapsed="false">
      <c r="A261" s="11" t="n">
        <v>44215</v>
      </c>
      <c r="B261" s="11" t="n">
        <v>44231</v>
      </c>
      <c r="C261" s="11" t="n">
        <v>44224</v>
      </c>
      <c r="D261" s="5" t="s">
        <v>26</v>
      </c>
      <c r="E261" s="5" t="s">
        <v>16</v>
      </c>
      <c r="F261" s="5" t="s">
        <v>15</v>
      </c>
      <c r="G261" s="5" t="s">
        <v>40</v>
      </c>
      <c r="H261" s="6" t="n">
        <v>132000</v>
      </c>
    </row>
    <row r="262" customFormat="false" ht="15" hidden="false" customHeight="false" outlineLevel="0" collapsed="false">
      <c r="A262" s="11" t="n">
        <v>44217</v>
      </c>
      <c r="B262" s="11" t="n">
        <v>44231</v>
      </c>
      <c r="C262" s="11" t="n">
        <v>44224</v>
      </c>
      <c r="D262" s="5" t="s">
        <v>26</v>
      </c>
      <c r="E262" s="5" t="s">
        <v>15</v>
      </c>
      <c r="F262" s="5" t="s">
        <v>15</v>
      </c>
      <c r="G262" s="5" t="s">
        <v>40</v>
      </c>
      <c r="H262" s="6" t="n">
        <v>136000</v>
      </c>
    </row>
    <row r="263" customFormat="false" ht="15" hidden="false" customHeight="false" outlineLevel="0" collapsed="false">
      <c r="A263" s="11" t="n">
        <v>44218</v>
      </c>
      <c r="B263" s="11" t="n">
        <v>44238</v>
      </c>
      <c r="C263" s="11" t="n">
        <v>44231</v>
      </c>
      <c r="D263" s="5" t="s">
        <v>26</v>
      </c>
      <c r="E263" s="5" t="s">
        <v>15</v>
      </c>
      <c r="F263" s="5" t="s">
        <v>15</v>
      </c>
      <c r="G263" s="5" t="s">
        <v>40</v>
      </c>
      <c r="H263" s="6" t="n">
        <v>136000</v>
      </c>
    </row>
    <row r="264" customFormat="false" ht="15" hidden="false" customHeight="false" outlineLevel="0" collapsed="false">
      <c r="A264" s="11" t="n">
        <v>44222</v>
      </c>
      <c r="B264" s="11" t="n">
        <v>44238</v>
      </c>
      <c r="C264" s="11" t="n">
        <v>44231</v>
      </c>
      <c r="D264" s="5" t="s">
        <v>26</v>
      </c>
      <c r="E264" s="5" t="s">
        <v>15</v>
      </c>
      <c r="F264" s="5" t="s">
        <v>15</v>
      </c>
      <c r="G264" s="5" t="s">
        <v>3</v>
      </c>
      <c r="H264" s="6" t="n">
        <v>1360000</v>
      </c>
    </row>
    <row r="265" customFormat="false" ht="15" hidden="false" customHeight="false" outlineLevel="0" collapsed="false">
      <c r="A265" s="11" t="n">
        <v>44223</v>
      </c>
      <c r="B265" s="11" t="n">
        <v>44238</v>
      </c>
      <c r="C265" s="11" t="n">
        <v>44231</v>
      </c>
      <c r="D265" s="5" t="s">
        <v>26</v>
      </c>
      <c r="E265" s="5" t="s">
        <v>15</v>
      </c>
      <c r="F265" s="5" t="s">
        <v>15</v>
      </c>
      <c r="G265" s="5" t="s">
        <v>3</v>
      </c>
      <c r="H265" s="6" t="n">
        <v>680000</v>
      </c>
    </row>
    <row r="266" customFormat="false" ht="15" hidden="false" customHeight="false" outlineLevel="0" collapsed="false">
      <c r="A266" s="11" t="n">
        <v>44223</v>
      </c>
      <c r="B266" s="11" t="n">
        <v>44238</v>
      </c>
      <c r="C266" s="11" t="n">
        <v>44231</v>
      </c>
      <c r="D266" s="5" t="s">
        <v>26</v>
      </c>
      <c r="E266" s="5" t="s">
        <v>16</v>
      </c>
      <c r="F266" s="5" t="s">
        <v>15</v>
      </c>
      <c r="G266" s="5" t="s">
        <v>40</v>
      </c>
      <c r="H266" s="6" t="n">
        <v>132000</v>
      </c>
    </row>
    <row r="267" customFormat="false" ht="15" hidden="false" customHeight="false" outlineLevel="0" collapsed="false">
      <c r="A267" s="11" t="n">
        <v>44224</v>
      </c>
      <c r="B267" s="11" t="n">
        <v>44238</v>
      </c>
      <c r="C267" s="11" t="n">
        <v>44231</v>
      </c>
      <c r="D267" s="5" t="s">
        <v>26</v>
      </c>
      <c r="E267" s="5" t="s">
        <v>15</v>
      </c>
      <c r="F267" s="5" t="s">
        <v>15</v>
      </c>
      <c r="G267" s="5" t="s">
        <v>3</v>
      </c>
      <c r="H267" s="6" t="n">
        <v>1700000</v>
      </c>
    </row>
    <row r="268" customFormat="false" ht="15" hidden="false" customHeight="false" outlineLevel="0" collapsed="false">
      <c r="A268" s="11" t="n">
        <v>44225</v>
      </c>
      <c r="B268" s="11" t="n">
        <v>44245</v>
      </c>
      <c r="C268" s="11" t="n">
        <v>44238</v>
      </c>
      <c r="D268" s="5" t="s">
        <v>26</v>
      </c>
      <c r="E268" s="5" t="s">
        <v>15</v>
      </c>
      <c r="F268" s="5" t="s">
        <v>15</v>
      </c>
      <c r="G268" s="5" t="s">
        <v>3</v>
      </c>
      <c r="H268" s="6" t="n">
        <v>2108000</v>
      </c>
    </row>
    <row r="269" customFormat="false" ht="15" hidden="false" customHeight="false" outlineLevel="0" collapsed="false">
      <c r="A269" s="11" t="n">
        <v>44225</v>
      </c>
      <c r="B269" s="11" t="n">
        <v>44245</v>
      </c>
      <c r="C269" s="11" t="n">
        <v>44238</v>
      </c>
      <c r="D269" s="5" t="s">
        <v>26</v>
      </c>
      <c r="E269" s="5" t="s">
        <v>16</v>
      </c>
      <c r="F269" s="5" t="s">
        <v>15</v>
      </c>
      <c r="G269" s="5" t="s">
        <v>40</v>
      </c>
      <c r="H269" s="6" t="n">
        <v>132000</v>
      </c>
    </row>
    <row r="270" customFormat="false" ht="15" hidden="false" customHeight="false" outlineLevel="0" collapsed="false">
      <c r="A270" s="11" t="n">
        <v>44271</v>
      </c>
      <c r="B270" s="11" t="n">
        <v>44287</v>
      </c>
      <c r="C270" s="11" t="n">
        <v>44280</v>
      </c>
      <c r="D270" s="5" t="s">
        <v>26</v>
      </c>
      <c r="E270" s="5" t="s">
        <v>15</v>
      </c>
      <c r="F270" s="5" t="s">
        <v>15</v>
      </c>
      <c r="G270" s="5" t="s">
        <v>3</v>
      </c>
      <c r="H270" s="6" t="n">
        <v>1156000</v>
      </c>
    </row>
    <row r="271" customFormat="false" ht="15" hidden="false" customHeight="false" outlineLevel="0" collapsed="false">
      <c r="A271" s="11" t="n">
        <v>44272</v>
      </c>
      <c r="B271" s="11" t="n">
        <v>44287</v>
      </c>
      <c r="C271" s="11" t="n">
        <v>44280</v>
      </c>
      <c r="D271" s="5" t="s">
        <v>26</v>
      </c>
      <c r="E271" s="5" t="s">
        <v>15</v>
      </c>
      <c r="F271" s="5" t="s">
        <v>15</v>
      </c>
      <c r="G271" s="5" t="s">
        <v>3</v>
      </c>
      <c r="H271" s="6" t="n">
        <v>1224000</v>
      </c>
    </row>
    <row r="272" customFormat="false" ht="15" hidden="false" customHeight="false" outlineLevel="0" collapsed="false">
      <c r="A272" s="11" t="n">
        <v>44273</v>
      </c>
      <c r="B272" s="11" t="n">
        <v>44287</v>
      </c>
      <c r="C272" s="11" t="n">
        <v>44280</v>
      </c>
      <c r="D272" s="5" t="s">
        <v>26</v>
      </c>
      <c r="E272" s="5" t="s">
        <v>15</v>
      </c>
      <c r="F272" s="5" t="s">
        <v>15</v>
      </c>
      <c r="G272" s="5" t="s">
        <v>3</v>
      </c>
      <c r="H272" s="6" t="n">
        <v>696000</v>
      </c>
    </row>
    <row r="273" customFormat="false" ht="15" hidden="false" customHeight="false" outlineLevel="0" collapsed="false">
      <c r="A273" s="11" t="n">
        <v>44274</v>
      </c>
      <c r="B273" s="11" t="n">
        <v>44294</v>
      </c>
      <c r="C273" s="11" t="n">
        <v>44287</v>
      </c>
      <c r="D273" s="5" t="s">
        <v>26</v>
      </c>
      <c r="E273" s="5" t="s">
        <v>15</v>
      </c>
      <c r="F273" s="5" t="s">
        <v>15</v>
      </c>
      <c r="G273" s="5" t="s">
        <v>3</v>
      </c>
      <c r="H273" s="6" t="n">
        <v>800000</v>
      </c>
    </row>
    <row r="274" customFormat="false" ht="15" hidden="false" customHeight="false" outlineLevel="0" collapsed="false">
      <c r="A274" s="11" t="n">
        <v>44298</v>
      </c>
      <c r="B274" s="11" t="n">
        <v>44315</v>
      </c>
      <c r="C274" s="11" t="n">
        <v>44308</v>
      </c>
      <c r="D274" s="5" t="s">
        <v>26</v>
      </c>
      <c r="E274" s="5" t="s">
        <v>16</v>
      </c>
      <c r="F274" s="5" t="s">
        <v>15</v>
      </c>
      <c r="G274" s="5" t="s">
        <v>40</v>
      </c>
      <c r="H274" s="6" t="n">
        <v>132000</v>
      </c>
    </row>
    <row r="275" customFormat="false" ht="15" hidden="false" customHeight="false" outlineLevel="0" collapsed="false">
      <c r="A275" s="11" t="n">
        <v>44309</v>
      </c>
      <c r="B275" s="11" t="n">
        <v>44329</v>
      </c>
      <c r="C275" s="11" t="n">
        <v>44322</v>
      </c>
      <c r="D275" s="5" t="s">
        <v>26</v>
      </c>
      <c r="E275" s="5" t="s">
        <v>16</v>
      </c>
      <c r="F275" s="5" t="s">
        <v>15</v>
      </c>
      <c r="G275" s="5" t="s">
        <v>40</v>
      </c>
      <c r="H275" s="6" t="n">
        <v>132000</v>
      </c>
    </row>
    <row r="276" customFormat="false" ht="15" hidden="false" customHeight="false" outlineLevel="0" collapsed="false">
      <c r="A276" s="11" t="n">
        <v>44321</v>
      </c>
      <c r="B276" s="11" t="n">
        <v>44336</v>
      </c>
      <c r="C276" s="11" t="n">
        <v>44329</v>
      </c>
      <c r="D276" s="5" t="s">
        <v>26</v>
      </c>
      <c r="E276" s="5" t="s">
        <v>15</v>
      </c>
      <c r="F276" s="5" t="s">
        <v>15</v>
      </c>
      <c r="G276" s="5" t="s">
        <v>3</v>
      </c>
      <c r="H276" s="6" t="n">
        <v>140000</v>
      </c>
    </row>
    <row r="277" customFormat="false" ht="15" hidden="false" customHeight="false" outlineLevel="0" collapsed="false">
      <c r="A277" s="11" t="n">
        <v>44323</v>
      </c>
      <c r="B277" s="11" t="n">
        <v>44343</v>
      </c>
      <c r="C277" s="11" t="n">
        <v>44336</v>
      </c>
      <c r="D277" s="5" t="s">
        <v>26</v>
      </c>
      <c r="E277" s="5" t="s">
        <v>16</v>
      </c>
      <c r="F277" s="5" t="s">
        <v>15</v>
      </c>
      <c r="G277" s="5" t="s">
        <v>3</v>
      </c>
      <c r="H277" s="6" t="n">
        <v>1360000</v>
      </c>
    </row>
    <row r="278" customFormat="false" ht="15" hidden="false" customHeight="false" outlineLevel="0" collapsed="false">
      <c r="A278" s="11" t="n">
        <v>44326</v>
      </c>
      <c r="B278" s="11" t="n">
        <v>44343</v>
      </c>
      <c r="C278" s="11" t="n">
        <v>44336</v>
      </c>
      <c r="D278" s="5" t="s">
        <v>26</v>
      </c>
      <c r="E278" s="5" t="s">
        <v>15</v>
      </c>
      <c r="F278" s="5" t="s">
        <v>15</v>
      </c>
      <c r="G278" s="5" t="s">
        <v>3</v>
      </c>
      <c r="H278" s="6" t="n">
        <v>280000</v>
      </c>
    </row>
    <row r="279" customFormat="false" ht="15" hidden="false" customHeight="false" outlineLevel="0" collapsed="false">
      <c r="A279" s="11" t="n">
        <v>44326</v>
      </c>
      <c r="B279" s="11" t="n">
        <v>44343</v>
      </c>
      <c r="C279" s="11" t="n">
        <v>44336</v>
      </c>
      <c r="D279" s="5" t="s">
        <v>26</v>
      </c>
      <c r="E279" s="5" t="s">
        <v>16</v>
      </c>
      <c r="F279" s="5" t="s">
        <v>15</v>
      </c>
      <c r="G279" s="5" t="s">
        <v>3</v>
      </c>
      <c r="H279" s="6" t="n">
        <v>1020000</v>
      </c>
    </row>
    <row r="280" customFormat="false" ht="15" hidden="false" customHeight="false" outlineLevel="0" collapsed="false">
      <c r="A280" s="11" t="n">
        <v>44327</v>
      </c>
      <c r="B280" s="11" t="n">
        <v>44343</v>
      </c>
      <c r="C280" s="11" t="n">
        <v>44336</v>
      </c>
      <c r="D280" s="5" t="s">
        <v>26</v>
      </c>
      <c r="E280" s="5" t="s">
        <v>16</v>
      </c>
      <c r="F280" s="5" t="s">
        <v>15</v>
      </c>
      <c r="G280" s="5" t="s">
        <v>3</v>
      </c>
      <c r="H280" s="6" t="n">
        <v>680000</v>
      </c>
    </row>
    <row r="281" customFormat="false" ht="15" hidden="false" customHeight="false" outlineLevel="0" collapsed="false">
      <c r="A281" s="11" t="n">
        <v>44329</v>
      </c>
      <c r="B281" s="11" t="n">
        <v>44343</v>
      </c>
      <c r="C281" s="11" t="n">
        <v>44336</v>
      </c>
      <c r="D281" s="5" t="s">
        <v>26</v>
      </c>
      <c r="E281" s="5" t="s">
        <v>16</v>
      </c>
      <c r="F281" s="5" t="s">
        <v>15</v>
      </c>
      <c r="G281" s="5" t="s">
        <v>3</v>
      </c>
      <c r="H281" s="6" t="n">
        <v>680000</v>
      </c>
    </row>
    <row r="282" customFormat="false" ht="15" hidden="false" customHeight="false" outlineLevel="0" collapsed="false">
      <c r="A282" s="11" t="n">
        <v>44330</v>
      </c>
      <c r="B282" s="11" t="n">
        <v>44350</v>
      </c>
      <c r="C282" s="11" t="n">
        <v>44343</v>
      </c>
      <c r="D282" s="5" t="s">
        <v>26</v>
      </c>
      <c r="E282" s="5" t="s">
        <v>16</v>
      </c>
      <c r="F282" s="5" t="s">
        <v>15</v>
      </c>
      <c r="G282" s="5" t="s">
        <v>3</v>
      </c>
      <c r="H282" s="6" t="n">
        <v>1360000</v>
      </c>
    </row>
    <row r="283" customFormat="false" ht="15" hidden="false" customHeight="false" outlineLevel="0" collapsed="false">
      <c r="A283" s="11" t="n">
        <v>44333</v>
      </c>
      <c r="B283" s="11" t="n">
        <v>44350</v>
      </c>
      <c r="C283" s="11" t="n">
        <v>44343</v>
      </c>
      <c r="D283" s="5" t="s">
        <v>26</v>
      </c>
      <c r="E283" s="5" t="s">
        <v>16</v>
      </c>
      <c r="F283" s="5" t="s">
        <v>15</v>
      </c>
      <c r="G283" s="5" t="s">
        <v>3</v>
      </c>
      <c r="H283" s="6" t="n">
        <v>1700000</v>
      </c>
    </row>
    <row r="284" customFormat="false" ht="15" hidden="false" customHeight="false" outlineLevel="0" collapsed="false">
      <c r="A284" s="11" t="n">
        <v>44334</v>
      </c>
      <c r="B284" s="11" t="n">
        <v>44350</v>
      </c>
      <c r="C284" s="11" t="n">
        <v>44343</v>
      </c>
      <c r="D284" s="5" t="s">
        <v>26</v>
      </c>
      <c r="E284" s="5" t="s">
        <v>16</v>
      </c>
      <c r="F284" s="5" t="s">
        <v>15</v>
      </c>
      <c r="G284" s="5" t="s">
        <v>3</v>
      </c>
      <c r="H284" s="6" t="n">
        <v>1360000</v>
      </c>
    </row>
    <row r="285" customFormat="false" ht="15" hidden="false" customHeight="false" outlineLevel="0" collapsed="false">
      <c r="A285" s="11" t="n">
        <v>44335</v>
      </c>
      <c r="B285" s="11" t="n">
        <v>44350</v>
      </c>
      <c r="C285" s="11" t="n">
        <v>44343</v>
      </c>
      <c r="D285" s="5" t="s">
        <v>26</v>
      </c>
      <c r="E285" s="5" t="s">
        <v>16</v>
      </c>
      <c r="F285" s="5" t="s">
        <v>15</v>
      </c>
      <c r="G285" s="5" t="s">
        <v>3</v>
      </c>
      <c r="H285" s="6" t="n">
        <v>1360000</v>
      </c>
    </row>
    <row r="286" customFormat="false" ht="15" hidden="false" customHeight="false" outlineLevel="0" collapsed="false">
      <c r="A286" s="11" t="n">
        <v>44336</v>
      </c>
      <c r="B286" s="11" t="n">
        <v>44350</v>
      </c>
      <c r="C286" s="11" t="n">
        <v>44343</v>
      </c>
      <c r="D286" s="5" t="s">
        <v>26</v>
      </c>
      <c r="E286" s="5" t="s">
        <v>16</v>
      </c>
      <c r="F286" s="5" t="s">
        <v>15</v>
      </c>
      <c r="G286" s="5" t="s">
        <v>3</v>
      </c>
      <c r="H286" s="6" t="n">
        <v>1224000</v>
      </c>
    </row>
    <row r="287" customFormat="false" ht="15" hidden="false" customHeight="false" outlineLevel="0" collapsed="false">
      <c r="A287" s="11" t="n">
        <v>44368</v>
      </c>
      <c r="B287" s="11" t="n">
        <v>44385</v>
      </c>
      <c r="C287" s="11" t="n">
        <v>44378</v>
      </c>
      <c r="D287" s="5" t="s">
        <v>26</v>
      </c>
      <c r="E287" s="5" t="s">
        <v>16</v>
      </c>
      <c r="F287" s="5" t="s">
        <v>15</v>
      </c>
      <c r="G287" s="5" t="s">
        <v>40</v>
      </c>
      <c r="H287" s="6" t="n">
        <v>336000</v>
      </c>
    </row>
    <row r="288" customFormat="false" ht="15" hidden="false" customHeight="false" outlineLevel="0" collapsed="false">
      <c r="A288" s="11" t="n">
        <v>44370</v>
      </c>
      <c r="B288" s="11" t="n">
        <v>44385</v>
      </c>
      <c r="C288" s="11" t="n">
        <v>44378</v>
      </c>
      <c r="D288" s="5" t="s">
        <v>26</v>
      </c>
      <c r="E288" s="5" t="s">
        <v>16</v>
      </c>
      <c r="F288" s="5" t="s">
        <v>15</v>
      </c>
      <c r="G288" s="5" t="s">
        <v>40</v>
      </c>
      <c r="H288" s="6" t="n">
        <v>330000</v>
      </c>
    </row>
    <row r="289" customFormat="false" ht="15" hidden="false" customHeight="false" outlineLevel="0" collapsed="false">
      <c r="A289" s="11" t="n">
        <v>44371</v>
      </c>
      <c r="B289" s="11" t="n">
        <v>44385</v>
      </c>
      <c r="C289" s="11" t="n">
        <v>44378</v>
      </c>
      <c r="D289" s="5" t="s">
        <v>26</v>
      </c>
      <c r="E289" s="5" t="s">
        <v>16</v>
      </c>
      <c r="F289" s="5" t="s">
        <v>15</v>
      </c>
      <c r="G289" s="5" t="s">
        <v>40</v>
      </c>
      <c r="H289" s="6" t="n">
        <v>132000</v>
      </c>
    </row>
    <row r="290" customFormat="false" ht="15" hidden="false" customHeight="false" outlineLevel="0" collapsed="false">
      <c r="A290" s="11" t="n">
        <v>44414</v>
      </c>
      <c r="B290" s="11" t="n">
        <v>44434</v>
      </c>
      <c r="C290" s="11" t="n">
        <v>44427</v>
      </c>
      <c r="D290" s="5" t="s">
        <v>26</v>
      </c>
      <c r="E290" s="5" t="s">
        <v>16</v>
      </c>
      <c r="F290" s="5" t="s">
        <v>15</v>
      </c>
      <c r="G290" s="5" t="s">
        <v>40</v>
      </c>
      <c r="H290" s="6" t="n">
        <v>131000</v>
      </c>
    </row>
    <row r="291" customFormat="false" ht="15" hidden="false" customHeight="false" outlineLevel="0" collapsed="false">
      <c r="A291" s="11" t="n">
        <v>44418</v>
      </c>
      <c r="B291" s="11" t="n">
        <v>44434</v>
      </c>
      <c r="C291" s="11" t="n">
        <v>44427</v>
      </c>
      <c r="D291" s="5" t="s">
        <v>26</v>
      </c>
      <c r="E291" s="5" t="s">
        <v>16</v>
      </c>
      <c r="F291" s="5" t="s">
        <v>15</v>
      </c>
      <c r="G291" s="5" t="s">
        <v>40</v>
      </c>
      <c r="H291" s="6" t="n">
        <v>132000</v>
      </c>
    </row>
    <row r="292" customFormat="false" ht="15" hidden="false" customHeight="false" outlineLevel="0" collapsed="false">
      <c r="A292" s="11" t="n">
        <v>44419</v>
      </c>
      <c r="B292" s="11" t="n">
        <v>44434</v>
      </c>
      <c r="C292" s="11" t="n">
        <v>44427</v>
      </c>
      <c r="D292" s="5" t="s">
        <v>26</v>
      </c>
      <c r="E292" s="5" t="s">
        <v>16</v>
      </c>
      <c r="F292" s="5" t="s">
        <v>15</v>
      </c>
      <c r="G292" s="5" t="s">
        <v>40</v>
      </c>
      <c r="H292" s="6" t="n">
        <v>132000</v>
      </c>
    </row>
    <row r="293" customFormat="false" ht="15" hidden="false" customHeight="false" outlineLevel="0" collapsed="false">
      <c r="A293" s="11" t="n">
        <v>44420</v>
      </c>
      <c r="B293" s="11" t="n">
        <v>44434</v>
      </c>
      <c r="C293" s="11" t="n">
        <v>44427</v>
      </c>
      <c r="D293" s="5" t="s">
        <v>26</v>
      </c>
      <c r="E293" s="5" t="s">
        <v>16</v>
      </c>
      <c r="F293" s="5" t="s">
        <v>15</v>
      </c>
      <c r="G293" s="5" t="s">
        <v>40</v>
      </c>
      <c r="H293" s="6" t="n">
        <v>132000</v>
      </c>
    </row>
    <row r="294" customFormat="false" ht="15" hidden="false" customHeight="false" outlineLevel="0" collapsed="false">
      <c r="A294" s="11" t="n">
        <v>44421</v>
      </c>
      <c r="B294" s="11" t="n">
        <v>44441</v>
      </c>
      <c r="C294" s="11" t="n">
        <v>44434</v>
      </c>
      <c r="D294" s="5" t="s">
        <v>26</v>
      </c>
      <c r="E294" s="5" t="s">
        <v>16</v>
      </c>
      <c r="F294" s="5" t="s">
        <v>15</v>
      </c>
      <c r="G294" s="5" t="s">
        <v>40</v>
      </c>
      <c r="H294" s="6" t="n">
        <v>126000</v>
      </c>
    </row>
    <row r="295" customFormat="false" ht="15" hidden="false" customHeight="false" outlineLevel="0" collapsed="false">
      <c r="A295" s="11" t="n">
        <v>44425</v>
      </c>
      <c r="B295" s="11" t="n">
        <v>44441</v>
      </c>
      <c r="C295" s="11" t="n">
        <v>44434</v>
      </c>
      <c r="D295" s="5" t="s">
        <v>26</v>
      </c>
      <c r="E295" s="5" t="s">
        <v>16</v>
      </c>
      <c r="F295" s="5" t="s">
        <v>15</v>
      </c>
      <c r="G295" s="5" t="s">
        <v>40</v>
      </c>
      <c r="H295" s="6" t="n">
        <v>198000</v>
      </c>
    </row>
    <row r="296" customFormat="false" ht="15" hidden="false" customHeight="false" outlineLevel="0" collapsed="false">
      <c r="A296" s="11" t="n">
        <v>44426</v>
      </c>
      <c r="B296" s="11" t="n">
        <v>44441</v>
      </c>
      <c r="C296" s="11" t="n">
        <v>44434</v>
      </c>
      <c r="D296" s="5" t="s">
        <v>26</v>
      </c>
      <c r="E296" s="5" t="s">
        <v>16</v>
      </c>
      <c r="F296" s="5" t="s">
        <v>15</v>
      </c>
      <c r="G296" s="5" t="s">
        <v>40</v>
      </c>
      <c r="H296" s="6" t="n">
        <v>131000</v>
      </c>
    </row>
    <row r="297" customFormat="false" ht="15" hidden="false" customHeight="false" outlineLevel="0" collapsed="false">
      <c r="A297" s="11" t="n">
        <v>44427</v>
      </c>
      <c r="B297" s="11" t="n">
        <v>44441</v>
      </c>
      <c r="C297" s="11" t="n">
        <v>44434</v>
      </c>
      <c r="D297" s="5" t="s">
        <v>26</v>
      </c>
      <c r="E297" s="5" t="s">
        <v>16</v>
      </c>
      <c r="F297" s="5" t="s">
        <v>15</v>
      </c>
      <c r="G297" s="5" t="s">
        <v>40</v>
      </c>
      <c r="H297" s="6" t="n">
        <v>263000</v>
      </c>
    </row>
    <row r="298" customFormat="false" ht="15" hidden="false" customHeight="false" outlineLevel="0" collapsed="false">
      <c r="A298" s="11" t="n">
        <v>44432</v>
      </c>
      <c r="B298" s="11" t="n">
        <v>44448</v>
      </c>
      <c r="C298" s="11" t="n">
        <v>44441</v>
      </c>
      <c r="D298" s="5" t="s">
        <v>26</v>
      </c>
      <c r="E298" s="5" t="s">
        <v>16</v>
      </c>
      <c r="F298" s="5" t="s">
        <v>15</v>
      </c>
      <c r="G298" s="5" t="s">
        <v>40</v>
      </c>
      <c r="H298" s="6" t="n">
        <v>132000</v>
      </c>
    </row>
    <row r="299" customFormat="false" ht="15" hidden="false" customHeight="false" outlineLevel="0" collapsed="false">
      <c r="A299" s="11" t="n">
        <v>44434</v>
      </c>
      <c r="B299" s="11" t="n">
        <v>44448</v>
      </c>
      <c r="C299" s="11" t="n">
        <v>44441</v>
      </c>
      <c r="D299" s="5" t="s">
        <v>26</v>
      </c>
      <c r="E299" s="5" t="s">
        <v>16</v>
      </c>
      <c r="F299" s="5" t="s">
        <v>15</v>
      </c>
      <c r="G299" s="5" t="s">
        <v>40</v>
      </c>
      <c r="H299" s="6" t="n">
        <v>133000</v>
      </c>
    </row>
    <row r="300" customFormat="false" ht="15" hidden="false" customHeight="false" outlineLevel="0" collapsed="false">
      <c r="A300" s="11" t="n">
        <v>44435</v>
      </c>
      <c r="B300" s="11" t="n">
        <v>44455</v>
      </c>
      <c r="C300" s="11" t="n">
        <v>44448</v>
      </c>
      <c r="D300" s="5" t="s">
        <v>26</v>
      </c>
      <c r="E300" s="5" t="s">
        <v>16</v>
      </c>
      <c r="F300" s="5" t="s">
        <v>15</v>
      </c>
      <c r="G300" s="5" t="s">
        <v>40</v>
      </c>
      <c r="H300" s="6" t="n">
        <v>129000</v>
      </c>
    </row>
    <row r="301" customFormat="false" ht="15" hidden="false" customHeight="false" outlineLevel="0" collapsed="false">
      <c r="A301" s="11" t="n">
        <v>44438</v>
      </c>
      <c r="B301" s="11" t="n">
        <v>44455</v>
      </c>
      <c r="C301" s="11" t="n">
        <v>44448</v>
      </c>
      <c r="D301" s="5" t="s">
        <v>26</v>
      </c>
      <c r="E301" s="5" t="s">
        <v>16</v>
      </c>
      <c r="F301" s="5" t="s">
        <v>15</v>
      </c>
      <c r="G301" s="5" t="s">
        <v>40</v>
      </c>
      <c r="H301" s="6" t="n">
        <v>256000</v>
      </c>
    </row>
    <row r="302" customFormat="false" ht="15" hidden="false" customHeight="false" outlineLevel="0" collapsed="false">
      <c r="A302" s="11" t="n">
        <v>44441</v>
      </c>
      <c r="B302" s="11" t="n">
        <v>44455</v>
      </c>
      <c r="C302" s="11" t="n">
        <v>44448</v>
      </c>
      <c r="D302" s="5" t="s">
        <v>26</v>
      </c>
      <c r="E302" s="5" t="s">
        <v>16</v>
      </c>
      <c r="F302" s="5" t="s">
        <v>16</v>
      </c>
      <c r="G302" s="5" t="s">
        <v>40</v>
      </c>
      <c r="H302" s="6" t="n">
        <v>126000</v>
      </c>
    </row>
    <row r="303" customFormat="false" ht="15" hidden="false" customHeight="false" outlineLevel="0" collapsed="false">
      <c r="A303" s="11" t="n">
        <v>44442</v>
      </c>
      <c r="B303" s="11" t="n">
        <v>44462</v>
      </c>
      <c r="C303" s="11" t="n">
        <v>44455</v>
      </c>
      <c r="D303" s="5" t="s">
        <v>26</v>
      </c>
      <c r="E303" s="5" t="s">
        <v>16</v>
      </c>
      <c r="F303" s="5" t="s">
        <v>16</v>
      </c>
      <c r="G303" s="5" t="s">
        <v>40</v>
      </c>
      <c r="H303" s="6" t="n">
        <v>130000</v>
      </c>
    </row>
    <row r="304" customFormat="false" ht="15" hidden="false" customHeight="false" outlineLevel="0" collapsed="false">
      <c r="A304" s="11" t="n">
        <v>44447</v>
      </c>
      <c r="B304" s="11" t="n">
        <v>44462</v>
      </c>
      <c r="C304" s="11" t="n">
        <v>44455</v>
      </c>
      <c r="D304" s="5" t="s">
        <v>26</v>
      </c>
      <c r="E304" s="5" t="s">
        <v>16</v>
      </c>
      <c r="F304" s="5" t="s">
        <v>16</v>
      </c>
      <c r="G304" s="5" t="s">
        <v>40</v>
      </c>
      <c r="H304" s="6" t="n">
        <v>106000</v>
      </c>
    </row>
    <row r="305" customFormat="false" ht="15" hidden="false" customHeight="false" outlineLevel="0" collapsed="false">
      <c r="A305" s="11" t="n">
        <v>44448</v>
      </c>
      <c r="B305" s="11" t="n">
        <v>44462</v>
      </c>
      <c r="C305" s="11" t="n">
        <v>44455</v>
      </c>
      <c r="D305" s="5" t="s">
        <v>26</v>
      </c>
      <c r="E305" s="5" t="s">
        <v>16</v>
      </c>
      <c r="F305" s="5" t="s">
        <v>16</v>
      </c>
      <c r="G305" s="5" t="s">
        <v>40</v>
      </c>
      <c r="H305" s="6" t="n">
        <v>132000</v>
      </c>
    </row>
    <row r="306" customFormat="false" ht="15" hidden="false" customHeight="false" outlineLevel="0" collapsed="false">
      <c r="A306" s="11" t="n">
        <v>44449</v>
      </c>
      <c r="B306" s="11" t="n">
        <v>44469</v>
      </c>
      <c r="C306" s="11" t="n">
        <v>44462</v>
      </c>
      <c r="D306" s="5" t="s">
        <v>26</v>
      </c>
      <c r="E306" s="5" t="s">
        <v>16</v>
      </c>
      <c r="F306" s="5" t="s">
        <v>16</v>
      </c>
      <c r="G306" s="5" t="s">
        <v>40</v>
      </c>
      <c r="H306" s="6" t="n">
        <v>132000</v>
      </c>
    </row>
    <row r="307" customFormat="false" ht="15" hidden="false" customHeight="false" outlineLevel="0" collapsed="false">
      <c r="A307" s="11" t="n">
        <v>44454</v>
      </c>
      <c r="B307" s="11" t="n">
        <v>44469</v>
      </c>
      <c r="C307" s="11" t="n">
        <v>44462</v>
      </c>
      <c r="D307" s="5" t="s">
        <v>26</v>
      </c>
      <c r="E307" s="5" t="s">
        <v>16</v>
      </c>
      <c r="F307" s="5" t="s">
        <v>16</v>
      </c>
      <c r="G307" s="5" t="s">
        <v>40</v>
      </c>
      <c r="H307" s="6" t="n">
        <v>132000</v>
      </c>
    </row>
    <row r="308" customFormat="false" ht="15" hidden="false" customHeight="false" outlineLevel="0" collapsed="false">
      <c r="A308" s="11" t="n">
        <v>44455</v>
      </c>
      <c r="B308" s="11" t="n">
        <v>44469</v>
      </c>
      <c r="C308" s="11" t="n">
        <v>44462</v>
      </c>
      <c r="D308" s="5" t="s">
        <v>26</v>
      </c>
      <c r="E308" s="5" t="s">
        <v>16</v>
      </c>
      <c r="F308" s="5" t="s">
        <v>16</v>
      </c>
      <c r="G308" s="5" t="s">
        <v>40</v>
      </c>
      <c r="H308" s="6" t="n">
        <v>132000</v>
      </c>
    </row>
    <row r="309" customFormat="false" ht="15" hidden="false" customHeight="false" outlineLevel="0" collapsed="false">
      <c r="A309" s="11" t="n">
        <v>44456</v>
      </c>
      <c r="B309" s="11" t="n">
        <v>44476</v>
      </c>
      <c r="C309" s="11" t="n">
        <v>44469</v>
      </c>
      <c r="D309" s="5" t="s">
        <v>26</v>
      </c>
      <c r="E309" s="5" t="s">
        <v>16</v>
      </c>
      <c r="F309" s="5" t="s">
        <v>16</v>
      </c>
      <c r="G309" s="5" t="s">
        <v>40</v>
      </c>
      <c r="H309" s="6" t="n">
        <v>132000</v>
      </c>
    </row>
    <row r="310" customFormat="false" ht="15" hidden="false" customHeight="false" outlineLevel="0" collapsed="false">
      <c r="A310" s="11" t="n">
        <v>44466</v>
      </c>
      <c r="B310" s="11" t="n">
        <v>44483</v>
      </c>
      <c r="C310" s="11" t="n">
        <v>44476</v>
      </c>
      <c r="D310" s="5" t="s">
        <v>26</v>
      </c>
      <c r="E310" s="5" t="s">
        <v>16</v>
      </c>
      <c r="F310" s="5" t="s">
        <v>16</v>
      </c>
      <c r="G310" s="5" t="s">
        <v>40</v>
      </c>
      <c r="H310" s="6" t="n">
        <v>334000</v>
      </c>
    </row>
    <row r="311" customFormat="false" ht="15" hidden="false" customHeight="false" outlineLevel="0" collapsed="false">
      <c r="A311" s="11" t="n">
        <v>44482</v>
      </c>
      <c r="B311" s="11" t="n">
        <v>44497</v>
      </c>
      <c r="C311" s="11" t="n">
        <v>44490</v>
      </c>
      <c r="D311" s="5" t="s">
        <v>26</v>
      </c>
      <c r="E311" s="5" t="s">
        <v>16</v>
      </c>
      <c r="F311" s="5" t="s">
        <v>16</v>
      </c>
      <c r="G311" s="5" t="s">
        <v>40</v>
      </c>
      <c r="H311" s="6" t="n">
        <v>330000</v>
      </c>
    </row>
    <row r="312" customFormat="false" ht="15" hidden="false" customHeight="false" outlineLevel="0" collapsed="false">
      <c r="A312" s="11" t="n">
        <v>44484</v>
      </c>
      <c r="B312" s="11" t="n">
        <v>44504</v>
      </c>
      <c r="C312" s="11" t="n">
        <v>44497</v>
      </c>
      <c r="D312" s="5" t="s">
        <v>26</v>
      </c>
      <c r="E312" s="5" t="s">
        <v>16</v>
      </c>
      <c r="F312" s="5" t="s">
        <v>16</v>
      </c>
      <c r="G312" s="5" t="s">
        <v>40</v>
      </c>
      <c r="H312" s="6" t="n">
        <v>132000</v>
      </c>
    </row>
    <row r="313" customFormat="false" ht="15" hidden="false" customHeight="false" outlineLevel="0" collapsed="false">
      <c r="A313" s="11" t="n">
        <v>44495</v>
      </c>
      <c r="B313" s="11" t="n">
        <v>44511</v>
      </c>
      <c r="C313" s="11" t="n">
        <v>44504</v>
      </c>
      <c r="D313" s="5" t="s">
        <v>26</v>
      </c>
      <c r="E313" s="5" t="s">
        <v>16</v>
      </c>
      <c r="F313" s="5" t="s">
        <v>16</v>
      </c>
      <c r="G313" s="5" t="s">
        <v>40</v>
      </c>
      <c r="H313" s="6" t="n">
        <v>199000</v>
      </c>
    </row>
    <row r="314" customFormat="false" ht="15" hidden="false" customHeight="false" outlineLevel="0" collapsed="false">
      <c r="A314" s="11" t="n">
        <v>44501</v>
      </c>
      <c r="B314" s="11" t="n">
        <v>44518</v>
      </c>
      <c r="C314" s="11" t="n">
        <v>44511</v>
      </c>
      <c r="D314" s="5" t="s">
        <v>26</v>
      </c>
      <c r="E314" s="5" t="s">
        <v>16</v>
      </c>
      <c r="F314" s="5" t="s">
        <v>16</v>
      </c>
      <c r="G314" s="5" t="s">
        <v>40</v>
      </c>
      <c r="H314" s="6" t="n">
        <v>132000</v>
      </c>
    </row>
    <row r="315" customFormat="false" ht="15" hidden="false" customHeight="false" outlineLevel="0" collapsed="false">
      <c r="A315" s="11" t="n">
        <v>44517</v>
      </c>
      <c r="B315" s="11" t="n">
        <v>44532</v>
      </c>
      <c r="C315" s="11" t="n">
        <v>44525</v>
      </c>
      <c r="D315" s="5" t="s">
        <v>26</v>
      </c>
      <c r="E315" s="5" t="s">
        <v>16</v>
      </c>
      <c r="F315" s="5" t="s">
        <v>16</v>
      </c>
      <c r="G315" s="5" t="s">
        <v>40</v>
      </c>
      <c r="H315" s="6" t="n">
        <v>132000</v>
      </c>
    </row>
    <row r="316" customFormat="false" ht="15" hidden="false" customHeight="false" outlineLevel="0" collapsed="false">
      <c r="A316" s="11" t="n">
        <v>44532</v>
      </c>
      <c r="B316" s="11" t="n">
        <v>44546</v>
      </c>
      <c r="C316" s="11" t="n">
        <v>44539</v>
      </c>
      <c r="D316" s="5" t="s">
        <v>26</v>
      </c>
      <c r="E316" s="5" t="s">
        <v>16</v>
      </c>
      <c r="F316" s="5" t="s">
        <v>16</v>
      </c>
      <c r="G316" s="5" t="s">
        <v>40</v>
      </c>
      <c r="H316" s="6" t="n">
        <v>130000</v>
      </c>
    </row>
    <row r="317" customFormat="false" ht="15" hidden="false" customHeight="false" outlineLevel="0" collapsed="false">
      <c r="A317" s="11" t="n">
        <v>44536</v>
      </c>
      <c r="B317" s="11" t="n">
        <v>44553</v>
      </c>
      <c r="C317" s="11" t="n">
        <v>44546</v>
      </c>
      <c r="D317" s="5" t="s">
        <v>26</v>
      </c>
      <c r="E317" s="5" t="s">
        <v>16</v>
      </c>
      <c r="F317" s="5" t="s">
        <v>16</v>
      </c>
      <c r="G317" s="5" t="s">
        <v>40</v>
      </c>
      <c r="H317" s="6" t="n">
        <v>130000</v>
      </c>
    </row>
    <row r="318" customFormat="false" ht="15" hidden="false" customHeight="false" outlineLevel="0" collapsed="false">
      <c r="A318" s="11" t="n">
        <v>44538</v>
      </c>
      <c r="B318" s="11" t="n">
        <v>44553</v>
      </c>
      <c r="C318" s="11" t="n">
        <v>44546</v>
      </c>
      <c r="D318" s="5" t="s">
        <v>26</v>
      </c>
      <c r="E318" s="5" t="s">
        <v>16</v>
      </c>
      <c r="F318" s="5" t="s">
        <v>16</v>
      </c>
      <c r="G318" s="5" t="s">
        <v>40</v>
      </c>
      <c r="H318" s="6" t="n">
        <v>130000</v>
      </c>
    </row>
    <row r="319" customFormat="false" ht="15" hidden="false" customHeight="false" outlineLevel="0" collapsed="false">
      <c r="A319" s="11" t="n">
        <v>44547</v>
      </c>
      <c r="B319" s="11" t="n">
        <v>44567</v>
      </c>
      <c r="C319" s="11" t="n">
        <v>44560</v>
      </c>
      <c r="D319" s="5" t="s">
        <v>26</v>
      </c>
      <c r="E319" s="5" t="s">
        <v>16</v>
      </c>
      <c r="F319" s="5" t="s">
        <v>16</v>
      </c>
      <c r="G319" s="5" t="s">
        <v>40</v>
      </c>
      <c r="H319" s="6" t="n">
        <v>132000</v>
      </c>
    </row>
    <row r="320" customFormat="false" ht="15" hidden="false" customHeight="false" outlineLevel="0" collapsed="false">
      <c r="A320" s="11" t="n">
        <v>44573</v>
      </c>
      <c r="B320" s="11" t="n">
        <v>44588</v>
      </c>
      <c r="C320" s="11" t="n">
        <v>44581</v>
      </c>
      <c r="D320" s="5" t="s">
        <v>26</v>
      </c>
      <c r="E320" s="5" t="s">
        <v>17</v>
      </c>
      <c r="F320" s="5" t="s">
        <v>16</v>
      </c>
      <c r="G320" s="5" t="s">
        <v>40</v>
      </c>
      <c r="H320" s="6" t="n">
        <v>132000</v>
      </c>
    </row>
    <row r="321" customFormat="false" ht="15" hidden="false" customHeight="false" outlineLevel="0" collapsed="false">
      <c r="A321" s="11" t="n">
        <v>44582</v>
      </c>
      <c r="B321" s="11" t="n">
        <v>44602</v>
      </c>
      <c r="C321" s="11" t="n">
        <v>44595</v>
      </c>
      <c r="D321" s="5" t="s">
        <v>26</v>
      </c>
      <c r="E321" s="5" t="s">
        <v>16</v>
      </c>
      <c r="F321" s="5" t="s">
        <v>16</v>
      </c>
      <c r="G321" s="5" t="s">
        <v>40</v>
      </c>
      <c r="H321" s="6" t="n">
        <v>132000</v>
      </c>
    </row>
    <row r="322" customFormat="false" ht="15" hidden="false" customHeight="false" outlineLevel="0" collapsed="false">
      <c r="A322" s="11" t="n">
        <v>44585</v>
      </c>
      <c r="B322" s="11" t="n">
        <v>44602</v>
      </c>
      <c r="C322" s="11" t="n">
        <v>44595</v>
      </c>
      <c r="D322" s="5" t="s">
        <v>26</v>
      </c>
      <c r="E322" s="5" t="s">
        <v>16</v>
      </c>
      <c r="F322" s="5" t="s">
        <v>16</v>
      </c>
      <c r="G322" s="5" t="s">
        <v>40</v>
      </c>
      <c r="H322" s="6" t="n">
        <v>66000</v>
      </c>
    </row>
    <row r="323" customFormat="false" ht="15" hidden="false" customHeight="false" outlineLevel="0" collapsed="false">
      <c r="A323" s="11" t="n">
        <v>44585</v>
      </c>
      <c r="B323" s="11" t="n">
        <v>44602</v>
      </c>
      <c r="C323" s="11" t="n">
        <v>44595</v>
      </c>
      <c r="D323" s="5" t="s">
        <v>26</v>
      </c>
      <c r="E323" s="5" t="s">
        <v>17</v>
      </c>
      <c r="F323" s="5" t="s">
        <v>16</v>
      </c>
      <c r="G323" s="5" t="s">
        <v>40</v>
      </c>
      <c r="H323" s="6" t="n">
        <v>66000</v>
      </c>
    </row>
    <row r="324" customFormat="false" ht="15" hidden="false" customHeight="false" outlineLevel="0" collapsed="false">
      <c r="A324" s="11" t="n">
        <v>44589</v>
      </c>
      <c r="B324" s="11" t="n">
        <v>44609</v>
      </c>
      <c r="C324" s="11" t="n">
        <v>44602</v>
      </c>
      <c r="D324" s="5" t="s">
        <v>26</v>
      </c>
      <c r="E324" s="5" t="s">
        <v>17</v>
      </c>
      <c r="F324" s="5" t="s">
        <v>16</v>
      </c>
      <c r="G324" s="5" t="s">
        <v>40</v>
      </c>
      <c r="H324" s="6" t="n">
        <v>264000</v>
      </c>
    </row>
    <row r="325" customFormat="false" ht="15" hidden="false" customHeight="false" outlineLevel="0" collapsed="false">
      <c r="A325" s="11" t="n">
        <v>44592</v>
      </c>
      <c r="B325" s="11" t="n">
        <v>44609</v>
      </c>
      <c r="C325" s="11" t="n">
        <v>44602</v>
      </c>
      <c r="D325" s="5" t="s">
        <v>26</v>
      </c>
      <c r="E325" s="5" t="s">
        <v>16</v>
      </c>
      <c r="F325" s="5" t="s">
        <v>16</v>
      </c>
      <c r="G325" s="5" t="s">
        <v>40</v>
      </c>
      <c r="H325" s="6" t="n">
        <v>66000</v>
      </c>
    </row>
    <row r="326" customFormat="false" ht="15" hidden="false" customHeight="false" outlineLevel="0" collapsed="false">
      <c r="A326" s="11" t="n">
        <v>44592</v>
      </c>
      <c r="B326" s="11" t="n">
        <v>44609</v>
      </c>
      <c r="C326" s="11" t="n">
        <v>44602</v>
      </c>
      <c r="D326" s="5" t="s">
        <v>26</v>
      </c>
      <c r="E326" s="5" t="s">
        <v>17</v>
      </c>
      <c r="F326" s="5" t="s">
        <v>16</v>
      </c>
      <c r="G326" s="5" t="s">
        <v>40</v>
      </c>
      <c r="H326" s="6" t="n">
        <v>63000</v>
      </c>
    </row>
    <row r="327" customFormat="false" ht="15" hidden="false" customHeight="false" outlineLevel="0" collapsed="false">
      <c r="A327" s="11" t="n">
        <v>44593</v>
      </c>
      <c r="B327" s="11" t="n">
        <v>44609</v>
      </c>
      <c r="C327" s="11" t="n">
        <v>44602</v>
      </c>
      <c r="D327" s="5" t="s">
        <v>26</v>
      </c>
      <c r="E327" s="5" t="s">
        <v>17</v>
      </c>
      <c r="F327" s="5" t="s">
        <v>16</v>
      </c>
      <c r="G327" s="5" t="s">
        <v>40</v>
      </c>
      <c r="H327" s="6" t="n">
        <v>132000</v>
      </c>
    </row>
    <row r="328" customFormat="false" ht="15" hidden="false" customHeight="false" outlineLevel="0" collapsed="false">
      <c r="A328" s="11" t="n">
        <v>44595</v>
      </c>
      <c r="B328" s="11" t="n">
        <v>44609</v>
      </c>
      <c r="C328" s="11" t="n">
        <v>44602</v>
      </c>
      <c r="D328" s="5" t="s">
        <v>26</v>
      </c>
      <c r="E328" s="5" t="s">
        <v>16</v>
      </c>
      <c r="F328" s="5" t="s">
        <v>16</v>
      </c>
      <c r="G328" s="5" t="s">
        <v>3</v>
      </c>
      <c r="H328" s="6" t="n">
        <v>380000</v>
      </c>
    </row>
    <row r="329" customFormat="false" ht="15" hidden="false" customHeight="false" outlineLevel="0" collapsed="false">
      <c r="A329" s="11" t="n">
        <v>44600</v>
      </c>
      <c r="B329" s="11" t="n">
        <v>44616</v>
      </c>
      <c r="C329" s="11" t="n">
        <v>44609</v>
      </c>
      <c r="D329" s="5" t="s">
        <v>26</v>
      </c>
      <c r="E329" s="5" t="s">
        <v>17</v>
      </c>
      <c r="F329" s="5" t="s">
        <v>16</v>
      </c>
      <c r="G329" s="5" t="s">
        <v>40</v>
      </c>
      <c r="H329" s="6" t="n">
        <v>132000</v>
      </c>
    </row>
    <row r="330" customFormat="false" ht="15" hidden="false" customHeight="false" outlineLevel="0" collapsed="false">
      <c r="A330" s="11" t="n">
        <v>44601</v>
      </c>
      <c r="B330" s="11" t="n">
        <v>44616</v>
      </c>
      <c r="C330" s="11" t="n">
        <v>44609</v>
      </c>
      <c r="D330" s="5" t="s">
        <v>26</v>
      </c>
      <c r="E330" s="5" t="s">
        <v>17</v>
      </c>
      <c r="F330" s="5" t="s">
        <v>16</v>
      </c>
      <c r="G330" s="5" t="s">
        <v>40</v>
      </c>
      <c r="H330" s="6" t="n">
        <v>240000</v>
      </c>
    </row>
    <row r="331" customFormat="false" ht="15" hidden="false" customHeight="false" outlineLevel="0" collapsed="false">
      <c r="A331" s="11" t="n">
        <v>44603</v>
      </c>
      <c r="B331" s="11" t="n">
        <v>44623</v>
      </c>
      <c r="C331" s="11" t="n">
        <v>44616</v>
      </c>
      <c r="D331" s="5" t="s">
        <v>26</v>
      </c>
      <c r="E331" s="5" t="s">
        <v>17</v>
      </c>
      <c r="F331" s="5" t="s">
        <v>16</v>
      </c>
      <c r="G331" s="5" t="s">
        <v>40</v>
      </c>
      <c r="H331" s="6" t="n">
        <v>108000</v>
      </c>
    </row>
    <row r="332" customFormat="false" ht="15" hidden="false" customHeight="false" outlineLevel="0" collapsed="false">
      <c r="A332" s="11" t="n">
        <v>44608</v>
      </c>
      <c r="B332" s="11" t="n">
        <v>44623</v>
      </c>
      <c r="C332" s="11" t="n">
        <v>44616</v>
      </c>
      <c r="D332" s="5" t="s">
        <v>26</v>
      </c>
      <c r="E332" s="5" t="s">
        <v>17</v>
      </c>
      <c r="F332" s="5" t="s">
        <v>16</v>
      </c>
      <c r="G332" s="5" t="s">
        <v>40</v>
      </c>
      <c r="H332" s="6" t="n">
        <v>132000</v>
      </c>
    </row>
    <row r="333" customFormat="false" ht="15" hidden="false" customHeight="false" outlineLevel="0" collapsed="false">
      <c r="A333" s="11" t="n">
        <v>44614</v>
      </c>
      <c r="B333" s="11" t="n">
        <v>44630</v>
      </c>
      <c r="C333" s="11" t="n">
        <v>44623</v>
      </c>
      <c r="D333" s="5" t="s">
        <v>26</v>
      </c>
      <c r="E333" s="5" t="s">
        <v>17</v>
      </c>
      <c r="F333" s="5" t="s">
        <v>16</v>
      </c>
      <c r="G333" s="5" t="s">
        <v>40</v>
      </c>
      <c r="H333" s="6" t="n">
        <v>132000</v>
      </c>
    </row>
    <row r="334" customFormat="false" ht="15" hidden="false" customHeight="false" outlineLevel="0" collapsed="false">
      <c r="A334" s="11" t="n">
        <v>44615</v>
      </c>
      <c r="B334" s="11" t="n">
        <v>44630</v>
      </c>
      <c r="C334" s="11" t="n">
        <v>44623</v>
      </c>
      <c r="D334" s="5" t="s">
        <v>26</v>
      </c>
      <c r="E334" s="5" t="s">
        <v>17</v>
      </c>
      <c r="F334" s="5" t="s">
        <v>16</v>
      </c>
      <c r="G334" s="5" t="s">
        <v>40</v>
      </c>
      <c r="H334" s="6" t="n">
        <v>132000</v>
      </c>
    </row>
    <row r="335" customFormat="false" ht="15" hidden="false" customHeight="false" outlineLevel="0" collapsed="false">
      <c r="A335" s="11" t="n">
        <v>44617</v>
      </c>
      <c r="B335" s="11" t="n">
        <v>44637</v>
      </c>
      <c r="C335" s="11" t="n">
        <v>44630</v>
      </c>
      <c r="D335" s="5" t="s">
        <v>26</v>
      </c>
      <c r="E335" s="5" t="s">
        <v>17</v>
      </c>
      <c r="F335" s="5" t="s">
        <v>16</v>
      </c>
      <c r="G335" s="5" t="s">
        <v>40</v>
      </c>
      <c r="H335" s="6" t="n">
        <v>334000</v>
      </c>
    </row>
    <row r="336" customFormat="false" ht="15" hidden="false" customHeight="false" outlineLevel="0" collapsed="false">
      <c r="A336" s="11" t="n">
        <v>44620</v>
      </c>
      <c r="B336" s="11" t="n">
        <v>44637</v>
      </c>
      <c r="C336" s="11" t="n">
        <v>44630</v>
      </c>
      <c r="D336" s="5" t="s">
        <v>26</v>
      </c>
      <c r="E336" s="5" t="s">
        <v>17</v>
      </c>
      <c r="F336" s="5" t="s">
        <v>16</v>
      </c>
      <c r="G336" s="5" t="s">
        <v>40</v>
      </c>
      <c r="H336" s="6" t="n">
        <v>136000</v>
      </c>
    </row>
    <row r="337" customFormat="false" ht="15" hidden="false" customHeight="false" outlineLevel="0" collapsed="false">
      <c r="A337" s="11" t="n">
        <v>44621</v>
      </c>
      <c r="B337" s="11" t="n">
        <v>44637</v>
      </c>
      <c r="C337" s="11" t="n">
        <v>44630</v>
      </c>
      <c r="D337" s="5" t="s">
        <v>26</v>
      </c>
      <c r="E337" s="5" t="s">
        <v>17</v>
      </c>
      <c r="F337" s="5" t="s">
        <v>16</v>
      </c>
      <c r="G337" s="5" t="s">
        <v>40</v>
      </c>
      <c r="H337" s="6" t="n">
        <v>264000</v>
      </c>
    </row>
    <row r="338" customFormat="false" ht="15" hidden="false" customHeight="false" outlineLevel="0" collapsed="false">
      <c r="A338" s="11" t="n">
        <v>44622</v>
      </c>
      <c r="B338" s="11" t="n">
        <v>44637</v>
      </c>
      <c r="C338" s="11" t="n">
        <v>44630</v>
      </c>
      <c r="D338" s="5" t="s">
        <v>26</v>
      </c>
      <c r="E338" s="5" t="s">
        <v>16</v>
      </c>
      <c r="F338" s="5" t="s">
        <v>16</v>
      </c>
      <c r="G338" s="5" t="s">
        <v>40</v>
      </c>
      <c r="H338" s="6" t="n">
        <v>198000</v>
      </c>
    </row>
    <row r="339" customFormat="false" ht="15" hidden="false" customHeight="false" outlineLevel="0" collapsed="false">
      <c r="A339" s="11" t="n">
        <v>44622</v>
      </c>
      <c r="B339" s="11" t="n">
        <v>44637</v>
      </c>
      <c r="C339" s="11" t="n">
        <v>44630</v>
      </c>
      <c r="D339" s="5" t="s">
        <v>26</v>
      </c>
      <c r="E339" s="5" t="s">
        <v>17</v>
      </c>
      <c r="F339" s="5" t="s">
        <v>16</v>
      </c>
      <c r="G339" s="5" t="s">
        <v>40</v>
      </c>
      <c r="H339" s="6" t="n">
        <v>68000</v>
      </c>
    </row>
    <row r="340" customFormat="false" ht="15" hidden="false" customHeight="false" outlineLevel="0" collapsed="false">
      <c r="A340" s="11" t="n">
        <v>44623</v>
      </c>
      <c r="B340" s="11" t="n">
        <v>44637</v>
      </c>
      <c r="C340" s="11" t="n">
        <v>44630</v>
      </c>
      <c r="D340" s="5" t="s">
        <v>26</v>
      </c>
      <c r="E340" s="5" t="s">
        <v>16</v>
      </c>
      <c r="F340" s="5" t="s">
        <v>16</v>
      </c>
      <c r="G340" s="5" t="s">
        <v>40</v>
      </c>
      <c r="H340" s="6" t="n">
        <v>66000</v>
      </c>
    </row>
    <row r="341" customFormat="false" ht="15" hidden="false" customHeight="false" outlineLevel="0" collapsed="false">
      <c r="A341" s="11" t="n">
        <v>44623</v>
      </c>
      <c r="B341" s="11" t="n">
        <v>44637</v>
      </c>
      <c r="C341" s="11" t="n">
        <v>44630</v>
      </c>
      <c r="D341" s="5" t="s">
        <v>26</v>
      </c>
      <c r="E341" s="5" t="s">
        <v>17</v>
      </c>
      <c r="F341" s="5" t="s">
        <v>16</v>
      </c>
      <c r="G341" s="5" t="s">
        <v>40</v>
      </c>
      <c r="H341" s="6" t="n">
        <v>66000</v>
      </c>
    </row>
    <row r="342" customFormat="false" ht="15" hidden="false" customHeight="false" outlineLevel="0" collapsed="false">
      <c r="A342" s="11" t="n">
        <v>44624</v>
      </c>
      <c r="B342" s="11" t="n">
        <v>44644</v>
      </c>
      <c r="C342" s="11" t="n">
        <v>44637</v>
      </c>
      <c r="D342" s="5" t="s">
        <v>26</v>
      </c>
      <c r="E342" s="5" t="s">
        <v>16</v>
      </c>
      <c r="F342" s="5" t="s">
        <v>16</v>
      </c>
      <c r="G342" s="5" t="s">
        <v>40</v>
      </c>
      <c r="H342" s="6" t="n">
        <v>106000</v>
      </c>
    </row>
    <row r="343" customFormat="false" ht="15" hidden="false" customHeight="false" outlineLevel="0" collapsed="false">
      <c r="A343" s="11" t="n">
        <v>44627</v>
      </c>
      <c r="B343" s="11" t="n">
        <v>44644</v>
      </c>
      <c r="C343" s="11" t="n">
        <v>44637</v>
      </c>
      <c r="D343" s="5" t="s">
        <v>26</v>
      </c>
      <c r="E343" s="5" t="s">
        <v>16</v>
      </c>
      <c r="F343" s="5" t="s">
        <v>16</v>
      </c>
      <c r="G343" s="5" t="s">
        <v>40</v>
      </c>
      <c r="H343" s="6" t="n">
        <v>66000</v>
      </c>
    </row>
    <row r="344" customFormat="false" ht="15" hidden="false" customHeight="false" outlineLevel="0" collapsed="false">
      <c r="A344" s="11" t="n">
        <v>44627</v>
      </c>
      <c r="B344" s="11" t="n">
        <v>44644</v>
      </c>
      <c r="C344" s="11" t="n">
        <v>44637</v>
      </c>
      <c r="D344" s="5" t="s">
        <v>26</v>
      </c>
      <c r="E344" s="5" t="s">
        <v>17</v>
      </c>
      <c r="F344" s="5" t="s">
        <v>16</v>
      </c>
      <c r="G344" s="5" t="s">
        <v>40</v>
      </c>
      <c r="H344" s="6" t="n">
        <v>66000</v>
      </c>
    </row>
    <row r="345" customFormat="false" ht="15" hidden="false" customHeight="false" outlineLevel="0" collapsed="false">
      <c r="A345" s="11" t="n">
        <v>44628</v>
      </c>
      <c r="B345" s="11" t="n">
        <v>44644</v>
      </c>
      <c r="C345" s="11" t="n">
        <v>44637</v>
      </c>
      <c r="D345" s="5" t="s">
        <v>26</v>
      </c>
      <c r="E345" s="5" t="s">
        <v>17</v>
      </c>
      <c r="F345" s="5" t="s">
        <v>16</v>
      </c>
      <c r="G345" s="5" t="s">
        <v>40</v>
      </c>
      <c r="H345" s="6" t="n">
        <v>132000</v>
      </c>
    </row>
    <row r="346" customFormat="false" ht="15" hidden="false" customHeight="false" outlineLevel="0" collapsed="false">
      <c r="A346" s="11" t="n">
        <v>44631</v>
      </c>
      <c r="B346" s="11" t="n">
        <v>44651</v>
      </c>
      <c r="C346" s="11" t="n">
        <v>44644</v>
      </c>
      <c r="D346" s="5" t="s">
        <v>26</v>
      </c>
      <c r="E346" s="5" t="s">
        <v>17</v>
      </c>
      <c r="F346" s="5" t="s">
        <v>16</v>
      </c>
      <c r="G346" s="5" t="s">
        <v>40</v>
      </c>
      <c r="H346" s="6" t="n">
        <v>264000</v>
      </c>
    </row>
    <row r="347" customFormat="false" ht="15" hidden="false" customHeight="false" outlineLevel="0" collapsed="false">
      <c r="A347" s="11" t="n">
        <v>44645</v>
      </c>
      <c r="B347" s="11" t="n">
        <v>44665</v>
      </c>
      <c r="C347" s="11" t="n">
        <v>44658</v>
      </c>
      <c r="D347" s="5" t="s">
        <v>26</v>
      </c>
      <c r="E347" s="5" t="s">
        <v>16</v>
      </c>
      <c r="F347" s="5" t="s">
        <v>16</v>
      </c>
      <c r="G347" s="5" t="s">
        <v>40</v>
      </c>
      <c r="H347" s="6" t="n">
        <v>132000</v>
      </c>
    </row>
    <row r="348" customFormat="false" ht="15" hidden="false" customHeight="false" outlineLevel="0" collapsed="false">
      <c r="A348" s="11" t="n">
        <v>44648</v>
      </c>
      <c r="B348" s="11" t="n">
        <v>44665</v>
      </c>
      <c r="C348" s="11" t="n">
        <v>44658</v>
      </c>
      <c r="D348" s="5" t="s">
        <v>26</v>
      </c>
      <c r="E348" s="5" t="s">
        <v>16</v>
      </c>
      <c r="F348" s="5" t="s">
        <v>16</v>
      </c>
      <c r="G348" s="5" t="s">
        <v>40</v>
      </c>
      <c r="H348" s="6" t="n">
        <v>132000</v>
      </c>
    </row>
    <row r="349" customFormat="false" ht="15" hidden="false" customHeight="false" outlineLevel="0" collapsed="false">
      <c r="A349" s="11" t="n">
        <v>44655</v>
      </c>
      <c r="B349" s="11" t="n">
        <v>44672</v>
      </c>
      <c r="C349" s="11" t="n">
        <v>44665</v>
      </c>
      <c r="D349" s="5" t="s">
        <v>26</v>
      </c>
      <c r="E349" s="5" t="s">
        <v>16</v>
      </c>
      <c r="F349" s="5" t="s">
        <v>16</v>
      </c>
      <c r="G349" s="5" t="s">
        <v>3</v>
      </c>
      <c r="H349" s="6" t="n">
        <v>676000</v>
      </c>
    </row>
    <row r="350" customFormat="false" ht="15" hidden="false" customHeight="false" outlineLevel="0" collapsed="false">
      <c r="A350" s="11" t="n">
        <v>44655</v>
      </c>
      <c r="B350" s="11" t="n">
        <v>44672</v>
      </c>
      <c r="C350" s="11" t="n">
        <v>44665</v>
      </c>
      <c r="D350" s="5" t="s">
        <v>26</v>
      </c>
      <c r="E350" s="5" t="s">
        <v>17</v>
      </c>
      <c r="F350" s="5" t="s">
        <v>16</v>
      </c>
      <c r="G350" s="5" t="s">
        <v>3</v>
      </c>
      <c r="H350" s="6" t="n">
        <v>408000</v>
      </c>
    </row>
    <row r="351" customFormat="false" ht="15" hidden="false" customHeight="false" outlineLevel="0" collapsed="false">
      <c r="A351" s="11" t="n">
        <v>44657</v>
      </c>
      <c r="B351" s="11" t="n">
        <v>44672</v>
      </c>
      <c r="C351" s="11" t="n">
        <v>44665</v>
      </c>
      <c r="D351" s="5" t="s">
        <v>26</v>
      </c>
      <c r="E351" s="5" t="s">
        <v>16</v>
      </c>
      <c r="F351" s="5" t="s">
        <v>16</v>
      </c>
      <c r="G351" s="5" t="s">
        <v>40</v>
      </c>
      <c r="H351" s="6" t="n">
        <v>132000</v>
      </c>
    </row>
    <row r="352" customFormat="false" ht="15" hidden="false" customHeight="false" outlineLevel="0" collapsed="false">
      <c r="A352" s="11" t="n">
        <v>44662</v>
      </c>
      <c r="B352" s="11" t="n">
        <v>44679</v>
      </c>
      <c r="C352" s="11" t="n">
        <v>44672</v>
      </c>
      <c r="D352" s="5" t="s">
        <v>26</v>
      </c>
      <c r="E352" s="5" t="s">
        <v>16</v>
      </c>
      <c r="F352" s="5" t="s">
        <v>16</v>
      </c>
      <c r="G352" s="5" t="s">
        <v>3</v>
      </c>
      <c r="H352" s="6" t="n">
        <v>680000</v>
      </c>
    </row>
    <row r="353" customFormat="false" ht="15" hidden="false" customHeight="false" outlineLevel="0" collapsed="false">
      <c r="A353" s="11" t="n">
        <v>44662</v>
      </c>
      <c r="B353" s="11" t="n">
        <v>44679</v>
      </c>
      <c r="C353" s="11" t="n">
        <v>44672</v>
      </c>
      <c r="D353" s="5" t="s">
        <v>26</v>
      </c>
      <c r="E353" s="5" t="s">
        <v>17</v>
      </c>
      <c r="F353" s="5" t="s">
        <v>16</v>
      </c>
      <c r="G353" s="5" t="s">
        <v>3</v>
      </c>
      <c r="H353" s="6" t="n">
        <v>340000</v>
      </c>
    </row>
    <row r="354" customFormat="false" ht="15" hidden="false" customHeight="false" outlineLevel="0" collapsed="false">
      <c r="A354" s="11" t="n">
        <v>44665</v>
      </c>
      <c r="B354" s="11" t="n">
        <v>44679</v>
      </c>
      <c r="C354" s="11" t="n">
        <v>44672</v>
      </c>
      <c r="D354" s="5" t="s">
        <v>26</v>
      </c>
      <c r="E354" s="5" t="s">
        <v>16</v>
      </c>
      <c r="F354" s="5" t="s">
        <v>16</v>
      </c>
      <c r="G354" s="5" t="s">
        <v>40</v>
      </c>
      <c r="H354" s="6" t="n">
        <v>132000</v>
      </c>
    </row>
    <row r="355" customFormat="false" ht="15" hidden="false" customHeight="false" outlineLevel="0" collapsed="false">
      <c r="A355" s="11" t="n">
        <v>44666</v>
      </c>
      <c r="B355" s="11" t="n">
        <v>44686</v>
      </c>
      <c r="C355" s="11" t="n">
        <v>44679</v>
      </c>
      <c r="D355" s="5" t="s">
        <v>26</v>
      </c>
      <c r="E355" s="5" t="s">
        <v>16</v>
      </c>
      <c r="F355" s="5" t="s">
        <v>16</v>
      </c>
      <c r="G355" s="5" t="s">
        <v>40</v>
      </c>
      <c r="H355" s="6" t="n">
        <v>121000</v>
      </c>
    </row>
    <row r="356" customFormat="false" ht="15" hidden="false" customHeight="false" outlineLevel="0" collapsed="false">
      <c r="A356" s="11" t="n">
        <v>44666</v>
      </c>
      <c r="B356" s="11" t="n">
        <v>44686</v>
      </c>
      <c r="C356" s="11" t="n">
        <v>44679</v>
      </c>
      <c r="D356" s="5" t="s">
        <v>26</v>
      </c>
      <c r="E356" s="5" t="s">
        <v>17</v>
      </c>
      <c r="F356" s="5" t="s">
        <v>16</v>
      </c>
      <c r="G356" s="5" t="s">
        <v>40</v>
      </c>
      <c r="H356" s="6" t="n">
        <v>540000</v>
      </c>
    </row>
    <row r="357" customFormat="false" ht="15" hidden="false" customHeight="false" outlineLevel="0" collapsed="false">
      <c r="A357" s="11" t="n">
        <v>44673</v>
      </c>
      <c r="B357" s="11" t="n">
        <v>44693</v>
      </c>
      <c r="C357" s="11" t="n">
        <v>44686</v>
      </c>
      <c r="D357" s="5" t="s">
        <v>26</v>
      </c>
      <c r="E357" s="5" t="s">
        <v>16</v>
      </c>
      <c r="F357" s="5" t="s">
        <v>16</v>
      </c>
      <c r="G357" s="5" t="s">
        <v>3</v>
      </c>
      <c r="H357" s="6" t="n">
        <v>735000</v>
      </c>
    </row>
    <row r="358" customFormat="false" ht="15" hidden="false" customHeight="false" outlineLevel="0" collapsed="false">
      <c r="A358" s="11" t="n">
        <v>44673</v>
      </c>
      <c r="B358" s="11" t="n">
        <v>44693</v>
      </c>
      <c r="C358" s="11" t="n">
        <v>44686</v>
      </c>
      <c r="D358" s="5" t="s">
        <v>26</v>
      </c>
      <c r="E358" s="5" t="s">
        <v>17</v>
      </c>
      <c r="F358" s="5" t="s">
        <v>16</v>
      </c>
      <c r="G358" s="5" t="s">
        <v>3</v>
      </c>
      <c r="H358" s="6" t="n">
        <v>612000</v>
      </c>
    </row>
    <row r="359" customFormat="false" ht="15" hidden="false" customHeight="false" outlineLevel="0" collapsed="false">
      <c r="A359" s="11" t="n">
        <v>44676</v>
      </c>
      <c r="B359" s="11" t="n">
        <v>44693</v>
      </c>
      <c r="C359" s="11" t="n">
        <v>44686</v>
      </c>
      <c r="D359" s="5" t="s">
        <v>26</v>
      </c>
      <c r="E359" s="5" t="s">
        <v>16</v>
      </c>
      <c r="F359" s="5" t="s">
        <v>16</v>
      </c>
      <c r="G359" s="5" t="s">
        <v>40</v>
      </c>
      <c r="H359" s="6" t="n">
        <v>66000</v>
      </c>
    </row>
    <row r="360" customFormat="false" ht="15" hidden="false" customHeight="false" outlineLevel="0" collapsed="false">
      <c r="A360" s="11" t="n">
        <v>44676</v>
      </c>
      <c r="B360" s="11" t="n">
        <v>44693</v>
      </c>
      <c r="C360" s="11" t="n">
        <v>44686</v>
      </c>
      <c r="D360" s="5" t="s">
        <v>26</v>
      </c>
      <c r="E360" s="5" t="s">
        <v>17</v>
      </c>
      <c r="F360" s="5" t="s">
        <v>16</v>
      </c>
      <c r="G360" s="5" t="s">
        <v>40</v>
      </c>
      <c r="H360" s="6" t="n">
        <v>468000</v>
      </c>
    </row>
    <row r="361" customFormat="false" ht="15" hidden="false" customHeight="false" outlineLevel="0" collapsed="false">
      <c r="A361" s="11" t="n">
        <v>44677</v>
      </c>
      <c r="B361" s="11" t="n">
        <v>44693</v>
      </c>
      <c r="C361" s="11" t="n">
        <v>44686</v>
      </c>
      <c r="D361" s="5" t="s">
        <v>26</v>
      </c>
      <c r="E361" s="5" t="s">
        <v>17</v>
      </c>
      <c r="F361" s="5" t="s">
        <v>16</v>
      </c>
      <c r="G361" s="5" t="s">
        <v>40</v>
      </c>
      <c r="H361" s="6" t="n">
        <v>132000</v>
      </c>
    </row>
    <row r="362" customFormat="false" ht="15" hidden="false" customHeight="false" outlineLevel="0" collapsed="false">
      <c r="A362" s="11" t="n">
        <v>44679</v>
      </c>
      <c r="B362" s="11" t="n">
        <v>44693</v>
      </c>
      <c r="C362" s="11" t="n">
        <v>44686</v>
      </c>
      <c r="D362" s="5" t="s">
        <v>26</v>
      </c>
      <c r="E362" s="5" t="s">
        <v>16</v>
      </c>
      <c r="F362" s="5" t="s">
        <v>16</v>
      </c>
      <c r="G362" s="5" t="s">
        <v>3</v>
      </c>
      <c r="H362" s="6" t="n">
        <v>476000</v>
      </c>
    </row>
    <row r="363" customFormat="false" ht="15" hidden="false" customHeight="false" outlineLevel="0" collapsed="false">
      <c r="A363" s="11" t="n">
        <v>44679</v>
      </c>
      <c r="B363" s="11" t="n">
        <v>44693</v>
      </c>
      <c r="C363" s="11" t="n">
        <v>44686</v>
      </c>
      <c r="D363" s="5" t="s">
        <v>26</v>
      </c>
      <c r="E363" s="5" t="s">
        <v>17</v>
      </c>
      <c r="F363" s="5" t="s">
        <v>16</v>
      </c>
      <c r="G363" s="5" t="s">
        <v>3</v>
      </c>
      <c r="H363" s="6" t="n">
        <v>612000</v>
      </c>
    </row>
    <row r="364" customFormat="false" ht="15" hidden="false" customHeight="false" outlineLevel="0" collapsed="false">
      <c r="A364" s="11" t="n">
        <v>44693</v>
      </c>
      <c r="B364" s="11" t="n">
        <v>44707</v>
      </c>
      <c r="C364" s="11" t="n">
        <v>44700</v>
      </c>
      <c r="D364" s="5" t="s">
        <v>26</v>
      </c>
      <c r="E364" s="5" t="s">
        <v>16</v>
      </c>
      <c r="F364" s="5" t="s">
        <v>16</v>
      </c>
      <c r="G364" s="5" t="s">
        <v>3</v>
      </c>
      <c r="H364" s="6" t="n">
        <v>68000</v>
      </c>
    </row>
    <row r="365" customFormat="false" ht="15" hidden="false" customHeight="false" outlineLevel="0" collapsed="false">
      <c r="A365" s="11" t="n">
        <v>44693</v>
      </c>
      <c r="B365" s="11" t="n">
        <v>44707</v>
      </c>
      <c r="C365" s="11" t="n">
        <v>44700</v>
      </c>
      <c r="D365" s="5" t="s">
        <v>26</v>
      </c>
      <c r="E365" s="5" t="s">
        <v>17</v>
      </c>
      <c r="F365" s="5" t="s">
        <v>16</v>
      </c>
      <c r="G365" s="5" t="s">
        <v>3</v>
      </c>
      <c r="H365" s="6" t="n">
        <v>544000</v>
      </c>
    </row>
    <row r="366" customFormat="false" ht="15" hidden="false" customHeight="false" outlineLevel="0" collapsed="false">
      <c r="A366" s="11" t="n">
        <v>44694</v>
      </c>
      <c r="B366" s="11" t="n">
        <v>44714</v>
      </c>
      <c r="C366" s="11" t="n">
        <v>44707</v>
      </c>
      <c r="D366" s="5" t="s">
        <v>26</v>
      </c>
      <c r="E366" s="5" t="s">
        <v>16</v>
      </c>
      <c r="F366" s="5" t="s">
        <v>16</v>
      </c>
      <c r="G366" s="5" t="s">
        <v>40</v>
      </c>
      <c r="H366" s="6" t="n">
        <v>132000</v>
      </c>
    </row>
    <row r="367" customFormat="false" ht="15" hidden="false" customHeight="false" outlineLevel="0" collapsed="false">
      <c r="A367" s="11" t="n">
        <v>44713</v>
      </c>
      <c r="B367" s="11" t="n">
        <v>44728</v>
      </c>
      <c r="C367" s="11" t="n">
        <v>44721</v>
      </c>
      <c r="D367" s="5" t="s">
        <v>26</v>
      </c>
      <c r="E367" s="5" t="s">
        <v>16</v>
      </c>
      <c r="F367" s="5" t="s">
        <v>16</v>
      </c>
      <c r="G367" s="5" t="s">
        <v>40</v>
      </c>
      <c r="H367" s="6" t="n">
        <v>66000</v>
      </c>
    </row>
    <row r="368" customFormat="false" ht="15" hidden="false" customHeight="false" outlineLevel="0" collapsed="false">
      <c r="A368" s="11" t="n">
        <v>44713</v>
      </c>
      <c r="B368" s="11" t="n">
        <v>44728</v>
      </c>
      <c r="C368" s="11" t="n">
        <v>44721</v>
      </c>
      <c r="D368" s="5" t="s">
        <v>26</v>
      </c>
      <c r="E368" s="5" t="s">
        <v>17</v>
      </c>
      <c r="F368" s="5" t="s">
        <v>16</v>
      </c>
      <c r="G368" s="5" t="s">
        <v>40</v>
      </c>
      <c r="H368" s="6" t="n">
        <v>66000</v>
      </c>
    </row>
    <row r="369" customFormat="false" ht="15" hidden="false" customHeight="false" outlineLevel="0" collapsed="false">
      <c r="A369" s="11" t="n">
        <v>44757</v>
      </c>
      <c r="B369" s="11" t="n">
        <v>44777</v>
      </c>
      <c r="C369" s="11" t="n">
        <v>44770</v>
      </c>
      <c r="D369" s="5" t="s">
        <v>26</v>
      </c>
      <c r="E369" s="5" t="s">
        <v>17</v>
      </c>
      <c r="F369" s="5" t="s">
        <v>16</v>
      </c>
      <c r="G369" s="5" t="s">
        <v>3</v>
      </c>
      <c r="H369" s="6" t="n">
        <v>133000</v>
      </c>
    </row>
    <row r="370" customFormat="false" ht="15" hidden="false" customHeight="false" outlineLevel="0" collapsed="false">
      <c r="A370" s="11" t="n">
        <v>44762</v>
      </c>
      <c r="B370" s="11" t="n">
        <v>44777</v>
      </c>
      <c r="C370" s="11" t="n">
        <v>44770</v>
      </c>
      <c r="D370" s="5" t="s">
        <v>26</v>
      </c>
      <c r="E370" s="5" t="s">
        <v>17</v>
      </c>
      <c r="F370" s="5" t="s">
        <v>16</v>
      </c>
      <c r="G370" s="5" t="s">
        <v>40</v>
      </c>
      <c r="H370" s="6" t="n">
        <v>136000</v>
      </c>
    </row>
    <row r="371" customFormat="false" ht="15" hidden="false" customHeight="false" outlineLevel="0" collapsed="false">
      <c r="A371" s="11" t="n">
        <v>44778</v>
      </c>
      <c r="B371" s="11" t="n">
        <v>44798</v>
      </c>
      <c r="C371" s="11" t="n">
        <v>44791</v>
      </c>
      <c r="D371" s="5" t="s">
        <v>26</v>
      </c>
      <c r="E371" s="5" t="s">
        <v>17</v>
      </c>
      <c r="F371" s="5" t="s">
        <v>16</v>
      </c>
      <c r="G371" s="5" t="s">
        <v>40</v>
      </c>
      <c r="H371" s="6" t="n">
        <v>132000</v>
      </c>
    </row>
    <row r="372" customFormat="false" ht="15" hidden="false" customHeight="false" outlineLevel="0" collapsed="false">
      <c r="A372" s="11" t="n">
        <v>44781</v>
      </c>
      <c r="B372" s="11" t="n">
        <v>44798</v>
      </c>
      <c r="C372" s="11" t="n">
        <v>44791</v>
      </c>
      <c r="D372" s="5" t="s">
        <v>26</v>
      </c>
      <c r="E372" s="5" t="s">
        <v>17</v>
      </c>
      <c r="F372" s="5" t="s">
        <v>16</v>
      </c>
      <c r="G372" s="5" t="s">
        <v>40</v>
      </c>
      <c r="H372" s="6" t="n">
        <v>132000</v>
      </c>
    </row>
    <row r="373" customFormat="false" ht="15" hidden="false" customHeight="false" outlineLevel="0" collapsed="false">
      <c r="A373" s="11" t="n">
        <v>44782</v>
      </c>
      <c r="B373" s="11" t="n">
        <v>44798</v>
      </c>
      <c r="C373" s="11" t="n">
        <v>44791</v>
      </c>
      <c r="D373" s="5" t="s">
        <v>26</v>
      </c>
      <c r="E373" s="5" t="s">
        <v>17</v>
      </c>
      <c r="F373" s="5" t="s">
        <v>16</v>
      </c>
      <c r="G373" s="5" t="s">
        <v>3</v>
      </c>
      <c r="H373" s="6" t="n">
        <v>133000</v>
      </c>
    </row>
    <row r="374" customFormat="false" ht="15" hidden="false" customHeight="false" outlineLevel="0" collapsed="false">
      <c r="A374" s="11" t="n">
        <v>44783</v>
      </c>
      <c r="B374" s="11" t="n">
        <v>44798</v>
      </c>
      <c r="C374" s="11" t="n">
        <v>44791</v>
      </c>
      <c r="D374" s="5" t="s">
        <v>26</v>
      </c>
      <c r="E374" s="5" t="s">
        <v>17</v>
      </c>
      <c r="F374" s="5" t="s">
        <v>16</v>
      </c>
      <c r="G374" s="5" t="s">
        <v>40</v>
      </c>
      <c r="H374" s="6" t="n">
        <v>196000</v>
      </c>
    </row>
    <row r="375" customFormat="false" ht="15" hidden="false" customHeight="false" outlineLevel="0" collapsed="false">
      <c r="A375" s="11" t="n">
        <v>44796</v>
      </c>
      <c r="B375" s="11" t="n">
        <v>44812</v>
      </c>
      <c r="C375" s="11" t="n">
        <v>44805</v>
      </c>
      <c r="D375" s="5" t="s">
        <v>26</v>
      </c>
      <c r="E375" s="5" t="s">
        <v>17</v>
      </c>
      <c r="F375" s="5" t="s">
        <v>16</v>
      </c>
      <c r="G375" s="5" t="s">
        <v>40</v>
      </c>
      <c r="H375" s="6" t="n">
        <v>110000</v>
      </c>
    </row>
    <row r="376" customFormat="false" ht="15" hidden="false" customHeight="false" outlineLevel="0" collapsed="false">
      <c r="A376" s="11" t="n">
        <v>44797</v>
      </c>
      <c r="B376" s="11" t="n">
        <v>44812</v>
      </c>
      <c r="C376" s="11" t="n">
        <v>44805</v>
      </c>
      <c r="D376" s="5" t="s">
        <v>26</v>
      </c>
      <c r="E376" s="5" t="s">
        <v>17</v>
      </c>
      <c r="F376" s="5" t="s">
        <v>16</v>
      </c>
      <c r="G376" s="5" t="s">
        <v>40</v>
      </c>
      <c r="H376" s="6" t="n">
        <v>517000</v>
      </c>
    </row>
    <row r="377" customFormat="false" ht="15" hidden="false" customHeight="false" outlineLevel="0" collapsed="false">
      <c r="A377" s="11" t="n">
        <v>44804</v>
      </c>
      <c r="B377" s="11" t="n">
        <v>44819</v>
      </c>
      <c r="C377" s="11" t="n">
        <v>44812</v>
      </c>
      <c r="D377" s="5" t="s">
        <v>26</v>
      </c>
      <c r="E377" s="5" t="s">
        <v>17</v>
      </c>
      <c r="F377" s="5" t="s">
        <v>16</v>
      </c>
      <c r="G377" s="5" t="s">
        <v>40</v>
      </c>
      <c r="H377" s="6" t="n">
        <v>167000</v>
      </c>
    </row>
    <row r="378" customFormat="false" ht="15" hidden="false" customHeight="false" outlineLevel="0" collapsed="false">
      <c r="A378" s="11" t="n">
        <v>44823</v>
      </c>
      <c r="B378" s="11" t="n">
        <v>44840</v>
      </c>
      <c r="C378" s="11" t="n">
        <v>44833</v>
      </c>
      <c r="D378" s="5" t="s">
        <v>26</v>
      </c>
      <c r="E378" s="5" t="s">
        <v>17</v>
      </c>
      <c r="F378" s="5" t="s">
        <v>17</v>
      </c>
      <c r="G378" s="5" t="s">
        <v>40</v>
      </c>
      <c r="H378" s="6" t="n">
        <v>136000</v>
      </c>
    </row>
    <row r="379" customFormat="false" ht="15" hidden="false" customHeight="false" outlineLevel="0" collapsed="false">
      <c r="A379" s="11" t="n">
        <v>44846</v>
      </c>
      <c r="B379" s="11" t="n">
        <v>44861</v>
      </c>
      <c r="C379" s="11" t="n">
        <v>44854</v>
      </c>
      <c r="D379" s="5" t="s">
        <v>26</v>
      </c>
      <c r="E379" s="5" t="s">
        <v>17</v>
      </c>
      <c r="F379" s="5" t="s">
        <v>17</v>
      </c>
      <c r="G379" s="5" t="s">
        <v>40</v>
      </c>
      <c r="H379" s="6" t="n">
        <v>526000</v>
      </c>
    </row>
    <row r="380" customFormat="false" ht="15" hidden="false" customHeight="false" outlineLevel="0" collapsed="false">
      <c r="A380" s="11" t="n">
        <v>44847</v>
      </c>
      <c r="B380" s="11" t="n">
        <v>44861</v>
      </c>
      <c r="C380" s="11" t="n">
        <v>44854</v>
      </c>
      <c r="D380" s="5" t="s">
        <v>26</v>
      </c>
      <c r="E380" s="5" t="s">
        <v>17</v>
      </c>
      <c r="F380" s="5" t="s">
        <v>17</v>
      </c>
      <c r="G380" s="5" t="s">
        <v>40</v>
      </c>
      <c r="H380" s="6" t="n">
        <v>264000</v>
      </c>
    </row>
    <row r="381" customFormat="false" ht="15" hidden="false" customHeight="false" outlineLevel="0" collapsed="false">
      <c r="A381" s="11" t="n">
        <v>44848</v>
      </c>
      <c r="B381" s="11" t="n">
        <v>44868</v>
      </c>
      <c r="C381" s="11" t="n">
        <v>44861</v>
      </c>
      <c r="D381" s="5" t="s">
        <v>26</v>
      </c>
      <c r="E381" s="5" t="s">
        <v>17</v>
      </c>
      <c r="F381" s="5" t="s">
        <v>17</v>
      </c>
      <c r="G381" s="5" t="s">
        <v>40</v>
      </c>
      <c r="H381" s="6" t="n">
        <v>392000</v>
      </c>
    </row>
    <row r="382" customFormat="false" ht="15" hidden="false" customHeight="false" outlineLevel="0" collapsed="false">
      <c r="A382" s="11" t="n">
        <v>44854</v>
      </c>
      <c r="B382" s="11" t="n">
        <v>44868</v>
      </c>
      <c r="C382" s="11" t="n">
        <v>44861</v>
      </c>
      <c r="D382" s="5" t="s">
        <v>26</v>
      </c>
      <c r="E382" s="5" t="s">
        <v>17</v>
      </c>
      <c r="F382" s="5" t="s">
        <v>17</v>
      </c>
      <c r="G382" s="5" t="s">
        <v>40</v>
      </c>
      <c r="H382" s="6" t="n">
        <v>201000</v>
      </c>
    </row>
    <row r="383" customFormat="false" ht="15" hidden="false" customHeight="false" outlineLevel="0" collapsed="false">
      <c r="A383" s="11" t="n">
        <v>44862</v>
      </c>
      <c r="B383" s="11" t="n">
        <v>44882</v>
      </c>
      <c r="C383" s="11" t="n">
        <v>44875</v>
      </c>
      <c r="D383" s="5" t="s">
        <v>26</v>
      </c>
      <c r="E383" s="5" t="s">
        <v>17</v>
      </c>
      <c r="F383" s="5" t="s">
        <v>17</v>
      </c>
      <c r="G383" s="5" t="s">
        <v>40</v>
      </c>
      <c r="H383" s="6" t="n">
        <v>126000</v>
      </c>
    </row>
    <row r="384" customFormat="false" ht="15" hidden="false" customHeight="false" outlineLevel="0" collapsed="false">
      <c r="A384" s="11" t="n">
        <v>44873</v>
      </c>
      <c r="B384" s="11" t="n">
        <v>44889</v>
      </c>
      <c r="C384" s="11" t="n">
        <v>44882</v>
      </c>
      <c r="D384" s="5" t="s">
        <v>26</v>
      </c>
      <c r="E384" s="5" t="s">
        <v>17</v>
      </c>
      <c r="F384" s="5" t="s">
        <v>17</v>
      </c>
      <c r="G384" s="5" t="s">
        <v>40</v>
      </c>
      <c r="H384" s="6" t="n">
        <v>138700</v>
      </c>
    </row>
    <row r="385" customFormat="false" ht="15" hidden="false" customHeight="false" outlineLevel="0" collapsed="false">
      <c r="A385" s="11" t="n">
        <v>44874</v>
      </c>
      <c r="B385" s="11" t="n">
        <v>44889</v>
      </c>
      <c r="C385" s="11" t="n">
        <v>44882</v>
      </c>
      <c r="D385" s="5" t="s">
        <v>26</v>
      </c>
      <c r="E385" s="5" t="s">
        <v>17</v>
      </c>
      <c r="F385" s="5" t="s">
        <v>17</v>
      </c>
      <c r="G385" s="5" t="s">
        <v>40</v>
      </c>
      <c r="H385" s="6" t="n">
        <v>264000</v>
      </c>
    </row>
    <row r="386" customFormat="false" ht="15" hidden="false" customHeight="false" outlineLevel="0" collapsed="false">
      <c r="A386" s="11" t="n">
        <v>44888</v>
      </c>
      <c r="B386" s="11" t="n">
        <v>44903</v>
      </c>
      <c r="C386" s="11" t="n">
        <v>44896</v>
      </c>
      <c r="D386" s="5" t="s">
        <v>26</v>
      </c>
      <c r="E386" s="5" t="s">
        <v>17</v>
      </c>
      <c r="F386" s="5" t="s">
        <v>17</v>
      </c>
      <c r="G386" s="5" t="s">
        <v>40</v>
      </c>
      <c r="H386" s="6" t="n">
        <v>110000</v>
      </c>
    </row>
    <row r="387" customFormat="false" ht="15" hidden="false" customHeight="false" outlineLevel="0" collapsed="false">
      <c r="A387" s="11" t="n">
        <v>44895</v>
      </c>
      <c r="B387" s="11" t="n">
        <v>44910</v>
      </c>
      <c r="C387" s="11" t="n">
        <v>44903</v>
      </c>
      <c r="D387" s="5" t="s">
        <v>26</v>
      </c>
      <c r="E387" s="5" t="s">
        <v>17</v>
      </c>
      <c r="F387" s="5" t="s">
        <v>17</v>
      </c>
      <c r="G387" s="5" t="s">
        <v>40</v>
      </c>
      <c r="H387" s="6" t="n">
        <v>136000</v>
      </c>
    </row>
    <row r="388" customFormat="false" ht="15" hidden="false" customHeight="false" outlineLevel="0" collapsed="false">
      <c r="A388" s="11" t="n">
        <v>44900</v>
      </c>
      <c r="B388" s="11" t="n">
        <v>44917</v>
      </c>
      <c r="C388" s="11" t="n">
        <v>44910</v>
      </c>
      <c r="D388" s="5" t="s">
        <v>26</v>
      </c>
      <c r="E388" s="5" t="s">
        <v>17</v>
      </c>
      <c r="F388" s="5" t="s">
        <v>17</v>
      </c>
      <c r="G388" s="5" t="s">
        <v>40</v>
      </c>
      <c r="H388" s="6" t="n">
        <v>130000</v>
      </c>
    </row>
    <row r="389" customFormat="false" ht="15" hidden="false" customHeight="false" outlineLevel="0" collapsed="false">
      <c r="A389" s="11" t="n">
        <v>44901</v>
      </c>
      <c r="B389" s="11" t="n">
        <v>44917</v>
      </c>
      <c r="C389" s="11" t="n">
        <v>44910</v>
      </c>
      <c r="D389" s="5" t="s">
        <v>26</v>
      </c>
      <c r="E389" s="5" t="s">
        <v>17</v>
      </c>
      <c r="F389" s="5" t="s">
        <v>17</v>
      </c>
      <c r="G389" s="5" t="s">
        <v>40</v>
      </c>
      <c r="H389" s="6" t="n">
        <v>264000</v>
      </c>
    </row>
    <row r="390" customFormat="false" ht="15" hidden="false" customHeight="false" outlineLevel="0" collapsed="false">
      <c r="A390" s="11" t="n">
        <v>44903</v>
      </c>
      <c r="B390" s="11" t="n">
        <v>44917</v>
      </c>
      <c r="C390" s="11" t="n">
        <v>44910</v>
      </c>
      <c r="D390" s="5" t="s">
        <v>26</v>
      </c>
      <c r="E390" s="5" t="s">
        <v>17</v>
      </c>
      <c r="F390" s="5" t="s">
        <v>17</v>
      </c>
      <c r="G390" s="5" t="s">
        <v>40</v>
      </c>
      <c r="H390" s="6" t="n">
        <v>118000</v>
      </c>
    </row>
    <row r="391" customFormat="false" ht="15" hidden="false" customHeight="false" outlineLevel="0" collapsed="false">
      <c r="A391" s="11" t="n">
        <v>44952</v>
      </c>
      <c r="B391" s="11" t="n">
        <v>44966</v>
      </c>
      <c r="C391" s="11" t="n">
        <v>44959</v>
      </c>
      <c r="D391" s="5" t="s">
        <v>26</v>
      </c>
      <c r="E391" s="5" t="s">
        <v>18</v>
      </c>
      <c r="F391" s="5" t="s">
        <v>17</v>
      </c>
      <c r="G391" s="5" t="s">
        <v>40</v>
      </c>
      <c r="H391" s="6" t="n">
        <v>106000</v>
      </c>
    </row>
    <row r="392" customFormat="false" ht="15" hidden="false" customHeight="false" outlineLevel="0" collapsed="false">
      <c r="A392" s="11" t="n">
        <v>44999</v>
      </c>
      <c r="B392" s="11" t="n">
        <v>45015</v>
      </c>
      <c r="C392" s="11" t="n">
        <v>45008</v>
      </c>
      <c r="D392" s="5" t="s">
        <v>26</v>
      </c>
      <c r="E392" s="5" t="s">
        <v>17</v>
      </c>
      <c r="F392" s="5" t="s">
        <v>17</v>
      </c>
      <c r="G392" s="5" t="s">
        <v>3</v>
      </c>
      <c r="H392" s="6" t="n">
        <v>612000</v>
      </c>
    </row>
    <row r="393" customFormat="false" ht="15" hidden="false" customHeight="false" outlineLevel="0" collapsed="false">
      <c r="A393" s="11" t="n">
        <v>45000</v>
      </c>
      <c r="B393" s="11" t="n">
        <v>45015</v>
      </c>
      <c r="C393" s="11" t="n">
        <v>45008</v>
      </c>
      <c r="D393" s="5" t="s">
        <v>26</v>
      </c>
      <c r="E393" s="5" t="s">
        <v>17</v>
      </c>
      <c r="F393" s="5" t="s">
        <v>17</v>
      </c>
      <c r="G393" s="5" t="s">
        <v>3</v>
      </c>
      <c r="H393" s="6" t="n">
        <v>667000</v>
      </c>
    </row>
    <row r="394" customFormat="false" ht="15" hidden="false" customHeight="false" outlineLevel="0" collapsed="false">
      <c r="A394" s="11" t="n">
        <v>45001</v>
      </c>
      <c r="B394" s="11" t="n">
        <v>45015</v>
      </c>
      <c r="C394" s="11" t="n">
        <v>45008</v>
      </c>
      <c r="D394" s="5" t="s">
        <v>26</v>
      </c>
      <c r="E394" s="5" t="s">
        <v>17</v>
      </c>
      <c r="F394" s="5" t="s">
        <v>17</v>
      </c>
      <c r="G394" s="5" t="s">
        <v>3</v>
      </c>
      <c r="H394" s="6" t="n">
        <v>641000</v>
      </c>
    </row>
    <row r="395" customFormat="false" ht="15" hidden="false" customHeight="false" outlineLevel="0" collapsed="false">
      <c r="A395" s="11" t="n">
        <v>45002</v>
      </c>
      <c r="B395" s="11" t="n">
        <v>45022</v>
      </c>
      <c r="C395" s="11" t="n">
        <v>45015</v>
      </c>
      <c r="D395" s="5" t="s">
        <v>26</v>
      </c>
      <c r="E395" s="5" t="s">
        <v>17</v>
      </c>
      <c r="F395" s="5" t="s">
        <v>17</v>
      </c>
      <c r="G395" s="5" t="s">
        <v>3</v>
      </c>
      <c r="H395" s="6" t="n">
        <v>191000</v>
      </c>
    </row>
    <row r="396" customFormat="false" ht="15" hidden="false" customHeight="false" outlineLevel="0" collapsed="false">
      <c r="A396" s="11" t="n">
        <v>45006</v>
      </c>
      <c r="B396" s="11" t="n">
        <v>45022</v>
      </c>
      <c r="C396" s="11" t="n">
        <v>45015</v>
      </c>
      <c r="D396" s="5" t="s">
        <v>26</v>
      </c>
      <c r="E396" s="5" t="s">
        <v>17</v>
      </c>
      <c r="F396" s="5" t="s">
        <v>17</v>
      </c>
      <c r="G396" s="5" t="s">
        <v>3</v>
      </c>
      <c r="H396" s="6" t="n">
        <v>136000</v>
      </c>
    </row>
    <row r="397" customFormat="false" ht="15" hidden="false" customHeight="false" outlineLevel="0" collapsed="false">
      <c r="A397" s="11" t="n">
        <v>45007</v>
      </c>
      <c r="B397" s="11" t="n">
        <v>45022</v>
      </c>
      <c r="C397" s="11" t="n">
        <v>45015</v>
      </c>
      <c r="D397" s="5" t="s">
        <v>26</v>
      </c>
      <c r="E397" s="5" t="s">
        <v>17</v>
      </c>
      <c r="F397" s="5" t="s">
        <v>17</v>
      </c>
      <c r="G397" s="5" t="s">
        <v>3</v>
      </c>
      <c r="H397" s="6" t="n">
        <v>178000</v>
      </c>
    </row>
    <row r="398" customFormat="false" ht="15" hidden="false" customHeight="false" outlineLevel="0" collapsed="false">
      <c r="A398" s="11" t="n">
        <v>45008</v>
      </c>
      <c r="B398" s="11" t="n">
        <v>45022</v>
      </c>
      <c r="C398" s="11" t="n">
        <v>45015</v>
      </c>
      <c r="D398" s="5" t="s">
        <v>26</v>
      </c>
      <c r="E398" s="5" t="s">
        <v>17</v>
      </c>
      <c r="F398" s="5" t="s">
        <v>17</v>
      </c>
      <c r="G398" s="5" t="s">
        <v>3</v>
      </c>
      <c r="H398" s="6" t="n">
        <v>123000</v>
      </c>
    </row>
    <row r="399" customFormat="false" ht="15" hidden="false" customHeight="false" outlineLevel="0" collapsed="false">
      <c r="A399" s="11" t="n">
        <v>45009</v>
      </c>
      <c r="B399" s="11" t="n">
        <v>45029</v>
      </c>
      <c r="C399" s="11" t="n">
        <v>45022</v>
      </c>
      <c r="D399" s="5" t="s">
        <v>26</v>
      </c>
      <c r="E399" s="5" t="s">
        <v>17</v>
      </c>
      <c r="F399" s="5" t="s">
        <v>17</v>
      </c>
      <c r="G399" s="5" t="s">
        <v>3</v>
      </c>
      <c r="H399" s="6" t="n">
        <v>204000</v>
      </c>
    </row>
    <row r="400" customFormat="false" ht="15" hidden="false" customHeight="false" outlineLevel="0" collapsed="false">
      <c r="A400" s="11" t="n">
        <v>45013</v>
      </c>
      <c r="B400" s="11" t="n">
        <v>45029</v>
      </c>
      <c r="C400" s="11" t="n">
        <v>45022</v>
      </c>
      <c r="D400" s="5" t="s">
        <v>26</v>
      </c>
      <c r="E400" s="5" t="s">
        <v>17</v>
      </c>
      <c r="F400" s="5" t="s">
        <v>17</v>
      </c>
      <c r="G400" s="5" t="s">
        <v>3</v>
      </c>
      <c r="H400" s="6" t="n">
        <v>136000</v>
      </c>
    </row>
    <row r="401" customFormat="false" ht="15" hidden="false" customHeight="false" outlineLevel="0" collapsed="false">
      <c r="A401" s="11" t="n">
        <v>45014</v>
      </c>
      <c r="B401" s="11" t="n">
        <v>45029</v>
      </c>
      <c r="C401" s="11" t="n">
        <v>45022</v>
      </c>
      <c r="D401" s="5" t="s">
        <v>26</v>
      </c>
      <c r="E401" s="5" t="s">
        <v>17</v>
      </c>
      <c r="F401" s="5" t="s">
        <v>17</v>
      </c>
      <c r="G401" s="5" t="s">
        <v>3</v>
      </c>
      <c r="H401" s="6" t="n">
        <v>204000</v>
      </c>
    </row>
    <row r="402" customFormat="false" ht="15" hidden="false" customHeight="false" outlineLevel="0" collapsed="false">
      <c r="A402" s="11" t="n">
        <v>45015</v>
      </c>
      <c r="B402" s="11" t="n">
        <v>45029</v>
      </c>
      <c r="C402" s="11" t="n">
        <v>45022</v>
      </c>
      <c r="D402" s="5" t="s">
        <v>26</v>
      </c>
      <c r="E402" s="5" t="s">
        <v>17</v>
      </c>
      <c r="F402" s="5" t="s">
        <v>17</v>
      </c>
      <c r="G402" s="5" t="s">
        <v>3</v>
      </c>
      <c r="H402" s="6" t="n">
        <v>178000</v>
      </c>
    </row>
    <row r="403" customFormat="false" ht="15" hidden="false" customHeight="false" outlineLevel="0" collapsed="false">
      <c r="A403" s="11" t="n">
        <v>45029</v>
      </c>
      <c r="B403" s="11" t="n">
        <v>45043</v>
      </c>
      <c r="C403" s="11" t="n">
        <v>45036</v>
      </c>
      <c r="D403" s="5" t="s">
        <v>26</v>
      </c>
      <c r="E403" s="5" t="s">
        <v>17</v>
      </c>
      <c r="F403" s="5" t="s">
        <v>17</v>
      </c>
      <c r="G403" s="5" t="s">
        <v>3</v>
      </c>
      <c r="H403" s="6" t="n">
        <v>191000</v>
      </c>
    </row>
    <row r="404" customFormat="false" ht="15" hidden="false" customHeight="false" outlineLevel="0" collapsed="false">
      <c r="A404" s="11" t="n">
        <v>45029</v>
      </c>
      <c r="B404" s="11" t="n">
        <v>45043</v>
      </c>
      <c r="C404" s="11" t="n">
        <v>45036</v>
      </c>
      <c r="D404" s="5" t="s">
        <v>26</v>
      </c>
      <c r="E404" s="5" t="s">
        <v>18</v>
      </c>
      <c r="F404" s="5" t="s">
        <v>17</v>
      </c>
      <c r="G404" s="5" t="s">
        <v>3</v>
      </c>
      <c r="H404" s="6" t="n">
        <v>136000</v>
      </c>
    </row>
    <row r="405" customFormat="false" ht="15" hidden="false" customHeight="false" outlineLevel="0" collapsed="false">
      <c r="A405" s="11" t="n">
        <v>45030</v>
      </c>
      <c r="B405" s="11" t="n">
        <v>45050</v>
      </c>
      <c r="C405" s="11" t="n">
        <v>45043</v>
      </c>
      <c r="D405" s="5" t="s">
        <v>26</v>
      </c>
      <c r="E405" s="5" t="s">
        <v>17</v>
      </c>
      <c r="F405" s="5" t="s">
        <v>17</v>
      </c>
      <c r="G405" s="5" t="s">
        <v>3</v>
      </c>
      <c r="H405" s="6" t="n">
        <v>246000</v>
      </c>
    </row>
    <row r="406" customFormat="false" ht="15" hidden="false" customHeight="false" outlineLevel="0" collapsed="false">
      <c r="A406" s="11" t="n">
        <v>45030</v>
      </c>
      <c r="B406" s="11" t="n">
        <v>45050</v>
      </c>
      <c r="C406" s="11" t="n">
        <v>45043</v>
      </c>
      <c r="D406" s="5" t="s">
        <v>26</v>
      </c>
      <c r="E406" s="5" t="s">
        <v>18</v>
      </c>
      <c r="F406" s="5" t="s">
        <v>17</v>
      </c>
      <c r="G406" s="5" t="s">
        <v>3</v>
      </c>
      <c r="H406" s="6" t="n">
        <v>136000</v>
      </c>
    </row>
    <row r="407" customFormat="false" ht="15" hidden="false" customHeight="false" outlineLevel="0" collapsed="false">
      <c r="A407" s="11" t="n">
        <v>45040</v>
      </c>
      <c r="B407" s="11" t="n">
        <v>45057</v>
      </c>
      <c r="C407" s="11" t="n">
        <v>45050</v>
      </c>
      <c r="D407" s="5" t="s">
        <v>26</v>
      </c>
      <c r="E407" s="5" t="s">
        <v>17</v>
      </c>
      <c r="F407" s="5" t="s">
        <v>17</v>
      </c>
      <c r="G407" s="5" t="s">
        <v>3</v>
      </c>
      <c r="H407" s="6" t="n">
        <v>327000</v>
      </c>
    </row>
    <row r="408" customFormat="false" ht="15" hidden="false" customHeight="false" outlineLevel="0" collapsed="false">
      <c r="A408" s="11" t="n">
        <v>45043</v>
      </c>
      <c r="B408" s="11" t="n">
        <v>45057</v>
      </c>
      <c r="C408" s="11" t="n">
        <v>45050</v>
      </c>
      <c r="D408" s="5" t="s">
        <v>26</v>
      </c>
      <c r="E408" s="5" t="s">
        <v>17</v>
      </c>
      <c r="F408" s="5" t="s">
        <v>17</v>
      </c>
      <c r="G408" s="5" t="s">
        <v>3</v>
      </c>
      <c r="H408" s="6" t="n">
        <v>233000</v>
      </c>
    </row>
    <row r="409" customFormat="false" ht="15" hidden="false" customHeight="false" outlineLevel="0" collapsed="false">
      <c r="A409" s="11" t="n">
        <v>45055</v>
      </c>
      <c r="B409" s="11" t="n">
        <v>45071</v>
      </c>
      <c r="C409" s="11" t="n">
        <v>45064</v>
      </c>
      <c r="D409" s="5" t="s">
        <v>26</v>
      </c>
      <c r="E409" s="5" t="s">
        <v>17</v>
      </c>
      <c r="F409" s="5" t="s">
        <v>17</v>
      </c>
      <c r="G409" s="5" t="s">
        <v>3</v>
      </c>
      <c r="H409" s="6" t="n">
        <v>272000</v>
      </c>
    </row>
    <row r="410" customFormat="false" ht="15" hidden="false" customHeight="false" outlineLevel="0" collapsed="false">
      <c r="A410" s="11" t="n">
        <v>45063</v>
      </c>
      <c r="B410" s="11" t="n">
        <v>45078</v>
      </c>
      <c r="C410" s="11" t="n">
        <v>45071</v>
      </c>
      <c r="D410" s="5" t="s">
        <v>26</v>
      </c>
      <c r="E410" s="5" t="s">
        <v>17</v>
      </c>
      <c r="F410" s="5" t="s">
        <v>17</v>
      </c>
      <c r="G410" s="5" t="s">
        <v>3</v>
      </c>
      <c r="H410" s="6" t="n">
        <v>272000</v>
      </c>
    </row>
    <row r="411" customFormat="false" ht="15" hidden="false" customHeight="false" outlineLevel="0" collapsed="false">
      <c r="A411" s="11" t="n">
        <v>45107</v>
      </c>
      <c r="B411" s="11" t="n">
        <v>45127</v>
      </c>
      <c r="C411" s="11" t="n">
        <v>45120</v>
      </c>
      <c r="D411" s="5" t="s">
        <v>26</v>
      </c>
      <c r="E411" s="5" t="s">
        <v>18</v>
      </c>
      <c r="F411" s="5" t="s">
        <v>17</v>
      </c>
      <c r="G411" s="5" t="s">
        <v>40</v>
      </c>
      <c r="H411" s="6" t="n">
        <v>132000</v>
      </c>
    </row>
    <row r="412" customFormat="false" ht="15" hidden="false" customHeight="false" outlineLevel="0" collapsed="false">
      <c r="A412" s="11" t="n">
        <v>45131</v>
      </c>
      <c r="B412" s="11" t="n">
        <v>45148</v>
      </c>
      <c r="C412" s="11" t="n">
        <v>45141</v>
      </c>
      <c r="D412" s="5" t="s">
        <v>26</v>
      </c>
      <c r="E412" s="5" t="s">
        <v>18</v>
      </c>
      <c r="F412" s="5" t="s">
        <v>17</v>
      </c>
      <c r="G412" s="5" t="s">
        <v>40</v>
      </c>
      <c r="H412" s="6" t="n">
        <v>121000</v>
      </c>
    </row>
    <row r="413" customFormat="false" ht="15" hidden="false" customHeight="false" outlineLevel="0" collapsed="false">
      <c r="A413" s="11" t="n">
        <v>45135</v>
      </c>
      <c r="B413" s="11" t="n">
        <v>45155</v>
      </c>
      <c r="C413" s="11" t="n">
        <v>45148</v>
      </c>
      <c r="D413" s="5" t="s">
        <v>26</v>
      </c>
      <c r="E413" s="5" t="s">
        <v>18</v>
      </c>
      <c r="F413" s="5" t="s">
        <v>17</v>
      </c>
      <c r="G413" s="5" t="s">
        <v>40</v>
      </c>
      <c r="H413" s="6" t="n">
        <v>325000</v>
      </c>
    </row>
    <row r="414" customFormat="false" ht="15" hidden="false" customHeight="false" outlineLevel="0" collapsed="false">
      <c r="A414" s="11" t="n">
        <v>45138</v>
      </c>
      <c r="B414" s="11" t="n">
        <v>45155</v>
      </c>
      <c r="C414" s="11" t="n">
        <v>45148</v>
      </c>
      <c r="D414" s="5" t="s">
        <v>26</v>
      </c>
      <c r="E414" s="5" t="s">
        <v>18</v>
      </c>
      <c r="F414" s="5" t="s">
        <v>17</v>
      </c>
      <c r="G414" s="5" t="s">
        <v>40</v>
      </c>
      <c r="H414" s="6" t="n">
        <v>132000</v>
      </c>
    </row>
    <row r="415" customFormat="false" ht="15" hidden="false" customHeight="false" outlineLevel="0" collapsed="false">
      <c r="A415" s="11" t="n">
        <v>45141</v>
      </c>
      <c r="B415" s="11" t="n">
        <v>45155</v>
      </c>
      <c r="C415" s="11" t="n">
        <v>45148</v>
      </c>
      <c r="D415" s="5" t="s">
        <v>26</v>
      </c>
      <c r="E415" s="5" t="s">
        <v>18</v>
      </c>
      <c r="F415" s="5" t="s">
        <v>17</v>
      </c>
      <c r="G415" s="5" t="s">
        <v>40</v>
      </c>
      <c r="H415" s="6" t="n">
        <v>134000</v>
      </c>
    </row>
    <row r="416" customFormat="false" ht="15" hidden="false" customHeight="false" outlineLevel="0" collapsed="false">
      <c r="A416" s="11" t="n">
        <v>45145</v>
      </c>
      <c r="B416" s="11" t="n">
        <v>45162</v>
      </c>
      <c r="C416" s="11" t="n">
        <v>45155</v>
      </c>
      <c r="D416" s="5" t="s">
        <v>26</v>
      </c>
      <c r="E416" s="5" t="s">
        <v>18</v>
      </c>
      <c r="F416" s="5" t="s">
        <v>17</v>
      </c>
      <c r="G416" s="5" t="s">
        <v>40</v>
      </c>
      <c r="H416" s="6" t="n">
        <v>132000</v>
      </c>
    </row>
    <row r="417" customFormat="false" ht="15" hidden="false" customHeight="false" outlineLevel="0" collapsed="false">
      <c r="A417" s="11" t="n">
        <v>45147</v>
      </c>
      <c r="B417" s="11" t="n">
        <v>45162</v>
      </c>
      <c r="C417" s="11" t="n">
        <v>45155</v>
      </c>
      <c r="D417" s="5" t="s">
        <v>26</v>
      </c>
      <c r="E417" s="5" t="s">
        <v>18</v>
      </c>
      <c r="F417" s="5" t="s">
        <v>17</v>
      </c>
      <c r="G417" s="5" t="s">
        <v>40</v>
      </c>
      <c r="H417" s="6" t="n">
        <v>251000</v>
      </c>
    </row>
    <row r="418" customFormat="false" ht="15" hidden="false" customHeight="false" outlineLevel="0" collapsed="false">
      <c r="A418" s="11" t="n">
        <v>45163</v>
      </c>
      <c r="B418" s="11" t="n">
        <v>45183</v>
      </c>
      <c r="C418" s="11" t="n">
        <v>45176</v>
      </c>
      <c r="D418" s="5" t="s">
        <v>26</v>
      </c>
      <c r="E418" s="5" t="s">
        <v>18</v>
      </c>
      <c r="F418" s="5" t="s">
        <v>17</v>
      </c>
      <c r="G418" s="5" t="s">
        <v>40</v>
      </c>
      <c r="H418" s="6" t="n">
        <v>120000</v>
      </c>
    </row>
    <row r="419" customFormat="false" ht="15" hidden="false" customHeight="false" outlineLevel="0" collapsed="false">
      <c r="A419" s="11" t="n">
        <v>45169</v>
      </c>
      <c r="B419" s="11" t="n">
        <v>45183</v>
      </c>
      <c r="C419" s="11" t="n">
        <v>45176</v>
      </c>
      <c r="D419" s="5" t="s">
        <v>26</v>
      </c>
      <c r="E419" s="5" t="s">
        <v>18</v>
      </c>
      <c r="F419" s="5" t="s">
        <v>17</v>
      </c>
      <c r="G419" s="5" t="s">
        <v>40</v>
      </c>
      <c r="H419" s="6" t="n">
        <v>132000</v>
      </c>
    </row>
    <row r="420" customFormat="false" ht="15" hidden="false" customHeight="false" outlineLevel="0" collapsed="false">
      <c r="A420" s="11" t="n">
        <v>45177</v>
      </c>
      <c r="B420" s="11" t="n">
        <v>45197</v>
      </c>
      <c r="C420" s="11" t="n">
        <v>45190</v>
      </c>
      <c r="D420" s="5" t="s">
        <v>26</v>
      </c>
      <c r="E420" s="5" t="s">
        <v>18</v>
      </c>
      <c r="F420" s="5" t="s">
        <v>18</v>
      </c>
      <c r="G420" s="5" t="s">
        <v>40</v>
      </c>
      <c r="H420" s="6" t="n">
        <v>121000</v>
      </c>
    </row>
    <row r="421" customFormat="false" ht="15" hidden="false" customHeight="false" outlineLevel="0" collapsed="false">
      <c r="A421" s="11" t="n">
        <v>45187</v>
      </c>
      <c r="B421" s="11" t="n">
        <v>45204</v>
      </c>
      <c r="C421" s="11" t="n">
        <v>45197</v>
      </c>
      <c r="D421" s="5" t="s">
        <v>26</v>
      </c>
      <c r="E421" s="5" t="s">
        <v>18</v>
      </c>
      <c r="F421" s="5" t="s">
        <v>18</v>
      </c>
      <c r="G421" s="5" t="s">
        <v>40</v>
      </c>
      <c r="H421" s="6" t="n">
        <v>123000</v>
      </c>
    </row>
    <row r="422" customFormat="false" ht="15" hidden="false" customHeight="false" outlineLevel="0" collapsed="false">
      <c r="A422" s="11" t="n">
        <v>45201</v>
      </c>
      <c r="B422" s="11" t="n">
        <v>45218</v>
      </c>
      <c r="C422" s="11" t="n">
        <v>45211</v>
      </c>
      <c r="D422" s="5" t="s">
        <v>26</v>
      </c>
      <c r="E422" s="5" t="s">
        <v>18</v>
      </c>
      <c r="F422" s="5" t="s">
        <v>18</v>
      </c>
      <c r="G422" s="5" t="s">
        <v>40</v>
      </c>
      <c r="H422" s="6" t="n">
        <v>132000</v>
      </c>
    </row>
    <row r="423" customFormat="false" ht="15" hidden="false" customHeight="false" outlineLevel="0" collapsed="false">
      <c r="A423" s="11" t="n">
        <v>45202</v>
      </c>
      <c r="B423" s="11" t="n">
        <v>45218</v>
      </c>
      <c r="C423" s="11" t="n">
        <v>45211</v>
      </c>
      <c r="D423" s="5" t="s">
        <v>26</v>
      </c>
      <c r="E423" s="5" t="s">
        <v>18</v>
      </c>
      <c r="F423" s="5" t="s">
        <v>18</v>
      </c>
      <c r="G423" s="5" t="s">
        <v>40</v>
      </c>
      <c r="H423" s="6" t="n">
        <v>265000</v>
      </c>
    </row>
    <row r="424" customFormat="false" ht="15" hidden="false" customHeight="false" outlineLevel="0" collapsed="false">
      <c r="A424" s="11" t="n">
        <v>45210</v>
      </c>
      <c r="B424" s="11" t="n">
        <v>45225</v>
      </c>
      <c r="C424" s="11" t="n">
        <v>45218</v>
      </c>
      <c r="D424" s="5" t="s">
        <v>26</v>
      </c>
      <c r="E424" s="5" t="s">
        <v>18</v>
      </c>
      <c r="F424" s="5" t="s">
        <v>18</v>
      </c>
      <c r="G424" s="5" t="s">
        <v>40</v>
      </c>
      <c r="H424" s="6" t="n">
        <v>121000</v>
      </c>
    </row>
    <row r="425" customFormat="false" ht="15" hidden="false" customHeight="false" outlineLevel="0" collapsed="false">
      <c r="A425" s="11" t="n">
        <v>45217</v>
      </c>
      <c r="B425" s="11" t="n">
        <v>45232</v>
      </c>
      <c r="C425" s="11" t="n">
        <v>45225</v>
      </c>
      <c r="D425" s="5" t="s">
        <v>26</v>
      </c>
      <c r="E425" s="5" t="s">
        <v>18</v>
      </c>
      <c r="F425" s="5" t="s">
        <v>18</v>
      </c>
      <c r="G425" s="5" t="s">
        <v>40</v>
      </c>
      <c r="H425" s="6" t="n">
        <v>132000</v>
      </c>
    </row>
    <row r="426" customFormat="false" ht="15" hidden="false" customHeight="false" outlineLevel="0" collapsed="false">
      <c r="A426" s="11" t="n">
        <v>45224</v>
      </c>
      <c r="B426" s="11" t="n">
        <v>45239</v>
      </c>
      <c r="C426" s="11" t="n">
        <v>45232</v>
      </c>
      <c r="D426" s="5" t="s">
        <v>26</v>
      </c>
      <c r="E426" s="5" t="s">
        <v>18</v>
      </c>
      <c r="F426" s="5" t="s">
        <v>18</v>
      </c>
      <c r="G426" s="5" t="s">
        <v>40</v>
      </c>
      <c r="H426" s="6" t="n">
        <v>126000</v>
      </c>
    </row>
    <row r="427" customFormat="false" ht="15" hidden="false" customHeight="false" outlineLevel="0" collapsed="false">
      <c r="A427" s="11" t="n">
        <v>45225</v>
      </c>
      <c r="B427" s="11" t="n">
        <v>45239</v>
      </c>
      <c r="C427" s="11" t="n">
        <v>45232</v>
      </c>
      <c r="D427" s="5" t="s">
        <v>26</v>
      </c>
      <c r="E427" s="5" t="s">
        <v>18</v>
      </c>
      <c r="F427" s="5" t="s">
        <v>18</v>
      </c>
      <c r="G427" s="5" t="s">
        <v>40</v>
      </c>
      <c r="H427" s="6" t="n">
        <v>110000</v>
      </c>
    </row>
    <row r="428" customFormat="false" ht="15" hidden="false" customHeight="false" outlineLevel="0" collapsed="false">
      <c r="A428" s="11" t="n">
        <v>45236</v>
      </c>
      <c r="B428" s="11" t="n">
        <v>45253</v>
      </c>
      <c r="C428" s="11" t="n">
        <v>45246</v>
      </c>
      <c r="D428" s="5" t="s">
        <v>26</v>
      </c>
      <c r="E428" s="5" t="s">
        <v>18</v>
      </c>
      <c r="F428" s="5" t="s">
        <v>18</v>
      </c>
      <c r="G428" s="5" t="s">
        <v>40</v>
      </c>
      <c r="H428" s="6" t="n">
        <v>126000</v>
      </c>
    </row>
    <row r="429" customFormat="false" ht="15" hidden="false" customHeight="false" outlineLevel="0" collapsed="false">
      <c r="A429" s="11" t="n">
        <v>45237</v>
      </c>
      <c r="B429" s="11" t="n">
        <v>45253</v>
      </c>
      <c r="C429" s="11" t="n">
        <v>45246</v>
      </c>
      <c r="D429" s="5" t="s">
        <v>26</v>
      </c>
      <c r="E429" s="5" t="s">
        <v>18</v>
      </c>
      <c r="F429" s="5" t="s">
        <v>18</v>
      </c>
      <c r="G429" s="5" t="s">
        <v>40</v>
      </c>
      <c r="H429" s="6" t="n">
        <v>110000</v>
      </c>
    </row>
    <row r="430" customFormat="false" ht="15" hidden="false" customHeight="false" outlineLevel="0" collapsed="false">
      <c r="A430" s="11" t="n">
        <v>45238</v>
      </c>
      <c r="B430" s="11" t="n">
        <v>45253</v>
      </c>
      <c r="C430" s="11" t="n">
        <v>45246</v>
      </c>
      <c r="D430" s="5" t="s">
        <v>26</v>
      </c>
      <c r="E430" s="5" t="s">
        <v>18</v>
      </c>
      <c r="F430" s="5" t="s">
        <v>18</v>
      </c>
      <c r="G430" s="5" t="s">
        <v>40</v>
      </c>
      <c r="H430" s="6" t="n">
        <v>433000</v>
      </c>
    </row>
    <row r="431" customFormat="false" ht="15" hidden="false" customHeight="false" outlineLevel="0" collapsed="false">
      <c r="A431" s="11" t="n">
        <v>45239</v>
      </c>
      <c r="B431" s="11" t="n">
        <v>45253</v>
      </c>
      <c r="C431" s="11" t="n">
        <v>45246</v>
      </c>
      <c r="D431" s="5" t="s">
        <v>26</v>
      </c>
      <c r="E431" s="5" t="s">
        <v>18</v>
      </c>
      <c r="F431" s="5" t="s">
        <v>18</v>
      </c>
      <c r="G431" s="5" t="s">
        <v>40</v>
      </c>
      <c r="H431" s="6" t="n">
        <v>1044000</v>
      </c>
    </row>
    <row r="432" customFormat="false" ht="15" hidden="false" customHeight="false" outlineLevel="0" collapsed="false">
      <c r="A432" s="11" t="n">
        <v>45243</v>
      </c>
      <c r="B432" s="11" t="n">
        <v>45260</v>
      </c>
      <c r="C432" s="11" t="n">
        <v>45253</v>
      </c>
      <c r="D432" s="5" t="s">
        <v>26</v>
      </c>
      <c r="E432" s="5" t="s">
        <v>18</v>
      </c>
      <c r="F432" s="5" t="s">
        <v>18</v>
      </c>
      <c r="G432" s="5" t="s">
        <v>40</v>
      </c>
      <c r="H432" s="6" t="n">
        <v>204000</v>
      </c>
    </row>
    <row r="433" customFormat="false" ht="15" hidden="false" customHeight="false" outlineLevel="0" collapsed="false">
      <c r="A433" s="11" t="n">
        <v>45254</v>
      </c>
      <c r="B433" s="11" t="n">
        <v>45274</v>
      </c>
      <c r="C433" s="11" t="n">
        <v>45267</v>
      </c>
      <c r="D433" s="5" t="s">
        <v>26</v>
      </c>
      <c r="E433" s="5" t="s">
        <v>18</v>
      </c>
      <c r="F433" s="5" t="s">
        <v>18</v>
      </c>
      <c r="G433" s="5" t="s">
        <v>40</v>
      </c>
      <c r="H433" s="6" t="n">
        <v>129000</v>
      </c>
    </row>
    <row r="434" customFormat="false" ht="15" hidden="false" customHeight="false" outlineLevel="0" collapsed="false">
      <c r="A434" s="11" t="n">
        <v>45260</v>
      </c>
      <c r="B434" s="11" t="n">
        <v>45274</v>
      </c>
      <c r="C434" s="11" t="n">
        <v>45267</v>
      </c>
      <c r="D434" s="5" t="s">
        <v>26</v>
      </c>
      <c r="E434" s="5" t="s">
        <v>18</v>
      </c>
      <c r="F434" s="5" t="s">
        <v>18</v>
      </c>
      <c r="G434" s="5" t="s">
        <v>40</v>
      </c>
      <c r="H434" s="6" t="n">
        <v>134000</v>
      </c>
    </row>
    <row r="435" customFormat="false" ht="15" hidden="false" customHeight="false" outlineLevel="0" collapsed="false">
      <c r="A435" s="11" t="n">
        <v>45261</v>
      </c>
      <c r="B435" s="11" t="n">
        <v>45281</v>
      </c>
      <c r="C435" s="11" t="n">
        <v>45274</v>
      </c>
      <c r="D435" s="5" t="s">
        <v>26</v>
      </c>
      <c r="E435" s="5" t="s">
        <v>18</v>
      </c>
      <c r="F435" s="5" t="s">
        <v>18</v>
      </c>
      <c r="G435" s="5" t="s">
        <v>40</v>
      </c>
      <c r="H435" s="6" t="n">
        <v>132000</v>
      </c>
    </row>
    <row r="436" customFormat="false" ht="15" hidden="false" customHeight="false" outlineLevel="0" collapsed="false">
      <c r="A436" s="11" t="n">
        <v>45266</v>
      </c>
      <c r="B436" s="11" t="n">
        <v>45281</v>
      </c>
      <c r="C436" s="11" t="n">
        <v>45274</v>
      </c>
      <c r="D436" s="5" t="s">
        <v>26</v>
      </c>
      <c r="E436" s="5" t="s">
        <v>18</v>
      </c>
      <c r="F436" s="5" t="s">
        <v>18</v>
      </c>
      <c r="G436" s="5" t="s">
        <v>40</v>
      </c>
      <c r="H436" s="6" t="n">
        <v>136000</v>
      </c>
    </row>
    <row r="437" customFormat="false" ht="15" hidden="false" customHeight="false" outlineLevel="0" collapsed="false">
      <c r="A437" s="11" t="n">
        <v>45268</v>
      </c>
      <c r="B437" s="11" t="n">
        <v>45288</v>
      </c>
      <c r="C437" s="11" t="n">
        <v>45281</v>
      </c>
      <c r="D437" s="5" t="s">
        <v>26</v>
      </c>
      <c r="E437" s="5" t="s">
        <v>18</v>
      </c>
      <c r="F437" s="5" t="s">
        <v>18</v>
      </c>
      <c r="G437" s="5" t="s">
        <v>40</v>
      </c>
      <c r="H437" s="6" t="n">
        <v>136000</v>
      </c>
    </row>
    <row r="438" customFormat="false" ht="15" hidden="false" customHeight="false" outlineLevel="0" collapsed="false">
      <c r="A438" s="11" t="n">
        <v>45275</v>
      </c>
      <c r="B438" s="11" t="n">
        <v>45295</v>
      </c>
      <c r="C438" s="11" t="n">
        <v>45288</v>
      </c>
      <c r="D438" s="5" t="s">
        <v>26</v>
      </c>
      <c r="E438" s="5" t="s">
        <v>18</v>
      </c>
      <c r="F438" s="5" t="s">
        <v>18</v>
      </c>
      <c r="G438" s="5" t="s">
        <v>40</v>
      </c>
      <c r="H438" s="6" t="n">
        <v>134000</v>
      </c>
    </row>
    <row r="439" customFormat="false" ht="15" hidden="false" customHeight="false" outlineLevel="0" collapsed="false">
      <c r="A439" s="11" t="n">
        <v>45310</v>
      </c>
      <c r="B439" s="11" t="n">
        <v>45330</v>
      </c>
      <c r="C439" s="11" t="n">
        <v>45323</v>
      </c>
      <c r="D439" s="5" t="s">
        <v>26</v>
      </c>
      <c r="E439" s="5" t="s">
        <v>18</v>
      </c>
      <c r="F439" s="5" t="s">
        <v>18</v>
      </c>
      <c r="G439" s="5" t="s">
        <v>40</v>
      </c>
      <c r="H439" s="6" t="n">
        <v>297000</v>
      </c>
    </row>
    <row r="440" customFormat="false" ht="15" hidden="false" customHeight="false" outlineLevel="0" collapsed="false">
      <c r="A440" s="11" t="n">
        <v>45450</v>
      </c>
      <c r="B440" s="11" t="n">
        <v>45470</v>
      </c>
      <c r="C440" s="11" t="n">
        <v>45463</v>
      </c>
      <c r="D440" s="5" t="s">
        <v>26</v>
      </c>
      <c r="E440" s="5" t="s">
        <v>18</v>
      </c>
      <c r="F440" s="5" t="s">
        <v>18</v>
      </c>
      <c r="G440" s="5" t="s">
        <v>40</v>
      </c>
      <c r="H440" s="6" t="n">
        <v>104000</v>
      </c>
    </row>
    <row r="441" customFormat="false" ht="15" hidden="false" customHeight="false" outlineLevel="0" collapsed="false">
      <c r="A441" s="11" t="n">
        <v>45454</v>
      </c>
      <c r="B441" s="11" t="n">
        <v>45470</v>
      </c>
      <c r="C441" s="11" t="n">
        <v>45463</v>
      </c>
      <c r="D441" s="5" t="s">
        <v>26</v>
      </c>
      <c r="E441" s="5" t="s">
        <v>18</v>
      </c>
      <c r="F441" s="5" t="s">
        <v>18</v>
      </c>
      <c r="G441" s="5" t="s">
        <v>40</v>
      </c>
      <c r="H441" s="6" t="n">
        <v>104000</v>
      </c>
    </row>
    <row r="442" customFormat="false" ht="15" hidden="false" customHeight="false" outlineLevel="0" collapsed="false">
      <c r="A442" s="11" t="n">
        <v>45455</v>
      </c>
      <c r="B442" s="11" t="n">
        <v>45470</v>
      </c>
      <c r="C442" s="11" t="n">
        <v>45463</v>
      </c>
      <c r="D442" s="5" t="s">
        <v>26</v>
      </c>
      <c r="E442" s="5" t="s">
        <v>18</v>
      </c>
      <c r="F442" s="5" t="s">
        <v>18</v>
      </c>
      <c r="G442" s="5" t="s">
        <v>40</v>
      </c>
      <c r="H442" s="6" t="n">
        <v>106000</v>
      </c>
    </row>
    <row r="443" customFormat="false" ht="15" hidden="false" customHeight="false" outlineLevel="0" collapsed="false">
      <c r="A443" s="11" t="n">
        <v>45483</v>
      </c>
      <c r="B443" s="11" t="n">
        <v>45498</v>
      </c>
      <c r="C443" s="11" t="n">
        <v>45491</v>
      </c>
      <c r="D443" s="5" t="s">
        <v>26</v>
      </c>
      <c r="E443" s="5" t="s">
        <v>19</v>
      </c>
      <c r="F443" s="5" t="s">
        <v>18</v>
      </c>
      <c r="G443" s="5" t="s">
        <v>40</v>
      </c>
      <c r="H443" s="6" t="n">
        <v>132000</v>
      </c>
    </row>
    <row r="444" customFormat="false" ht="15" hidden="false" customHeight="false" outlineLevel="0" collapsed="false">
      <c r="A444" s="11" t="n">
        <v>45505</v>
      </c>
      <c r="B444" s="11" t="n">
        <v>45519</v>
      </c>
      <c r="C444" s="11" t="n">
        <v>45512</v>
      </c>
      <c r="D444" s="5" t="s">
        <v>26</v>
      </c>
      <c r="E444" s="5" t="s">
        <v>19</v>
      </c>
      <c r="F444" s="5" t="s">
        <v>18</v>
      </c>
      <c r="G444" s="5" t="s">
        <v>40</v>
      </c>
      <c r="H444" s="6" t="n">
        <v>132000</v>
      </c>
    </row>
    <row r="445" customFormat="false" ht="15" hidden="false" customHeight="false" outlineLevel="0" collapsed="false">
      <c r="A445" s="11" t="n">
        <v>45506</v>
      </c>
      <c r="B445" s="11" t="n">
        <v>45526</v>
      </c>
      <c r="C445" s="11" t="n">
        <v>45519</v>
      </c>
      <c r="D445" s="5" t="s">
        <v>26</v>
      </c>
      <c r="E445" s="5" t="s">
        <v>19</v>
      </c>
      <c r="F445" s="5" t="s">
        <v>18</v>
      </c>
      <c r="G445" s="5" t="s">
        <v>40</v>
      </c>
      <c r="H445" s="6" t="n">
        <v>202000</v>
      </c>
    </row>
    <row r="446" customFormat="false" ht="15" hidden="false" customHeight="false" outlineLevel="0" collapsed="false">
      <c r="A446" s="11" t="n">
        <v>45517</v>
      </c>
      <c r="B446" s="11" t="n">
        <v>45533</v>
      </c>
      <c r="C446" s="11" t="n">
        <v>45526</v>
      </c>
      <c r="D446" s="5" t="s">
        <v>26</v>
      </c>
      <c r="E446" s="5" t="s">
        <v>19</v>
      </c>
      <c r="F446" s="5" t="s">
        <v>18</v>
      </c>
      <c r="G446" s="5" t="s">
        <v>40</v>
      </c>
      <c r="H446" s="6" t="n">
        <v>132000</v>
      </c>
    </row>
    <row r="447" customFormat="false" ht="15" hidden="false" customHeight="false" outlineLevel="0" collapsed="false">
      <c r="A447" s="11" t="n">
        <v>45523</v>
      </c>
      <c r="B447" s="11" t="n">
        <v>45540</v>
      </c>
      <c r="C447" s="11" t="n">
        <v>45533</v>
      </c>
      <c r="D447" s="5" t="s">
        <v>26</v>
      </c>
      <c r="E447" s="5" t="s">
        <v>19</v>
      </c>
      <c r="F447" s="5" t="s">
        <v>18</v>
      </c>
      <c r="G447" s="5" t="s">
        <v>40</v>
      </c>
      <c r="H447" s="6" t="n">
        <v>332000</v>
      </c>
    </row>
    <row r="448" customFormat="false" ht="15" hidden="false" customHeight="false" outlineLevel="0" collapsed="false">
      <c r="A448" s="11" t="n">
        <v>45524</v>
      </c>
      <c r="B448" s="11" t="n">
        <v>45540</v>
      </c>
      <c r="C448" s="11" t="n">
        <v>45533</v>
      </c>
      <c r="D448" s="5" t="s">
        <v>26</v>
      </c>
      <c r="E448" s="5" t="s">
        <v>19</v>
      </c>
      <c r="F448" s="5" t="s">
        <v>18</v>
      </c>
      <c r="G448" s="5" t="s">
        <v>40</v>
      </c>
      <c r="H448" s="6" t="n">
        <v>132000</v>
      </c>
    </row>
    <row r="449" customFormat="false" ht="15" hidden="false" customHeight="false" outlineLevel="0" collapsed="false">
      <c r="A449" s="11" t="n">
        <v>45525</v>
      </c>
      <c r="B449" s="11" t="n">
        <v>45540</v>
      </c>
      <c r="C449" s="11" t="n">
        <v>45533</v>
      </c>
      <c r="D449" s="5" t="s">
        <v>26</v>
      </c>
      <c r="E449" s="5" t="s">
        <v>19</v>
      </c>
      <c r="F449" s="5" t="s">
        <v>18</v>
      </c>
      <c r="G449" s="5" t="s">
        <v>40</v>
      </c>
      <c r="H449" s="6" t="n">
        <v>132000</v>
      </c>
    </row>
    <row r="450" customFormat="false" ht="15" hidden="false" customHeight="false" outlineLevel="0" collapsed="false">
      <c r="A450" s="11" t="n">
        <v>45526</v>
      </c>
      <c r="B450" s="11" t="n">
        <v>45540</v>
      </c>
      <c r="C450" s="11" t="n">
        <v>45533</v>
      </c>
      <c r="D450" s="5" t="s">
        <v>26</v>
      </c>
      <c r="E450" s="5" t="s">
        <v>19</v>
      </c>
      <c r="F450" s="5" t="s">
        <v>18</v>
      </c>
      <c r="G450" s="5" t="s">
        <v>40</v>
      </c>
      <c r="H450" s="6" t="n">
        <v>198000</v>
      </c>
    </row>
    <row r="451" customFormat="false" ht="15" hidden="false" customHeight="false" outlineLevel="0" collapsed="false">
      <c r="A451" s="11" t="n">
        <v>45532</v>
      </c>
      <c r="B451" s="11" t="n">
        <v>45547</v>
      </c>
      <c r="C451" s="11" t="n">
        <v>45540</v>
      </c>
      <c r="D451" s="5" t="s">
        <v>26</v>
      </c>
      <c r="E451" s="5" t="s">
        <v>19</v>
      </c>
      <c r="F451" s="5" t="s">
        <v>18</v>
      </c>
      <c r="G451" s="5" t="s">
        <v>40</v>
      </c>
      <c r="H451" s="6" t="n">
        <v>264000</v>
      </c>
    </row>
    <row r="452" customFormat="false" ht="15" hidden="false" customHeight="false" outlineLevel="0" collapsed="false">
      <c r="A452" s="11" t="n">
        <v>45534</v>
      </c>
      <c r="B452" s="11" t="n">
        <v>45554</v>
      </c>
      <c r="C452" s="11" t="n">
        <v>45547</v>
      </c>
      <c r="D452" s="5" t="s">
        <v>26</v>
      </c>
      <c r="E452" s="5" t="s">
        <v>19</v>
      </c>
      <c r="F452" s="5" t="s">
        <v>18</v>
      </c>
      <c r="G452" s="5" t="s">
        <v>40</v>
      </c>
      <c r="H452" s="6" t="n">
        <v>132000</v>
      </c>
    </row>
    <row r="453" customFormat="false" ht="15" hidden="false" customHeight="false" outlineLevel="0" collapsed="false">
      <c r="A453" s="11" t="n">
        <v>45538</v>
      </c>
      <c r="B453" s="11" t="n">
        <v>45554</v>
      </c>
      <c r="C453" s="11" t="n">
        <v>45547</v>
      </c>
      <c r="D453" s="5" t="s">
        <v>26</v>
      </c>
      <c r="E453" s="5" t="s">
        <v>19</v>
      </c>
      <c r="F453" s="5" t="s">
        <v>19</v>
      </c>
      <c r="G453" s="5" t="s">
        <v>40</v>
      </c>
      <c r="H453" s="6" t="n">
        <v>131000</v>
      </c>
    </row>
    <row r="454" customFormat="false" ht="15" hidden="false" customHeight="false" outlineLevel="0" collapsed="false">
      <c r="A454" s="11" t="n">
        <v>45540</v>
      </c>
      <c r="B454" s="11" t="n">
        <v>45554</v>
      </c>
      <c r="C454" s="11" t="n">
        <v>45547</v>
      </c>
      <c r="D454" s="5" t="s">
        <v>26</v>
      </c>
      <c r="E454" s="5" t="s">
        <v>19</v>
      </c>
      <c r="F454" s="5" t="s">
        <v>19</v>
      </c>
      <c r="G454" s="5" t="s">
        <v>40</v>
      </c>
      <c r="H454" s="6" t="n">
        <v>126000</v>
      </c>
    </row>
    <row r="455" customFormat="false" ht="15" hidden="false" customHeight="false" outlineLevel="0" collapsed="false">
      <c r="A455" s="11" t="n">
        <v>45544</v>
      </c>
      <c r="B455" s="11" t="n">
        <v>45561</v>
      </c>
      <c r="C455" s="11" t="n">
        <v>45554</v>
      </c>
      <c r="D455" s="5" t="s">
        <v>26</v>
      </c>
      <c r="E455" s="5" t="s">
        <v>19</v>
      </c>
      <c r="F455" s="5" t="s">
        <v>19</v>
      </c>
      <c r="G455" s="5" t="s">
        <v>40</v>
      </c>
      <c r="H455" s="6" t="n">
        <v>132000</v>
      </c>
    </row>
    <row r="456" customFormat="false" ht="15" hidden="false" customHeight="false" outlineLevel="0" collapsed="false">
      <c r="A456" s="11" t="n">
        <v>45548</v>
      </c>
      <c r="B456" s="11" t="n">
        <v>45568</v>
      </c>
      <c r="C456" s="11" t="n">
        <v>45561</v>
      </c>
      <c r="D456" s="5" t="s">
        <v>26</v>
      </c>
      <c r="E456" s="5" t="s">
        <v>19</v>
      </c>
      <c r="F456" s="5" t="s">
        <v>19</v>
      </c>
      <c r="G456" s="5" t="s">
        <v>40</v>
      </c>
      <c r="H456" s="6" t="n">
        <v>100000</v>
      </c>
    </row>
    <row r="457" customFormat="false" ht="15" hidden="false" customHeight="false" outlineLevel="0" collapsed="false">
      <c r="A457" s="11" t="n">
        <v>45555</v>
      </c>
      <c r="B457" s="11" t="n">
        <v>45575</v>
      </c>
      <c r="C457" s="11" t="n">
        <v>45568</v>
      </c>
      <c r="D457" s="5" t="s">
        <v>26</v>
      </c>
      <c r="E457" s="5" t="s">
        <v>19</v>
      </c>
      <c r="F457" s="5" t="s">
        <v>19</v>
      </c>
      <c r="G457" s="5" t="s">
        <v>40</v>
      </c>
      <c r="H457" s="6" t="n">
        <v>121000</v>
      </c>
    </row>
    <row r="458" customFormat="false" ht="15" hidden="false" customHeight="false" outlineLevel="0" collapsed="false">
      <c r="A458" s="11" t="n">
        <v>45565</v>
      </c>
      <c r="B458" s="11" t="n">
        <v>45582</v>
      </c>
      <c r="C458" s="11" t="n">
        <v>45575</v>
      </c>
      <c r="D458" s="5" t="s">
        <v>26</v>
      </c>
      <c r="E458" s="5" t="s">
        <v>19</v>
      </c>
      <c r="F458" s="5" t="s">
        <v>19</v>
      </c>
      <c r="G458" s="5" t="s">
        <v>40</v>
      </c>
      <c r="H458" s="6" t="n">
        <v>116000</v>
      </c>
    </row>
    <row r="459" customFormat="false" ht="15" hidden="false" customHeight="false" outlineLevel="0" collapsed="false">
      <c r="A459" s="11" t="n">
        <v>45569</v>
      </c>
      <c r="B459" s="11" t="n">
        <v>45589</v>
      </c>
      <c r="C459" s="11" t="n">
        <v>45582</v>
      </c>
      <c r="D459" s="5" t="s">
        <v>26</v>
      </c>
      <c r="E459" s="5" t="s">
        <v>19</v>
      </c>
      <c r="F459" s="5" t="s">
        <v>19</v>
      </c>
      <c r="G459" s="5" t="s">
        <v>40</v>
      </c>
      <c r="H459" s="6" t="n">
        <v>116000</v>
      </c>
    </row>
    <row r="460" customFormat="false" ht="15" hidden="false" customHeight="false" outlineLevel="0" collapsed="false">
      <c r="A460" s="11" t="n">
        <v>45573</v>
      </c>
      <c r="B460" s="11" t="n">
        <v>45589</v>
      </c>
      <c r="C460" s="11" t="n">
        <v>45582</v>
      </c>
      <c r="D460" s="5" t="s">
        <v>26</v>
      </c>
      <c r="E460" s="5" t="s">
        <v>19</v>
      </c>
      <c r="F460" s="5" t="s">
        <v>19</v>
      </c>
      <c r="G460" s="5" t="s">
        <v>40</v>
      </c>
      <c r="H460" s="6" t="n">
        <v>166000</v>
      </c>
    </row>
    <row r="461" customFormat="false" ht="15" hidden="false" customHeight="false" outlineLevel="0" collapsed="false">
      <c r="A461" s="11" t="n">
        <v>45580</v>
      </c>
      <c r="B461" s="11" t="n">
        <v>45596</v>
      </c>
      <c r="C461" s="11" t="n">
        <v>45589</v>
      </c>
      <c r="D461" s="5" t="s">
        <v>26</v>
      </c>
      <c r="E461" s="5" t="s">
        <v>19</v>
      </c>
      <c r="F461" s="5" t="s">
        <v>19</v>
      </c>
      <c r="G461" s="5" t="s">
        <v>40</v>
      </c>
      <c r="H461" s="6" t="n">
        <v>131000</v>
      </c>
    </row>
    <row r="462" customFormat="false" ht="15" hidden="false" customHeight="false" outlineLevel="0" collapsed="false">
      <c r="A462" s="11" t="n">
        <v>45588</v>
      </c>
      <c r="B462" s="11" t="n">
        <v>45603</v>
      </c>
      <c r="C462" s="11" t="n">
        <v>45596</v>
      </c>
      <c r="D462" s="5" t="s">
        <v>26</v>
      </c>
      <c r="E462" s="5" t="s">
        <v>19</v>
      </c>
      <c r="F462" s="5" t="s">
        <v>19</v>
      </c>
      <c r="G462" s="5" t="s">
        <v>40</v>
      </c>
      <c r="H462" s="6" t="n">
        <v>130000</v>
      </c>
    </row>
    <row r="463" customFormat="false" ht="15" hidden="false" customHeight="false" outlineLevel="0" collapsed="false">
      <c r="A463" s="11" t="n">
        <v>45590</v>
      </c>
      <c r="B463" s="11" t="n">
        <v>45610</v>
      </c>
      <c r="C463" s="11" t="n">
        <v>45603</v>
      </c>
      <c r="D463" s="5" t="s">
        <v>26</v>
      </c>
      <c r="E463" s="5" t="s">
        <v>19</v>
      </c>
      <c r="F463" s="5" t="s">
        <v>19</v>
      </c>
      <c r="G463" s="5" t="s">
        <v>40</v>
      </c>
      <c r="H463" s="6" t="n">
        <v>116000</v>
      </c>
    </row>
    <row r="464" customFormat="false" ht="15" hidden="false" customHeight="false" outlineLevel="0" collapsed="false">
      <c r="A464" s="11" t="n">
        <v>45595</v>
      </c>
      <c r="B464" s="11" t="n">
        <v>45610</v>
      </c>
      <c r="C464" s="11" t="n">
        <v>45603</v>
      </c>
      <c r="D464" s="5" t="s">
        <v>26</v>
      </c>
      <c r="E464" s="5" t="s">
        <v>19</v>
      </c>
      <c r="F464" s="5" t="s">
        <v>19</v>
      </c>
      <c r="G464" s="5" t="s">
        <v>40</v>
      </c>
      <c r="H464" s="6" t="n">
        <v>132000</v>
      </c>
    </row>
    <row r="465" customFormat="false" ht="15" hidden="false" customHeight="false" outlineLevel="0" collapsed="false">
      <c r="A465" s="11" t="n">
        <v>45597</v>
      </c>
      <c r="B465" s="11" t="n">
        <v>45617</v>
      </c>
      <c r="C465" s="11" t="n">
        <v>45610</v>
      </c>
      <c r="D465" s="5" t="s">
        <v>26</v>
      </c>
      <c r="E465" s="5" t="s">
        <v>19</v>
      </c>
      <c r="F465" s="5" t="s">
        <v>19</v>
      </c>
      <c r="G465" s="5" t="s">
        <v>40</v>
      </c>
      <c r="H465" s="6" t="n">
        <v>132000</v>
      </c>
    </row>
    <row r="466" customFormat="false" ht="15" hidden="false" customHeight="false" outlineLevel="0" collapsed="false">
      <c r="A466" s="11" t="n">
        <v>45604</v>
      </c>
      <c r="B466" s="11" t="n">
        <v>45624</v>
      </c>
      <c r="C466" s="11" t="n">
        <v>45617</v>
      </c>
      <c r="D466" s="5" t="s">
        <v>26</v>
      </c>
      <c r="E466" s="5" t="s">
        <v>19</v>
      </c>
      <c r="F466" s="5" t="s">
        <v>19</v>
      </c>
      <c r="G466" s="5" t="s">
        <v>40</v>
      </c>
      <c r="H466" s="6" t="n">
        <v>107000</v>
      </c>
    </row>
    <row r="467" customFormat="false" ht="15" hidden="false" customHeight="false" outlineLevel="0" collapsed="false">
      <c r="A467" s="11" t="n">
        <v>45616</v>
      </c>
      <c r="B467" s="11" t="n">
        <v>45631</v>
      </c>
      <c r="C467" s="11" t="n">
        <v>45624</v>
      </c>
      <c r="D467" s="5" t="s">
        <v>26</v>
      </c>
      <c r="E467" s="5" t="s">
        <v>19</v>
      </c>
      <c r="F467" s="5" t="s">
        <v>19</v>
      </c>
      <c r="G467" s="5" t="s">
        <v>40</v>
      </c>
      <c r="H467" s="6" t="n">
        <v>202000</v>
      </c>
    </row>
    <row r="468" customFormat="false" ht="15" hidden="false" customHeight="false" outlineLevel="0" collapsed="false">
      <c r="A468" s="11" t="n">
        <v>45617</v>
      </c>
      <c r="B468" s="11" t="n">
        <v>45631</v>
      </c>
      <c r="C468" s="11" t="n">
        <v>45624</v>
      </c>
      <c r="D468" s="5" t="s">
        <v>26</v>
      </c>
      <c r="E468" s="5" t="s">
        <v>19</v>
      </c>
      <c r="F468" s="5" t="s">
        <v>19</v>
      </c>
      <c r="G468" s="5" t="s">
        <v>40</v>
      </c>
      <c r="H468" s="6" t="n">
        <v>198000</v>
      </c>
    </row>
    <row r="469" customFormat="false" ht="15" hidden="false" customHeight="false" outlineLevel="0" collapsed="false">
      <c r="A469" s="11" t="n">
        <v>45623</v>
      </c>
      <c r="B469" s="11" t="n">
        <v>45638</v>
      </c>
      <c r="C469" s="11" t="n">
        <v>45631</v>
      </c>
      <c r="D469" s="5" t="s">
        <v>26</v>
      </c>
      <c r="E469" s="5" t="s">
        <v>19</v>
      </c>
      <c r="F469" s="5" t="s">
        <v>19</v>
      </c>
      <c r="G469" s="5" t="s">
        <v>40</v>
      </c>
      <c r="H469" s="6" t="n">
        <v>132000</v>
      </c>
    </row>
    <row r="470" customFormat="false" ht="15" hidden="false" customHeight="false" outlineLevel="0" collapsed="false">
      <c r="A470" s="11" t="n">
        <v>45628</v>
      </c>
      <c r="B470" s="11" t="n">
        <v>45645</v>
      </c>
      <c r="C470" s="11" t="n">
        <v>45638</v>
      </c>
      <c r="D470" s="5" t="s">
        <v>26</v>
      </c>
      <c r="E470" s="5" t="s">
        <v>19</v>
      </c>
      <c r="F470" s="5" t="s">
        <v>19</v>
      </c>
      <c r="G470" s="5" t="s">
        <v>40</v>
      </c>
      <c r="H470" s="6" t="n">
        <v>134000</v>
      </c>
    </row>
    <row r="471" customFormat="false" ht="15" hidden="false" customHeight="false" outlineLevel="0" collapsed="false">
      <c r="A471" s="11" t="n">
        <v>45631</v>
      </c>
      <c r="B471" s="11" t="n">
        <v>45645</v>
      </c>
      <c r="C471" s="11" t="n">
        <v>45638</v>
      </c>
      <c r="D471" s="5" t="s">
        <v>26</v>
      </c>
      <c r="E471" s="5" t="s">
        <v>19</v>
      </c>
      <c r="F471" s="5" t="s">
        <v>19</v>
      </c>
      <c r="G471" s="5" t="s">
        <v>40</v>
      </c>
      <c r="H471" s="6" t="n">
        <v>136000</v>
      </c>
    </row>
    <row r="472" customFormat="false" ht="15" hidden="false" customHeight="false" outlineLevel="0" collapsed="false">
      <c r="A472" s="11" t="n">
        <v>45649</v>
      </c>
      <c r="B472" s="11" t="n">
        <v>45666</v>
      </c>
      <c r="C472" s="11" t="n">
        <v>45659</v>
      </c>
      <c r="D472" s="5" t="s">
        <v>26</v>
      </c>
      <c r="E472" s="5" t="s">
        <v>19</v>
      </c>
      <c r="F472" s="5" t="s">
        <v>19</v>
      </c>
      <c r="G472" s="5" t="s">
        <v>40</v>
      </c>
      <c r="H472" s="6" t="n">
        <v>264000</v>
      </c>
    </row>
    <row r="473" customFormat="false" ht="15" hidden="false" customHeight="false" outlineLevel="0" collapsed="false">
      <c r="A473" s="11" t="n">
        <v>45670</v>
      </c>
      <c r="B473" s="11" t="n">
        <v>45687</v>
      </c>
      <c r="C473" s="11" t="n">
        <v>45680</v>
      </c>
      <c r="D473" s="5" t="s">
        <v>26</v>
      </c>
      <c r="E473" s="5" t="s">
        <v>19</v>
      </c>
      <c r="F473" s="5" t="s">
        <v>19</v>
      </c>
      <c r="G473" s="5" t="s">
        <v>40</v>
      </c>
      <c r="H473" s="6" t="n">
        <v>198000</v>
      </c>
    </row>
    <row r="474" customFormat="false" ht="15" hidden="false" customHeight="false" outlineLevel="0" collapsed="false">
      <c r="A474" s="11" t="n">
        <v>45671</v>
      </c>
      <c r="B474" s="11" t="n">
        <v>45687</v>
      </c>
      <c r="C474" s="11" t="n">
        <v>45680</v>
      </c>
      <c r="D474" s="5" t="s">
        <v>26</v>
      </c>
      <c r="E474" s="5" t="s">
        <v>19</v>
      </c>
      <c r="F474" s="5" t="s">
        <v>19</v>
      </c>
      <c r="G474" s="5" t="s">
        <v>40</v>
      </c>
      <c r="H474" s="6" t="n">
        <v>198000</v>
      </c>
    </row>
    <row r="475" customFormat="false" ht="15" hidden="false" customHeight="false" outlineLevel="0" collapsed="false">
      <c r="A475" s="11" t="n">
        <v>45673</v>
      </c>
      <c r="B475" s="11" t="n">
        <v>45687</v>
      </c>
      <c r="C475" s="11" t="n">
        <v>45680</v>
      </c>
      <c r="D475" s="5" t="s">
        <v>26</v>
      </c>
      <c r="E475" s="5" t="s">
        <v>19</v>
      </c>
      <c r="F475" s="5" t="s">
        <v>19</v>
      </c>
      <c r="G475" s="5" t="s">
        <v>40</v>
      </c>
      <c r="H475" s="6" t="n">
        <v>132000</v>
      </c>
    </row>
    <row r="476" customFormat="false" ht="15" hidden="false" customHeight="false" outlineLevel="0" collapsed="false">
      <c r="A476" s="11" t="n">
        <v>45960</v>
      </c>
      <c r="B476" s="11" t="n">
        <v>45974</v>
      </c>
      <c r="C476" s="11" t="n">
        <v>45967</v>
      </c>
      <c r="D476" s="5" t="s">
        <v>26</v>
      </c>
      <c r="E476" s="5" t="s">
        <v>20</v>
      </c>
      <c r="F476" s="5" t="s">
        <v>20</v>
      </c>
      <c r="G476" s="5" t="s">
        <v>40</v>
      </c>
      <c r="H476" s="6" t="n">
        <v>100000</v>
      </c>
    </row>
    <row r="477" customFormat="false" ht="15" hidden="false" customHeight="false" outlineLevel="0" collapsed="false">
      <c r="A477" s="11" t="n">
        <v>45964</v>
      </c>
      <c r="B477" s="11" t="n">
        <v>45981</v>
      </c>
      <c r="C477" s="11" t="n">
        <v>45974</v>
      </c>
      <c r="D477" s="5" t="s">
        <v>26</v>
      </c>
      <c r="E477" s="5" t="s">
        <v>20</v>
      </c>
      <c r="F477" s="5" t="s">
        <v>20</v>
      </c>
      <c r="G477" s="5" t="s">
        <v>40</v>
      </c>
      <c r="H477" s="6" t="n">
        <v>132000</v>
      </c>
    </row>
    <row r="478" customFormat="false" ht="15" hidden="false" customHeight="false" outlineLevel="0" collapsed="false">
      <c r="A478" s="11" t="n">
        <v>45979</v>
      </c>
      <c r="B478" s="11" t="n">
        <v>45995</v>
      </c>
      <c r="C478" s="11" t="n">
        <v>45988</v>
      </c>
      <c r="D478" s="5" t="s">
        <v>26</v>
      </c>
      <c r="E478" s="5" t="s">
        <v>20</v>
      </c>
      <c r="F478" s="5" t="s">
        <v>20</v>
      </c>
      <c r="G478" s="5" t="s">
        <v>40</v>
      </c>
      <c r="H478" s="6" t="n">
        <v>792000</v>
      </c>
    </row>
    <row r="479" customFormat="false" ht="15" hidden="false" customHeight="false" outlineLevel="0" collapsed="false">
      <c r="A479" s="11" t="n">
        <v>45980</v>
      </c>
      <c r="B479" s="11" t="n">
        <v>45995</v>
      </c>
      <c r="C479" s="11" t="n">
        <v>45988</v>
      </c>
      <c r="D479" s="5" t="s">
        <v>26</v>
      </c>
      <c r="E479" s="5" t="s">
        <v>20</v>
      </c>
      <c r="F479" s="5" t="s">
        <v>20</v>
      </c>
      <c r="G479" s="5" t="s">
        <v>40</v>
      </c>
      <c r="H479" s="6" t="n">
        <v>330000</v>
      </c>
    </row>
    <row r="480" customFormat="false" ht="15" hidden="false" customHeight="false" outlineLevel="0" collapsed="false">
      <c r="A480" s="11" t="n">
        <v>45981</v>
      </c>
      <c r="B480" s="11" t="n">
        <v>45995</v>
      </c>
      <c r="C480" s="11" t="n">
        <v>45988</v>
      </c>
      <c r="D480" s="5" t="s">
        <v>26</v>
      </c>
      <c r="E480" s="5" t="s">
        <v>20</v>
      </c>
      <c r="F480" s="5" t="s">
        <v>20</v>
      </c>
      <c r="G480" s="5" t="s">
        <v>40</v>
      </c>
      <c r="H480" s="6" t="n">
        <v>462000</v>
      </c>
    </row>
    <row r="481" customFormat="false" ht="15" hidden="false" customHeight="false" outlineLevel="0" collapsed="false">
      <c r="A481" s="11" t="n">
        <v>45985</v>
      </c>
      <c r="B481" s="11" t="n">
        <v>46002</v>
      </c>
      <c r="C481" s="11" t="n">
        <v>45995</v>
      </c>
      <c r="D481" s="5" t="s">
        <v>26</v>
      </c>
      <c r="E481" s="5" t="s">
        <v>20</v>
      </c>
      <c r="F481" s="5" t="s">
        <v>20</v>
      </c>
      <c r="G481" s="5" t="s">
        <v>40</v>
      </c>
      <c r="H481" s="6" t="n">
        <v>123000</v>
      </c>
    </row>
    <row r="482" customFormat="false" ht="15" hidden="false" customHeight="false" outlineLevel="0" collapsed="false">
      <c r="A482" s="11" t="n">
        <v>45989</v>
      </c>
      <c r="B482" s="11" t="n">
        <v>46009</v>
      </c>
      <c r="C482" s="11" t="n">
        <v>46002</v>
      </c>
      <c r="D482" s="5" t="s">
        <v>26</v>
      </c>
      <c r="E482" s="5" t="s">
        <v>20</v>
      </c>
      <c r="F482" s="5" t="s">
        <v>20</v>
      </c>
      <c r="G482" s="5" t="s">
        <v>40</v>
      </c>
      <c r="H482" s="6" t="n">
        <v>312000</v>
      </c>
    </row>
    <row r="483" customFormat="false" ht="15" hidden="false" customHeight="false" outlineLevel="0" collapsed="false">
      <c r="A483" s="11" t="n">
        <v>45996</v>
      </c>
      <c r="B483" s="11" t="n">
        <v>46016</v>
      </c>
      <c r="C483" s="11" t="n">
        <v>46009</v>
      </c>
      <c r="D483" s="5" t="s">
        <v>26</v>
      </c>
      <c r="E483" s="5" t="s">
        <v>20</v>
      </c>
      <c r="F483" s="5" t="s">
        <v>20</v>
      </c>
      <c r="G483" s="5" t="s">
        <v>40</v>
      </c>
      <c r="H483" s="6" t="n">
        <v>462000</v>
      </c>
    </row>
    <row r="484" customFormat="false" ht="15" hidden="false" customHeight="false" outlineLevel="0" collapsed="false">
      <c r="A484" s="11" t="n">
        <v>45999</v>
      </c>
      <c r="B484" s="11" t="n">
        <v>46016</v>
      </c>
      <c r="C484" s="11" t="n">
        <v>46009</v>
      </c>
      <c r="D484" s="5" t="s">
        <v>26</v>
      </c>
      <c r="E484" s="5" t="s">
        <v>20</v>
      </c>
      <c r="F484" s="5" t="s">
        <v>20</v>
      </c>
      <c r="G484" s="5" t="s">
        <v>40</v>
      </c>
      <c r="H484" s="6" t="n">
        <v>132000</v>
      </c>
    </row>
    <row r="485" customFormat="false" ht="15" hidden="false" customHeight="false" outlineLevel="0" collapsed="false">
      <c r="A485" s="11" t="n">
        <v>46001</v>
      </c>
      <c r="B485" s="11" t="n">
        <v>46016</v>
      </c>
      <c r="C485" s="11" t="n">
        <v>46009</v>
      </c>
      <c r="D485" s="5" t="s">
        <v>26</v>
      </c>
      <c r="E485" s="5" t="s">
        <v>20</v>
      </c>
      <c r="F485" s="5" t="s">
        <v>20</v>
      </c>
      <c r="G485" s="5" t="s">
        <v>40</v>
      </c>
      <c r="H485" s="6" t="n">
        <v>136000</v>
      </c>
    </row>
    <row r="486" customFormat="false" ht="15" hidden="false" customHeight="false" outlineLevel="0" collapsed="false">
      <c r="A486" s="11" t="n">
        <v>46002</v>
      </c>
      <c r="B486" s="11" t="n">
        <v>46016</v>
      </c>
      <c r="C486" s="11" t="n">
        <v>46009</v>
      </c>
      <c r="D486" s="5" t="s">
        <v>26</v>
      </c>
      <c r="E486" s="5" t="s">
        <v>20</v>
      </c>
      <c r="F486" s="5" t="s">
        <v>20</v>
      </c>
      <c r="G486" s="5" t="s">
        <v>40</v>
      </c>
      <c r="H486" s="6" t="n">
        <v>264000</v>
      </c>
    </row>
    <row r="487" customFormat="false" ht="15" hidden="false" customHeight="false" outlineLevel="0" collapsed="false">
      <c r="A487" s="11" t="n">
        <v>46003</v>
      </c>
      <c r="B487" s="11" t="n">
        <v>46023</v>
      </c>
      <c r="C487" s="11" t="n">
        <v>46016</v>
      </c>
      <c r="D487" s="5" t="s">
        <v>26</v>
      </c>
      <c r="E487" s="5" t="s">
        <v>20</v>
      </c>
      <c r="F487" s="5" t="s">
        <v>20</v>
      </c>
      <c r="G487" s="5" t="s">
        <v>40</v>
      </c>
      <c r="H487" s="6" t="n">
        <v>132000</v>
      </c>
    </row>
    <row r="488" customFormat="false" ht="15" hidden="false" customHeight="false" outlineLevel="0" collapsed="false">
      <c r="A488" s="11" t="n">
        <v>46006</v>
      </c>
      <c r="B488" s="11" t="n">
        <v>46023</v>
      </c>
      <c r="C488" s="11" t="n">
        <v>46016</v>
      </c>
      <c r="D488" s="5" t="s">
        <v>26</v>
      </c>
      <c r="E488" s="5" t="s">
        <v>20</v>
      </c>
      <c r="F488" s="5" t="s">
        <v>20</v>
      </c>
      <c r="G488" s="5" t="s">
        <v>40</v>
      </c>
      <c r="H488" s="6" t="n">
        <v>136000</v>
      </c>
    </row>
    <row r="489" customFormat="false" ht="15" hidden="false" customHeight="false" outlineLevel="0" collapsed="false">
      <c r="A489" s="11" t="n">
        <v>46008</v>
      </c>
      <c r="B489" s="11" t="n">
        <v>46023</v>
      </c>
      <c r="C489" s="11" t="n">
        <v>46016</v>
      </c>
      <c r="D489" s="5" t="s">
        <v>26</v>
      </c>
      <c r="E489" s="5" t="s">
        <v>20</v>
      </c>
      <c r="F489" s="5" t="s">
        <v>20</v>
      </c>
      <c r="G489" s="5" t="s">
        <v>40</v>
      </c>
      <c r="H489" s="6" t="n">
        <v>198000</v>
      </c>
    </row>
    <row r="490" customFormat="false" ht="15" hidden="false" customHeight="false" outlineLevel="0" collapsed="false">
      <c r="A490" s="11" t="n">
        <v>46010</v>
      </c>
      <c r="B490" s="11" t="n">
        <v>46030</v>
      </c>
      <c r="C490" s="11" t="n">
        <v>46023</v>
      </c>
      <c r="D490" s="5" t="s">
        <v>26</v>
      </c>
      <c r="E490" s="5" t="s">
        <v>20</v>
      </c>
      <c r="F490" s="5" t="s">
        <v>20</v>
      </c>
      <c r="G490" s="5" t="s">
        <v>40</v>
      </c>
      <c r="H490" s="6" t="n">
        <v>134000</v>
      </c>
    </row>
    <row r="491" customFormat="false" ht="15" hidden="false" customHeight="false" outlineLevel="0" collapsed="false">
      <c r="A491" s="11" t="n">
        <v>46013</v>
      </c>
      <c r="B491" s="11" t="n">
        <v>46030</v>
      </c>
      <c r="C491" s="11" t="n">
        <v>46023</v>
      </c>
      <c r="D491" s="5" t="s">
        <v>26</v>
      </c>
      <c r="E491" s="5" t="s">
        <v>20</v>
      </c>
      <c r="F491" s="5" t="s">
        <v>20</v>
      </c>
      <c r="G491" s="5" t="s">
        <v>40</v>
      </c>
      <c r="H491" s="6" t="n">
        <v>330000</v>
      </c>
    </row>
    <row r="492" customFormat="false" ht="15" hidden="false" customHeight="false" outlineLevel="0" collapsed="false">
      <c r="A492" s="11" t="n">
        <v>46013</v>
      </c>
      <c r="B492" s="11" t="n">
        <v>46030</v>
      </c>
      <c r="C492" s="11" t="n">
        <v>46023</v>
      </c>
      <c r="D492" s="5" t="s">
        <v>26</v>
      </c>
      <c r="E492" s="5" t="s">
        <v>21</v>
      </c>
      <c r="F492" s="5" t="s">
        <v>20</v>
      </c>
      <c r="G492" s="5" t="s">
        <v>40</v>
      </c>
      <c r="H492" s="6" t="n">
        <v>66000</v>
      </c>
    </row>
    <row r="493" customFormat="false" ht="15" hidden="false" customHeight="false" outlineLevel="0" collapsed="false">
      <c r="A493" s="11" t="n">
        <v>46021</v>
      </c>
      <c r="B493" s="11" t="n">
        <v>46037</v>
      </c>
      <c r="C493" s="11" t="n">
        <v>46030</v>
      </c>
      <c r="D493" s="5" t="s">
        <v>26</v>
      </c>
      <c r="E493" s="5" t="s">
        <v>20</v>
      </c>
      <c r="F493" s="5" t="s">
        <v>20</v>
      </c>
      <c r="G493" s="5" t="s">
        <v>40</v>
      </c>
      <c r="H493" s="6" t="n">
        <v>136000</v>
      </c>
    </row>
    <row r="494" customFormat="false" ht="15" hidden="false" customHeight="false" outlineLevel="0" collapsed="false">
      <c r="A494" s="11" t="n">
        <v>46028</v>
      </c>
      <c r="B494" s="11" t="n">
        <v>46044</v>
      </c>
      <c r="C494" s="11" t="n">
        <v>46037</v>
      </c>
      <c r="D494" s="5" t="s">
        <v>26</v>
      </c>
      <c r="E494" s="5" t="s">
        <v>20</v>
      </c>
      <c r="F494" s="5" t="s">
        <v>20</v>
      </c>
      <c r="G494" s="5" t="s">
        <v>40</v>
      </c>
      <c r="H494" s="6" t="n">
        <v>336000</v>
      </c>
    </row>
    <row r="495" customFormat="false" ht="15" hidden="false" customHeight="false" outlineLevel="0" collapsed="false">
      <c r="A495" s="11" t="n">
        <v>46030</v>
      </c>
      <c r="B495" s="11" t="n">
        <v>46044</v>
      </c>
      <c r="C495" s="11" t="n">
        <v>46037</v>
      </c>
      <c r="D495" s="5" t="s">
        <v>26</v>
      </c>
      <c r="E495" s="5" t="s">
        <v>20</v>
      </c>
      <c r="F495" s="5" t="s">
        <v>20</v>
      </c>
      <c r="G495" s="5" t="s">
        <v>40</v>
      </c>
      <c r="H495" s="6" t="n">
        <v>132000</v>
      </c>
    </row>
    <row r="496" customFormat="false" ht="15" hidden="false" customHeight="false" outlineLevel="0" collapsed="false">
      <c r="A496" s="11" t="n">
        <v>46035</v>
      </c>
      <c r="B496" s="11" t="n">
        <v>46051</v>
      </c>
      <c r="C496" s="11" t="n">
        <v>46044</v>
      </c>
      <c r="D496" s="5" t="s">
        <v>26</v>
      </c>
      <c r="E496" s="5" t="s">
        <v>20</v>
      </c>
      <c r="F496" s="5" t="s">
        <v>20</v>
      </c>
      <c r="G496" s="5" t="s">
        <v>40</v>
      </c>
      <c r="H496" s="6" t="n">
        <v>168000</v>
      </c>
    </row>
    <row r="497" customFormat="false" ht="15" hidden="false" customHeight="false" outlineLevel="0" collapsed="false">
      <c r="A497" s="11" t="n">
        <v>46036</v>
      </c>
      <c r="B497" s="11" t="n">
        <v>46051</v>
      </c>
      <c r="C497" s="11" t="n">
        <v>46044</v>
      </c>
      <c r="D497" s="5" t="s">
        <v>26</v>
      </c>
      <c r="E497" s="5" t="s">
        <v>20</v>
      </c>
      <c r="F497" s="5" t="s">
        <v>20</v>
      </c>
      <c r="G497" s="5" t="s">
        <v>40</v>
      </c>
      <c r="H497" s="6" t="n">
        <v>334000</v>
      </c>
    </row>
    <row r="498" customFormat="false" ht="15" hidden="false" customHeight="false" outlineLevel="0" collapsed="false">
      <c r="A498" s="11" t="n">
        <v>46037</v>
      </c>
      <c r="B498" s="11" t="n">
        <v>46051</v>
      </c>
      <c r="C498" s="11" t="n">
        <v>46044</v>
      </c>
      <c r="D498" s="5" t="s">
        <v>26</v>
      </c>
      <c r="E498" s="5" t="s">
        <v>20</v>
      </c>
      <c r="F498" s="5" t="s">
        <v>20</v>
      </c>
      <c r="G498" s="5" t="s">
        <v>40</v>
      </c>
      <c r="H498" s="6" t="n">
        <v>204000</v>
      </c>
    </row>
    <row r="499" customFormat="false" ht="15" hidden="false" customHeight="false" outlineLevel="0" collapsed="false">
      <c r="A499" s="11" t="n">
        <v>46062</v>
      </c>
      <c r="B499" s="11" t="n">
        <v>46079</v>
      </c>
      <c r="C499" s="11" t="n">
        <v>46072</v>
      </c>
      <c r="D499" s="5" t="s">
        <v>26</v>
      </c>
      <c r="E499" s="5" t="s">
        <v>20</v>
      </c>
      <c r="F499" s="5" t="s">
        <v>20</v>
      </c>
      <c r="G499" s="5" t="s">
        <v>40</v>
      </c>
      <c r="H499" s="6" t="n">
        <v>264000</v>
      </c>
    </row>
    <row r="500" customFormat="false" ht="15" hidden="false" customHeight="false" outlineLevel="0" collapsed="false">
      <c r="A500" s="11" t="n">
        <v>46191</v>
      </c>
      <c r="B500" s="11" t="n">
        <v>46205</v>
      </c>
      <c r="C500" s="11" t="n">
        <v>46198</v>
      </c>
      <c r="D500" s="5" t="s">
        <v>26</v>
      </c>
      <c r="E500" s="5" t="s">
        <v>21</v>
      </c>
      <c r="F500" s="5" t="s">
        <v>20</v>
      </c>
      <c r="G500" s="5" t="s">
        <v>40</v>
      </c>
      <c r="H500" s="6" t="n">
        <v>132000</v>
      </c>
    </row>
    <row r="501" customFormat="false" ht="15" hidden="false" customHeight="false" outlineLevel="0" collapsed="false">
      <c r="A501" s="11" t="n">
        <v>46211</v>
      </c>
      <c r="B501" s="11" t="n">
        <v>46226</v>
      </c>
      <c r="C501" s="11" t="n">
        <v>46219</v>
      </c>
      <c r="D501" s="5" t="s">
        <v>26</v>
      </c>
      <c r="E501" s="5" t="s">
        <v>20</v>
      </c>
      <c r="F501" s="5" t="s">
        <v>20</v>
      </c>
      <c r="G501" s="5" t="s">
        <v>40</v>
      </c>
      <c r="H501" s="6" t="n">
        <v>136000</v>
      </c>
    </row>
    <row r="502" customFormat="false" ht="15" hidden="false" customHeight="false" outlineLevel="0" collapsed="false">
      <c r="A502" s="11" t="n">
        <v>46211</v>
      </c>
      <c r="B502" s="11" t="n">
        <v>46226</v>
      </c>
      <c r="C502" s="11" t="n">
        <v>46219</v>
      </c>
      <c r="D502" s="5" t="s">
        <v>26</v>
      </c>
      <c r="E502" s="5" t="s">
        <v>21</v>
      </c>
      <c r="F502" s="5" t="s">
        <v>20</v>
      </c>
      <c r="G502" s="5" t="s">
        <v>40</v>
      </c>
      <c r="H502" s="6" t="n">
        <v>336000</v>
      </c>
    </row>
    <row r="503" customFormat="false" ht="15" hidden="false" customHeight="false" outlineLevel="0" collapsed="false">
      <c r="A503" s="11" t="n">
        <v>46212</v>
      </c>
      <c r="B503" s="11" t="n">
        <v>46226</v>
      </c>
      <c r="C503" s="11" t="n">
        <v>46219</v>
      </c>
      <c r="D503" s="5" t="s">
        <v>26</v>
      </c>
      <c r="E503" s="5" t="s">
        <v>21</v>
      </c>
      <c r="F503" s="5" t="s">
        <v>20</v>
      </c>
      <c r="G503" s="5" t="s">
        <v>40</v>
      </c>
      <c r="H503" s="6" t="n">
        <v>136000</v>
      </c>
    </row>
    <row r="504" customFormat="false" ht="15" hidden="false" customHeight="false" outlineLevel="0" collapsed="false">
      <c r="A504" s="11" t="n">
        <v>46213</v>
      </c>
      <c r="B504" s="11" t="n">
        <v>46233</v>
      </c>
      <c r="C504" s="11" t="n">
        <v>46226</v>
      </c>
      <c r="D504" s="5" t="s">
        <v>26</v>
      </c>
      <c r="E504" s="5" t="s">
        <v>21</v>
      </c>
      <c r="F504" s="5" t="s">
        <v>20</v>
      </c>
      <c r="G504" s="5" t="s">
        <v>40</v>
      </c>
      <c r="H504" s="6" t="n">
        <v>264000</v>
      </c>
    </row>
    <row r="505" customFormat="false" ht="15" hidden="false" customHeight="false" outlineLevel="0" collapsed="false">
      <c r="A505" s="11" t="n">
        <v>46216</v>
      </c>
      <c r="B505" s="11" t="n">
        <v>46233</v>
      </c>
      <c r="C505" s="11" t="n">
        <v>46226</v>
      </c>
      <c r="D505" s="5" t="s">
        <v>26</v>
      </c>
      <c r="E505" s="5" t="s">
        <v>21</v>
      </c>
      <c r="F505" s="5" t="s">
        <v>20</v>
      </c>
      <c r="G505" s="5" t="s">
        <v>40</v>
      </c>
      <c r="H505" s="6" t="n">
        <v>136000</v>
      </c>
    </row>
    <row r="506" customFormat="false" ht="15" hidden="false" customHeight="false" outlineLevel="0" collapsed="false">
      <c r="A506" s="11" t="n">
        <v>46220</v>
      </c>
      <c r="B506" s="11" t="n">
        <v>46240</v>
      </c>
      <c r="C506" s="11" t="n">
        <v>46233</v>
      </c>
      <c r="D506" s="5" t="s">
        <v>26</v>
      </c>
      <c r="E506" s="5" t="s">
        <v>21</v>
      </c>
      <c r="F506" s="5" t="s">
        <v>20</v>
      </c>
      <c r="G506" s="5" t="s">
        <v>40</v>
      </c>
      <c r="H506" s="6" t="n">
        <v>340000</v>
      </c>
    </row>
    <row r="507" customFormat="false" ht="15" hidden="false" customHeight="false" outlineLevel="0" collapsed="false">
      <c r="A507" s="11" t="n">
        <v>46223</v>
      </c>
      <c r="B507" s="11" t="n">
        <v>46240</v>
      </c>
      <c r="C507" s="11" t="n">
        <v>46233</v>
      </c>
      <c r="D507" s="5" t="s">
        <v>26</v>
      </c>
      <c r="E507" s="5" t="s">
        <v>21</v>
      </c>
      <c r="F507" s="5" t="s">
        <v>20</v>
      </c>
      <c r="G507" s="5" t="s">
        <v>40</v>
      </c>
      <c r="H507" s="6" t="n">
        <v>264000</v>
      </c>
    </row>
    <row r="508" customFormat="false" ht="15" hidden="false" customHeight="false" outlineLevel="0" collapsed="false">
      <c r="A508" s="11" t="n">
        <v>46230</v>
      </c>
      <c r="B508" s="11" t="n">
        <v>46247</v>
      </c>
      <c r="C508" s="11" t="n">
        <v>46240</v>
      </c>
      <c r="D508" s="5" t="s">
        <v>26</v>
      </c>
      <c r="E508" s="5" t="s">
        <v>21</v>
      </c>
      <c r="F508" s="5" t="s">
        <v>20</v>
      </c>
      <c r="G508" s="5" t="s">
        <v>40</v>
      </c>
      <c r="H508" s="6" t="n">
        <v>132000</v>
      </c>
    </row>
    <row r="509" customFormat="false" ht="15" hidden="false" customHeight="false" outlineLevel="0" collapsed="false">
      <c r="A509" s="11" t="n">
        <v>46233</v>
      </c>
      <c r="B509" s="11" t="n">
        <v>46247</v>
      </c>
      <c r="C509" s="11" t="n">
        <v>46240</v>
      </c>
      <c r="D509" s="5" t="s">
        <v>26</v>
      </c>
      <c r="E509" s="5" t="s">
        <v>21</v>
      </c>
      <c r="F509" s="5" t="s">
        <v>20</v>
      </c>
      <c r="G509" s="5" t="s">
        <v>40</v>
      </c>
      <c r="H509" s="6" t="n">
        <v>132000</v>
      </c>
    </row>
    <row r="510" customFormat="false" ht="15" hidden="false" customHeight="false" outlineLevel="0" collapsed="false">
      <c r="A510" s="11" t="n">
        <v>46237</v>
      </c>
      <c r="B510" s="11" t="n">
        <v>46254</v>
      </c>
      <c r="C510" s="11" t="n">
        <v>46247</v>
      </c>
      <c r="D510" s="5" t="s">
        <v>26</v>
      </c>
      <c r="E510" s="5" t="s">
        <v>21</v>
      </c>
      <c r="F510" s="5" t="s">
        <v>20</v>
      </c>
      <c r="G510" s="5" t="s">
        <v>40</v>
      </c>
      <c r="H510" s="6" t="n">
        <v>488000</v>
      </c>
    </row>
    <row r="511" customFormat="false" ht="15" hidden="false" customHeight="false" outlineLevel="0" collapsed="false">
      <c r="A511" s="11" t="n">
        <v>46238</v>
      </c>
      <c r="B511" s="11" t="n">
        <v>46254</v>
      </c>
      <c r="C511" s="11" t="n">
        <v>46247</v>
      </c>
      <c r="D511" s="5" t="s">
        <v>26</v>
      </c>
      <c r="E511" s="5" t="s">
        <v>21</v>
      </c>
      <c r="F511" s="5" t="s">
        <v>20</v>
      </c>
      <c r="G511" s="5" t="s">
        <v>40</v>
      </c>
      <c r="H511" s="6" t="n">
        <v>132000</v>
      </c>
    </row>
    <row r="512" customFormat="false" ht="15" hidden="false" customHeight="false" outlineLevel="0" collapsed="false">
      <c r="A512" s="11" t="n">
        <v>46240</v>
      </c>
      <c r="B512" s="11" t="n">
        <v>46254</v>
      </c>
      <c r="C512" s="11" t="n">
        <v>46247</v>
      </c>
      <c r="D512" s="5" t="s">
        <v>26</v>
      </c>
      <c r="E512" s="5" t="s">
        <v>21</v>
      </c>
      <c r="F512" s="5" t="s">
        <v>20</v>
      </c>
      <c r="G512" s="5" t="s">
        <v>40</v>
      </c>
      <c r="H512" s="6" t="n">
        <v>122000</v>
      </c>
    </row>
    <row r="513" customFormat="false" ht="15" hidden="false" customHeight="false" outlineLevel="0" collapsed="false">
      <c r="A513" s="11" t="n">
        <v>46241</v>
      </c>
      <c r="B513" s="11" t="n">
        <v>46261</v>
      </c>
      <c r="C513" s="11" t="n">
        <v>46254</v>
      </c>
      <c r="D513" s="5" t="s">
        <v>26</v>
      </c>
      <c r="E513" s="5" t="s">
        <v>21</v>
      </c>
      <c r="F513" s="5" t="s">
        <v>20</v>
      </c>
      <c r="G513" s="5" t="s">
        <v>40</v>
      </c>
      <c r="H513" s="6" t="n">
        <v>238000</v>
      </c>
    </row>
    <row r="514" customFormat="false" ht="15" hidden="false" customHeight="false" outlineLevel="0" collapsed="false">
      <c r="A514" s="11" t="n">
        <v>46245</v>
      </c>
      <c r="B514" s="11" t="n">
        <v>46261</v>
      </c>
      <c r="C514" s="11" t="n">
        <v>46254</v>
      </c>
      <c r="D514" s="5" t="s">
        <v>26</v>
      </c>
      <c r="E514" s="5" t="s">
        <v>21</v>
      </c>
      <c r="F514" s="5" t="s">
        <v>20</v>
      </c>
      <c r="G514" s="5" t="s">
        <v>40</v>
      </c>
      <c r="H514" s="6" t="n">
        <v>136000</v>
      </c>
    </row>
    <row r="515" customFormat="false" ht="15" hidden="false" customHeight="false" outlineLevel="0" collapsed="false">
      <c r="A515" s="11" t="n">
        <v>46246</v>
      </c>
      <c r="B515" s="11" t="n">
        <v>46261</v>
      </c>
      <c r="C515" s="11" t="n">
        <v>46254</v>
      </c>
      <c r="D515" s="5" t="s">
        <v>26</v>
      </c>
      <c r="E515" s="5" t="s">
        <v>21</v>
      </c>
      <c r="F515" s="5" t="s">
        <v>20</v>
      </c>
      <c r="G515" s="5" t="s">
        <v>40</v>
      </c>
      <c r="H515" s="6" t="n">
        <v>244000</v>
      </c>
    </row>
    <row r="516" customFormat="false" ht="15" hidden="false" customHeight="false" outlineLevel="0" collapsed="false">
      <c r="A516" s="11" t="n">
        <v>46247</v>
      </c>
      <c r="B516" s="11" t="n">
        <v>46261</v>
      </c>
      <c r="C516" s="11" t="n">
        <v>46254</v>
      </c>
      <c r="D516" s="5" t="s">
        <v>26</v>
      </c>
      <c r="E516" s="5" t="s">
        <v>21</v>
      </c>
      <c r="F516" s="5" t="s">
        <v>20</v>
      </c>
      <c r="G516" s="5" t="s">
        <v>40</v>
      </c>
      <c r="H516" s="6" t="n">
        <v>125000</v>
      </c>
    </row>
    <row r="517" customFormat="false" ht="15" hidden="false" customHeight="false" outlineLevel="0" collapsed="false">
      <c r="A517" s="11" t="n">
        <v>46248</v>
      </c>
      <c r="B517" s="11" t="n">
        <v>46268</v>
      </c>
      <c r="C517" s="11" t="n">
        <v>46261</v>
      </c>
      <c r="D517" s="5" t="s">
        <v>26</v>
      </c>
      <c r="E517" s="5" t="s">
        <v>21</v>
      </c>
      <c r="F517" s="5" t="s">
        <v>20</v>
      </c>
      <c r="G517" s="5" t="s">
        <v>40</v>
      </c>
      <c r="H517" s="6" t="n">
        <v>136000</v>
      </c>
    </row>
    <row r="518" customFormat="false" ht="15" hidden="false" customHeight="false" outlineLevel="0" collapsed="false">
      <c r="A518" s="11" t="n">
        <v>46252</v>
      </c>
      <c r="B518" s="11" t="n">
        <v>46268</v>
      </c>
      <c r="C518" s="11" t="n">
        <v>46261</v>
      </c>
      <c r="D518" s="5" t="s">
        <v>26</v>
      </c>
      <c r="E518" s="5" t="s">
        <v>21</v>
      </c>
      <c r="F518" s="5" t="s">
        <v>20</v>
      </c>
      <c r="G518" s="5" t="s">
        <v>40</v>
      </c>
      <c r="H518" s="6" t="n">
        <v>136000</v>
      </c>
    </row>
    <row r="519" customFormat="false" ht="15" hidden="false" customHeight="false" outlineLevel="0" collapsed="false">
      <c r="A519" s="11" t="n">
        <v>46255</v>
      </c>
      <c r="B519" s="11" t="n">
        <v>46275</v>
      </c>
      <c r="C519" s="11" t="n">
        <v>46268</v>
      </c>
      <c r="D519" s="5" t="s">
        <v>26</v>
      </c>
      <c r="E519" s="5" t="s">
        <v>21</v>
      </c>
      <c r="F519" s="5" t="s">
        <v>20</v>
      </c>
      <c r="G519" s="5" t="s">
        <v>40</v>
      </c>
      <c r="H519" s="6" t="n">
        <v>712000</v>
      </c>
    </row>
    <row r="520" customFormat="false" ht="15" hidden="false" customHeight="false" outlineLevel="0" collapsed="false">
      <c r="A520" s="11" t="n">
        <v>46260</v>
      </c>
      <c r="B520" s="11" t="n">
        <v>46275</v>
      </c>
      <c r="C520" s="11" t="n">
        <v>46268</v>
      </c>
      <c r="D520" s="5" t="s">
        <v>26</v>
      </c>
      <c r="E520" s="5" t="s">
        <v>21</v>
      </c>
      <c r="F520" s="5" t="s">
        <v>20</v>
      </c>
      <c r="G520" s="5" t="s">
        <v>40</v>
      </c>
      <c r="H520" s="6" t="n">
        <v>333000</v>
      </c>
    </row>
    <row r="521" customFormat="false" ht="15" hidden="false" customHeight="false" outlineLevel="0" collapsed="false">
      <c r="A521" s="11" t="n">
        <v>46262</v>
      </c>
      <c r="B521" s="11" t="n">
        <v>46282</v>
      </c>
      <c r="C521" s="11" t="n">
        <v>46275</v>
      </c>
      <c r="D521" s="5" t="s">
        <v>26</v>
      </c>
      <c r="E521" s="5" t="s">
        <v>21</v>
      </c>
      <c r="F521" s="5" t="s">
        <v>20</v>
      </c>
      <c r="G521" s="5" t="s">
        <v>40</v>
      </c>
      <c r="H521" s="6" t="n">
        <v>182000</v>
      </c>
    </row>
    <row r="522" customFormat="false" ht="15" hidden="false" customHeight="false" outlineLevel="0" collapsed="false">
      <c r="A522" s="11" t="n">
        <v>46266</v>
      </c>
      <c r="B522" s="11" t="n">
        <v>46282</v>
      </c>
      <c r="C522" s="11" t="n">
        <v>46275</v>
      </c>
      <c r="D522" s="5" t="s">
        <v>26</v>
      </c>
      <c r="E522" s="5" t="s">
        <v>21</v>
      </c>
      <c r="F522" s="5" t="s">
        <v>21</v>
      </c>
      <c r="G522" s="5" t="s">
        <v>40</v>
      </c>
      <c r="H522" s="6" t="n">
        <v>136000</v>
      </c>
    </row>
    <row r="523" customFormat="false" ht="15" hidden="false" customHeight="false" outlineLevel="0" collapsed="false">
      <c r="A523" s="11" t="n">
        <v>46267</v>
      </c>
      <c r="B523" s="11" t="n">
        <v>46282</v>
      </c>
      <c r="C523" s="11" t="n">
        <v>46275</v>
      </c>
      <c r="D523" s="5" t="s">
        <v>26</v>
      </c>
      <c r="E523" s="5" t="s">
        <v>21</v>
      </c>
      <c r="F523" s="5" t="s">
        <v>21</v>
      </c>
      <c r="G523" s="5" t="s">
        <v>40</v>
      </c>
      <c r="H523" s="6" t="n">
        <v>202000</v>
      </c>
    </row>
    <row r="524" customFormat="false" ht="15" hidden="false" customHeight="false" outlineLevel="0" collapsed="false">
      <c r="A524" s="11" t="n">
        <v>46268</v>
      </c>
      <c r="B524" s="11" t="n">
        <v>46282</v>
      </c>
      <c r="C524" s="11" t="n">
        <v>46275</v>
      </c>
      <c r="D524" s="5" t="s">
        <v>26</v>
      </c>
      <c r="E524" s="5" t="s">
        <v>21</v>
      </c>
      <c r="F524" s="5" t="s">
        <v>21</v>
      </c>
      <c r="G524" s="5" t="s">
        <v>40</v>
      </c>
      <c r="H524" s="6" t="n">
        <v>192000</v>
      </c>
    </row>
    <row r="525" customFormat="false" ht="15" hidden="false" customHeight="false" outlineLevel="0" collapsed="false">
      <c r="A525" s="11" t="n">
        <v>46274</v>
      </c>
      <c r="B525" s="11" t="n">
        <v>46289</v>
      </c>
      <c r="C525" s="11" t="n">
        <v>46282</v>
      </c>
      <c r="D525" s="5" t="s">
        <v>26</v>
      </c>
      <c r="E525" s="5" t="s">
        <v>21</v>
      </c>
      <c r="F525" s="5" t="s">
        <v>21</v>
      </c>
      <c r="G525" s="5" t="s">
        <v>40</v>
      </c>
      <c r="H525" s="6" t="n">
        <v>340000</v>
      </c>
    </row>
    <row r="526" customFormat="false" ht="15" hidden="false" customHeight="false" outlineLevel="0" collapsed="false">
      <c r="A526" s="11" t="n">
        <v>46275</v>
      </c>
      <c r="B526" s="11" t="n">
        <v>46289</v>
      </c>
      <c r="C526" s="11" t="n">
        <v>46282</v>
      </c>
      <c r="D526" s="5" t="s">
        <v>26</v>
      </c>
      <c r="E526" s="5" t="s">
        <v>21</v>
      </c>
      <c r="F526" s="5" t="s">
        <v>21</v>
      </c>
      <c r="G526" s="5" t="s">
        <v>40</v>
      </c>
      <c r="H526" s="6" t="n">
        <v>272000</v>
      </c>
    </row>
    <row r="527" customFormat="false" ht="15" hidden="false" customHeight="false" outlineLevel="0" collapsed="false">
      <c r="A527" s="11" t="n">
        <v>46283</v>
      </c>
      <c r="B527" s="11" t="n">
        <v>46303</v>
      </c>
      <c r="C527" s="11" t="n">
        <v>46296</v>
      </c>
      <c r="D527" s="5" t="s">
        <v>26</v>
      </c>
      <c r="E527" s="5" t="s">
        <v>21</v>
      </c>
      <c r="F527" s="5" t="s">
        <v>21</v>
      </c>
      <c r="G527" s="5" t="s">
        <v>40</v>
      </c>
      <c r="H527" s="6" t="n">
        <v>111000</v>
      </c>
    </row>
  </sheetData>
  <autoFilter ref="A4:H5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9"/>
  </cols>
  <sheetData>
    <row r="1" customFormat="false" ht="16.1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J3" s="10" t="s">
        <v>2</v>
      </c>
    </row>
    <row r="4" customFormat="false" ht="30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</v>
      </c>
      <c r="E4" s="4" t="s">
        <v>48</v>
      </c>
      <c r="F4" s="4" t="s">
        <v>49</v>
      </c>
      <c r="G4" s="4" t="s">
        <v>50</v>
      </c>
      <c r="H4" s="4" t="s">
        <v>51</v>
      </c>
      <c r="J4" s="4" t="s">
        <v>52</v>
      </c>
      <c r="K4" s="4" t="s">
        <v>3</v>
      </c>
      <c r="L4" s="4" t="s">
        <v>40</v>
      </c>
      <c r="M4" s="4" t="s">
        <v>24</v>
      </c>
      <c r="N4" s="4" t="s">
        <v>53</v>
      </c>
    </row>
    <row r="5" customFormat="false" ht="15" hidden="false" customHeight="false" outlineLevel="0" collapsed="false">
      <c r="A5" s="11" t="n">
        <v>41478</v>
      </c>
      <c r="B5" s="11" t="n">
        <v>41494</v>
      </c>
      <c r="C5" s="11" t="n">
        <v>41487</v>
      </c>
      <c r="D5" s="5" t="s">
        <v>27</v>
      </c>
      <c r="E5" s="5" t="s">
        <v>7</v>
      </c>
      <c r="F5" s="5" t="s">
        <v>7</v>
      </c>
      <c r="G5" s="5" t="s">
        <v>3</v>
      </c>
      <c r="H5" s="6" t="n">
        <v>11000</v>
      </c>
      <c r="J5" s="5" t="s">
        <v>7</v>
      </c>
      <c r="K5" s="6" t="n">
        <f aca="false">SUMIFS($H$5:$H$365,$E$5:$E$365,J5,$G$5:$G$365,"Corn")</f>
        <v>11000</v>
      </c>
      <c r="L5" s="6" t="n">
        <f aca="false">SUMIFS($H$5:$H$365,$E$5:$E$365,J5,$G$5:$G$365,"Soybean")</f>
        <v>0</v>
      </c>
      <c r="M5" s="6" t="n">
        <f aca="false">K5+L5</f>
        <v>11000</v>
      </c>
      <c r="N5" s="6" t="n">
        <f aca="false">COUNTIFS($E$5:$E$365,J5)</f>
        <v>1</v>
      </c>
    </row>
    <row r="6" customFormat="false" ht="15" hidden="false" customHeight="false" outlineLevel="0" collapsed="false">
      <c r="A6" s="11" t="n">
        <v>41478</v>
      </c>
      <c r="B6" s="11" t="n">
        <v>41494</v>
      </c>
      <c r="C6" s="11" t="n">
        <v>41487</v>
      </c>
      <c r="D6" s="5" t="s">
        <v>27</v>
      </c>
      <c r="E6" s="5" t="s">
        <v>8</v>
      </c>
      <c r="F6" s="5" t="s">
        <v>7</v>
      </c>
      <c r="G6" s="5" t="s">
        <v>3</v>
      </c>
      <c r="H6" s="6" t="n">
        <v>95400</v>
      </c>
      <c r="J6" s="5" t="s">
        <v>8</v>
      </c>
      <c r="K6" s="6" t="n">
        <f aca="false">SUMIFS($H$5:$H$365,$E$5:$E$365,J6,$G$5:$G$365,"Corn")</f>
        <v>677353</v>
      </c>
      <c r="L6" s="6" t="n">
        <f aca="false">SUMIFS($H$5:$H$365,$E$5:$E$365,J6,$G$5:$G$365,"Soybean")</f>
        <v>0</v>
      </c>
      <c r="M6" s="6" t="n">
        <f aca="false">K6+L6</f>
        <v>677353</v>
      </c>
      <c r="N6" s="6" t="n">
        <f aca="false">COUNTIFS($E$5:$E$365,J6)</f>
        <v>4</v>
      </c>
    </row>
    <row r="7" customFormat="false" ht="15" hidden="false" customHeight="false" outlineLevel="0" collapsed="false">
      <c r="A7" s="11" t="n">
        <v>41498</v>
      </c>
      <c r="B7" s="11" t="n">
        <v>41515</v>
      </c>
      <c r="C7" s="11" t="n">
        <v>41508</v>
      </c>
      <c r="D7" s="5" t="s">
        <v>27</v>
      </c>
      <c r="E7" s="5" t="s">
        <v>8</v>
      </c>
      <c r="F7" s="5" t="s">
        <v>7</v>
      </c>
      <c r="G7" s="5" t="s">
        <v>3</v>
      </c>
      <c r="H7" s="6" t="n">
        <v>252153</v>
      </c>
      <c r="J7" s="5" t="s">
        <v>9</v>
      </c>
      <c r="K7" s="6" t="n">
        <f aca="false">SUMIFS($H$5:$H$365,$E$5:$E$365,J7,$G$5:$G$365,"Corn")</f>
        <v>243150</v>
      </c>
      <c r="L7" s="6" t="n">
        <f aca="false">SUMIFS($H$5:$H$365,$E$5:$E$365,J7,$G$5:$G$365,"Soybean")</f>
        <v>0</v>
      </c>
      <c r="M7" s="6" t="n">
        <f aca="false">K7+L7</f>
        <v>243150</v>
      </c>
      <c r="N7" s="6" t="n">
        <f aca="false">COUNTIFS($E$5:$E$365,J7)</f>
        <v>2</v>
      </c>
    </row>
    <row r="8" customFormat="false" ht="15" hidden="false" customHeight="false" outlineLevel="0" collapsed="false">
      <c r="A8" s="11" t="n">
        <v>41540</v>
      </c>
      <c r="B8" s="11" t="n">
        <v>41557</v>
      </c>
      <c r="C8" s="11" t="n">
        <v>41550</v>
      </c>
      <c r="D8" s="5" t="s">
        <v>27</v>
      </c>
      <c r="E8" s="5" t="s">
        <v>8</v>
      </c>
      <c r="F8" s="5" t="s">
        <v>8</v>
      </c>
      <c r="G8" s="5" t="s">
        <v>3</v>
      </c>
      <c r="H8" s="6" t="n">
        <v>197200</v>
      </c>
      <c r="J8" s="5" t="s">
        <v>10</v>
      </c>
      <c r="K8" s="6" t="n">
        <f aca="false">SUMIFS($H$5:$H$365,$E$5:$E$365,J8,$G$5:$G$365,"Corn")</f>
        <v>460440</v>
      </c>
      <c r="L8" s="6" t="n">
        <f aca="false">SUMIFS($H$5:$H$365,$E$5:$E$365,J8,$G$5:$G$365,"Soybean")</f>
        <v>47500</v>
      </c>
      <c r="M8" s="6" t="n">
        <f aca="false">K8+L8</f>
        <v>507940</v>
      </c>
      <c r="N8" s="6" t="n">
        <f aca="false">COUNTIFS($E$5:$E$365,J8)</f>
        <v>5</v>
      </c>
    </row>
    <row r="9" customFormat="false" ht="15" hidden="false" customHeight="false" outlineLevel="0" collapsed="false">
      <c r="A9" s="11" t="n">
        <v>41571</v>
      </c>
      <c r="B9" s="11" t="n">
        <v>41585</v>
      </c>
      <c r="C9" s="11" t="n">
        <v>41578</v>
      </c>
      <c r="D9" s="5" t="s">
        <v>27</v>
      </c>
      <c r="E9" s="5" t="s">
        <v>9</v>
      </c>
      <c r="F9" s="5" t="s">
        <v>8</v>
      </c>
      <c r="G9" s="5" t="s">
        <v>3</v>
      </c>
      <c r="H9" s="6" t="n">
        <v>210000</v>
      </c>
      <c r="J9" s="5" t="s">
        <v>11</v>
      </c>
      <c r="K9" s="6" t="n">
        <f aca="false">SUMIFS($H$5:$H$365,$E$5:$E$365,J9,$G$5:$G$365,"Corn")</f>
        <v>2835048</v>
      </c>
      <c r="L9" s="6" t="n">
        <f aca="false">SUMIFS($H$5:$H$365,$E$5:$E$365,J9,$G$5:$G$365,"Soybean")</f>
        <v>517000</v>
      </c>
      <c r="M9" s="6" t="n">
        <f aca="false">K9+L9</f>
        <v>3352048</v>
      </c>
      <c r="N9" s="6" t="n">
        <f aca="false">COUNTIFS($E$5:$E$365,J9)</f>
        <v>15</v>
      </c>
    </row>
    <row r="10" customFormat="false" ht="15" hidden="false" customHeight="false" outlineLevel="0" collapsed="false">
      <c r="A10" s="11" t="n">
        <v>41612</v>
      </c>
      <c r="B10" s="11" t="n">
        <v>41627</v>
      </c>
      <c r="C10" s="11" t="n">
        <v>41620</v>
      </c>
      <c r="D10" s="5" t="s">
        <v>27</v>
      </c>
      <c r="E10" s="5" t="s">
        <v>8</v>
      </c>
      <c r="F10" s="5" t="s">
        <v>8</v>
      </c>
      <c r="G10" s="5" t="s">
        <v>3</v>
      </c>
      <c r="H10" s="6" t="n">
        <v>132600</v>
      </c>
      <c r="J10" s="5" t="s">
        <v>12</v>
      </c>
      <c r="K10" s="6" t="n">
        <f aca="false">SUMIFS($H$5:$H$365,$E$5:$E$365,J10,$G$5:$G$365,"Corn")</f>
        <v>4573677</v>
      </c>
      <c r="L10" s="6" t="n">
        <f aca="false">SUMIFS($H$5:$H$365,$E$5:$E$365,J10,$G$5:$G$365,"Soybean")</f>
        <v>601546</v>
      </c>
      <c r="M10" s="6" t="n">
        <f aca="false">K10+L10</f>
        <v>5175223</v>
      </c>
      <c r="N10" s="6" t="n">
        <f aca="false">COUNTIFS($E$5:$E$365,J10)</f>
        <v>30</v>
      </c>
    </row>
    <row r="11" customFormat="false" ht="15" hidden="false" customHeight="false" outlineLevel="0" collapsed="false">
      <c r="A11" s="11" t="n">
        <v>41612</v>
      </c>
      <c r="B11" s="11" t="n">
        <v>41627</v>
      </c>
      <c r="C11" s="11" t="n">
        <v>41620</v>
      </c>
      <c r="D11" s="5" t="s">
        <v>27</v>
      </c>
      <c r="E11" s="5" t="s">
        <v>9</v>
      </c>
      <c r="F11" s="5" t="s">
        <v>8</v>
      </c>
      <c r="G11" s="5" t="s">
        <v>3</v>
      </c>
      <c r="H11" s="6" t="n">
        <v>33150</v>
      </c>
      <c r="J11" s="5" t="s">
        <v>13</v>
      </c>
      <c r="K11" s="6" t="n">
        <f aca="false">SUMIFS($H$5:$H$365,$E$5:$E$365,J11,$G$5:$G$365,"Corn")</f>
        <v>5111605</v>
      </c>
      <c r="L11" s="6" t="n">
        <f aca="false">SUMIFS($H$5:$H$365,$E$5:$E$365,J11,$G$5:$G$365,"Soybean")</f>
        <v>1707246</v>
      </c>
      <c r="M11" s="6" t="n">
        <f aca="false">K11+L11</f>
        <v>6818851</v>
      </c>
      <c r="N11" s="6" t="n">
        <f aca="false">COUNTIFS($E$5:$E$365,J11)</f>
        <v>29</v>
      </c>
    </row>
    <row r="12" customFormat="false" ht="15" hidden="false" customHeight="false" outlineLevel="0" collapsed="false">
      <c r="A12" s="11" t="n">
        <v>42383</v>
      </c>
      <c r="B12" s="11" t="n">
        <v>42397</v>
      </c>
      <c r="C12" s="11" t="n">
        <v>42390</v>
      </c>
      <c r="D12" s="5" t="s">
        <v>27</v>
      </c>
      <c r="E12" s="5" t="s">
        <v>10</v>
      </c>
      <c r="F12" s="5" t="s">
        <v>10</v>
      </c>
      <c r="G12" s="5" t="s">
        <v>3</v>
      </c>
      <c r="H12" s="6" t="n">
        <v>102100</v>
      </c>
      <c r="J12" s="5" t="s">
        <v>14</v>
      </c>
      <c r="K12" s="6" t="n">
        <f aca="false">SUMIFS($H$5:$H$365,$E$5:$E$365,J12,$G$5:$G$365,"Corn")</f>
        <v>5360532</v>
      </c>
      <c r="L12" s="6" t="n">
        <f aca="false">SUMIFS($H$5:$H$365,$E$5:$E$365,J12,$G$5:$G$365,"Soybean")</f>
        <v>1386584</v>
      </c>
      <c r="M12" s="6" t="n">
        <f aca="false">K12+L12</f>
        <v>6747116</v>
      </c>
      <c r="N12" s="6" t="n">
        <f aca="false">COUNTIFS($E$5:$E$365,J12)</f>
        <v>27</v>
      </c>
    </row>
    <row r="13" customFormat="false" ht="15" hidden="false" customHeight="false" outlineLevel="0" collapsed="false">
      <c r="A13" s="11" t="n">
        <v>42389</v>
      </c>
      <c r="B13" s="11" t="n">
        <v>42404</v>
      </c>
      <c r="C13" s="11" t="n">
        <v>42397</v>
      </c>
      <c r="D13" s="5" t="s">
        <v>27</v>
      </c>
      <c r="E13" s="5" t="s">
        <v>10</v>
      </c>
      <c r="F13" s="5" t="s">
        <v>10</v>
      </c>
      <c r="G13" s="5" t="s">
        <v>3</v>
      </c>
      <c r="H13" s="6" t="n">
        <v>243100</v>
      </c>
      <c r="J13" s="5" t="s">
        <v>15</v>
      </c>
      <c r="K13" s="6" t="n">
        <f aca="false">SUMIFS($H$5:$H$365,$E$5:$E$365,J13,$G$5:$G$365,"Corn")</f>
        <v>4544553</v>
      </c>
      <c r="L13" s="6" t="n">
        <f aca="false">SUMIFS($H$5:$H$365,$E$5:$E$365,J13,$G$5:$G$365,"Soybean")</f>
        <v>1233013</v>
      </c>
      <c r="M13" s="6" t="n">
        <f aca="false">K13+L13</f>
        <v>5777566</v>
      </c>
      <c r="N13" s="6" t="n">
        <f aca="false">COUNTIFS($E$5:$E$365,J13)</f>
        <v>31</v>
      </c>
    </row>
    <row r="14" customFormat="false" ht="15" hidden="false" customHeight="false" outlineLevel="0" collapsed="false">
      <c r="A14" s="11" t="n">
        <v>42408</v>
      </c>
      <c r="B14" s="11" t="n">
        <v>42425</v>
      </c>
      <c r="C14" s="11" t="n">
        <v>42418</v>
      </c>
      <c r="D14" s="5" t="s">
        <v>27</v>
      </c>
      <c r="E14" s="5" t="s">
        <v>10</v>
      </c>
      <c r="F14" s="5" t="s">
        <v>10</v>
      </c>
      <c r="G14" s="5" t="s">
        <v>3</v>
      </c>
      <c r="H14" s="6" t="n">
        <v>100000</v>
      </c>
      <c r="J14" s="5" t="s">
        <v>16</v>
      </c>
      <c r="K14" s="6" t="n">
        <f aca="false">SUMIFS($H$5:$H$365,$E$5:$E$365,J14,$G$5:$G$365,"Corn")</f>
        <v>5509685</v>
      </c>
      <c r="L14" s="6" t="n">
        <f aca="false">SUMIFS($H$5:$H$365,$E$5:$E$365,J14,$G$5:$G$365,"Soybean")</f>
        <v>1900466</v>
      </c>
      <c r="M14" s="6" t="n">
        <f aca="false">K14+L14</f>
        <v>7410151</v>
      </c>
      <c r="N14" s="6" t="n">
        <f aca="false">COUNTIFS($E$5:$E$365,J14)</f>
        <v>38</v>
      </c>
    </row>
    <row r="15" customFormat="false" ht="15" hidden="false" customHeight="false" outlineLevel="0" collapsed="false">
      <c r="A15" s="11" t="n">
        <v>42478</v>
      </c>
      <c r="B15" s="11" t="n">
        <v>42495</v>
      </c>
      <c r="C15" s="11" t="n">
        <v>42488</v>
      </c>
      <c r="D15" s="5" t="s">
        <v>27</v>
      </c>
      <c r="E15" s="5" t="s">
        <v>10</v>
      </c>
      <c r="F15" s="5" t="s">
        <v>10</v>
      </c>
      <c r="G15" s="5" t="s">
        <v>40</v>
      </c>
      <c r="H15" s="6" t="n">
        <v>47500</v>
      </c>
      <c r="J15" s="5" t="s">
        <v>17</v>
      </c>
      <c r="K15" s="6" t="n">
        <f aca="false">SUMIFS($H$5:$H$365,$E$5:$E$365,J15,$G$5:$G$365,"Corn")</f>
        <v>4649566</v>
      </c>
      <c r="L15" s="6" t="n">
        <f aca="false">SUMIFS($H$5:$H$365,$E$5:$E$365,J15,$G$5:$G$365,"Soybean")</f>
        <v>1079559</v>
      </c>
      <c r="M15" s="6" t="n">
        <f aca="false">K15+L15</f>
        <v>5729125</v>
      </c>
      <c r="N15" s="6" t="n">
        <f aca="false">COUNTIFS($E$5:$E$365,J15)</f>
        <v>29</v>
      </c>
    </row>
    <row r="16" customFormat="false" ht="15" hidden="false" customHeight="false" outlineLevel="0" collapsed="false">
      <c r="A16" s="11" t="n">
        <v>42478</v>
      </c>
      <c r="B16" s="11" t="n">
        <v>42495</v>
      </c>
      <c r="C16" s="11" t="n">
        <v>42488</v>
      </c>
      <c r="D16" s="5" t="s">
        <v>27</v>
      </c>
      <c r="E16" s="5" t="s">
        <v>11</v>
      </c>
      <c r="F16" s="5" t="s">
        <v>10</v>
      </c>
      <c r="G16" s="5" t="s">
        <v>40</v>
      </c>
      <c r="H16" s="6" t="n">
        <v>332500</v>
      </c>
      <c r="J16" s="5" t="s">
        <v>18</v>
      </c>
      <c r="K16" s="6" t="n">
        <f aca="false">SUMIFS($H$5:$H$365,$E$5:$E$365,J16,$G$5:$G$365,"Corn")</f>
        <v>6488894</v>
      </c>
      <c r="L16" s="6" t="n">
        <f aca="false">SUMIFS($H$5:$H$365,$E$5:$E$365,J16,$G$5:$G$365,"Soybean")</f>
        <v>1099394</v>
      </c>
      <c r="M16" s="6" t="n">
        <f aca="false">K16+L16</f>
        <v>7588288</v>
      </c>
      <c r="N16" s="6" t="n">
        <f aca="false">COUNTIFS($E$5:$E$365,J16)</f>
        <v>43</v>
      </c>
    </row>
    <row r="17" customFormat="false" ht="15" hidden="false" customHeight="false" outlineLevel="0" collapsed="false">
      <c r="A17" s="11" t="n">
        <v>42551</v>
      </c>
      <c r="B17" s="11" t="n">
        <v>42565</v>
      </c>
      <c r="C17" s="11" t="n">
        <v>42558</v>
      </c>
      <c r="D17" s="5" t="s">
        <v>27</v>
      </c>
      <c r="E17" s="5" t="s">
        <v>11</v>
      </c>
      <c r="F17" s="5" t="s">
        <v>10</v>
      </c>
      <c r="G17" s="5" t="s">
        <v>3</v>
      </c>
      <c r="H17" s="6" t="n">
        <v>80265</v>
      </c>
      <c r="J17" s="5" t="s">
        <v>19</v>
      </c>
      <c r="K17" s="6" t="n">
        <f aca="false">SUMIFS($H$5:$H$365,$E$5:$E$365,J17,$G$5:$G$365,"Corn")</f>
        <v>7755458</v>
      </c>
      <c r="L17" s="6" t="n">
        <f aca="false">SUMIFS($H$5:$H$365,$E$5:$E$365,J17,$G$5:$G$365,"Soybean")</f>
        <v>632756</v>
      </c>
      <c r="M17" s="6" t="n">
        <f aca="false">K17+L17</f>
        <v>8388214</v>
      </c>
      <c r="N17" s="6" t="n">
        <f aca="false">COUNTIFS($E$5:$E$365,J17)</f>
        <v>44</v>
      </c>
    </row>
    <row r="18" customFormat="false" ht="15" hidden="false" customHeight="false" outlineLevel="0" collapsed="false">
      <c r="A18" s="11" t="n">
        <v>42551</v>
      </c>
      <c r="B18" s="11" t="n">
        <v>42565</v>
      </c>
      <c r="C18" s="11" t="n">
        <v>42558</v>
      </c>
      <c r="D18" s="5" t="s">
        <v>27</v>
      </c>
      <c r="E18" s="5" t="s">
        <v>12</v>
      </c>
      <c r="F18" s="5" t="s">
        <v>10</v>
      </c>
      <c r="G18" s="5" t="s">
        <v>3</v>
      </c>
      <c r="H18" s="6" t="n">
        <v>40135</v>
      </c>
      <c r="J18" s="5" t="s">
        <v>20</v>
      </c>
      <c r="K18" s="6" t="n">
        <f aca="false">SUMIFS($H$5:$H$365,$E$5:$E$365,J18,$G$5:$G$365,"Corn")</f>
        <v>8046653</v>
      </c>
      <c r="L18" s="6" t="n">
        <f aca="false">SUMIFS($H$5:$H$365,$E$5:$E$365,J18,$G$5:$G$365,"Soybean")</f>
        <v>1390276</v>
      </c>
      <c r="M18" s="6" t="n">
        <f aca="false">K18+L18</f>
        <v>9436929</v>
      </c>
      <c r="N18" s="6" t="n">
        <f aca="false">COUNTIFS($E$5:$E$365,J18)</f>
        <v>42</v>
      </c>
    </row>
    <row r="19" customFormat="false" ht="15" hidden="false" customHeight="false" outlineLevel="0" collapsed="false">
      <c r="A19" s="11" t="n">
        <v>42558</v>
      </c>
      <c r="B19" s="11" t="n">
        <v>42572</v>
      </c>
      <c r="C19" s="11" t="n">
        <v>42565</v>
      </c>
      <c r="D19" s="5" t="s">
        <v>27</v>
      </c>
      <c r="E19" s="5" t="s">
        <v>10</v>
      </c>
      <c r="F19" s="5" t="s">
        <v>10</v>
      </c>
      <c r="G19" s="5" t="s">
        <v>3</v>
      </c>
      <c r="H19" s="6" t="n">
        <v>15240</v>
      </c>
      <c r="J19" s="5" t="s">
        <v>21</v>
      </c>
      <c r="K19" s="6" t="n">
        <f aca="false">SUMIFS($H$5:$H$365,$E$5:$E$365,J19,$G$5:$G$365,"Corn")</f>
        <v>2429977</v>
      </c>
      <c r="L19" s="6" t="n">
        <f aca="false">SUMIFS($H$5:$H$365,$E$5:$E$365,J19,$G$5:$G$365,"Soybean")</f>
        <v>256634</v>
      </c>
      <c r="M19" s="6" t="n">
        <f aca="false">K19+L19</f>
        <v>2686611</v>
      </c>
      <c r="N19" s="6" t="n">
        <f aca="false">COUNTIFS($E$5:$E$365,J19)</f>
        <v>16</v>
      </c>
    </row>
    <row r="20" customFormat="false" ht="15" hidden="false" customHeight="false" outlineLevel="0" collapsed="false">
      <c r="A20" s="11" t="n">
        <v>42558</v>
      </c>
      <c r="B20" s="11" t="n">
        <v>42572</v>
      </c>
      <c r="C20" s="11" t="n">
        <v>42565</v>
      </c>
      <c r="D20" s="5" t="s">
        <v>27</v>
      </c>
      <c r="E20" s="5" t="s">
        <v>11</v>
      </c>
      <c r="F20" s="5" t="s">
        <v>10</v>
      </c>
      <c r="G20" s="5" t="s">
        <v>3</v>
      </c>
      <c r="H20" s="6" t="n">
        <v>91440</v>
      </c>
      <c r="J20" s="5" t="s">
        <v>22</v>
      </c>
      <c r="K20" s="6" t="n">
        <f aca="false">SUMIFS($H$5:$H$365,$E$5:$E$365,J20,$G$5:$G$365,"Corn")</f>
        <v>480689</v>
      </c>
      <c r="L20" s="6" t="n">
        <f aca="false">SUMIFS($H$5:$H$365,$E$5:$E$365,J20,$G$5:$G$365,"Soybean")</f>
        <v>0</v>
      </c>
      <c r="M20" s="6" t="n">
        <f aca="false">K20+L20</f>
        <v>480689</v>
      </c>
      <c r="N20" s="6" t="n">
        <f aca="false">COUNTIFS($E$5:$E$365,J20)</f>
        <v>4</v>
      </c>
    </row>
    <row r="21" customFormat="false" ht="15" hidden="false" customHeight="false" outlineLevel="0" collapsed="false">
      <c r="A21" s="11" t="n">
        <v>42558</v>
      </c>
      <c r="B21" s="11" t="n">
        <v>42572</v>
      </c>
      <c r="C21" s="11" t="n">
        <v>42565</v>
      </c>
      <c r="D21" s="5" t="s">
        <v>27</v>
      </c>
      <c r="E21" s="5" t="s">
        <v>12</v>
      </c>
      <c r="F21" s="5" t="s">
        <v>10</v>
      </c>
      <c r="G21" s="5" t="s">
        <v>3</v>
      </c>
      <c r="H21" s="6" t="n">
        <v>30480</v>
      </c>
      <c r="J21" s="5" t="s">
        <v>23</v>
      </c>
      <c r="K21" s="6" t="n">
        <f aca="false">SUMIFS($H$5:$H$365,$E$5:$E$365,J21,$G$5:$G$365,"Corn")</f>
        <v>22400</v>
      </c>
      <c r="L21" s="6" t="n">
        <f aca="false">SUMIFS($H$5:$H$365,$E$5:$E$365,J21,$G$5:$G$365,"Soybean")</f>
        <v>0</v>
      </c>
      <c r="M21" s="6" t="n">
        <f aca="false">K21+L21</f>
        <v>22400</v>
      </c>
      <c r="N21" s="6" t="n">
        <f aca="false">COUNTIFS($E$5:$E$365,J21)</f>
        <v>1</v>
      </c>
    </row>
    <row r="22" customFormat="false" ht="15" hidden="false" customHeight="false" outlineLevel="0" collapsed="false">
      <c r="A22" s="11" t="n">
        <v>42590</v>
      </c>
      <c r="B22" s="11" t="n">
        <v>42607</v>
      </c>
      <c r="C22" s="11" t="n">
        <v>42600</v>
      </c>
      <c r="D22" s="5" t="s">
        <v>27</v>
      </c>
      <c r="E22" s="5" t="s">
        <v>11</v>
      </c>
      <c r="F22" s="5" t="s">
        <v>10</v>
      </c>
      <c r="G22" s="5" t="s">
        <v>3</v>
      </c>
      <c r="H22" s="6" t="n">
        <v>162569</v>
      </c>
      <c r="J22" s="8" t="s">
        <v>24</v>
      </c>
      <c r="K22" s="9" t="n">
        <f aca="false">SUM(K5:K21)</f>
        <v>59200680</v>
      </c>
      <c r="L22" s="9" t="n">
        <f aca="false">SUM(L5:L21)</f>
        <v>11851974</v>
      </c>
      <c r="M22" s="9" t="n">
        <f aca="false">SUM(M5:M21)</f>
        <v>71052654</v>
      </c>
      <c r="N22" s="9" t="n">
        <f aca="false">SUM(N5:N21)</f>
        <v>361</v>
      </c>
    </row>
    <row r="23" customFormat="false" ht="15" hidden="false" customHeight="false" outlineLevel="0" collapsed="false">
      <c r="A23" s="11" t="n">
        <v>42592</v>
      </c>
      <c r="B23" s="11" t="n">
        <v>42607</v>
      </c>
      <c r="C23" s="11" t="n">
        <v>42600</v>
      </c>
      <c r="D23" s="5" t="s">
        <v>27</v>
      </c>
      <c r="E23" s="5" t="s">
        <v>11</v>
      </c>
      <c r="F23" s="5" t="s">
        <v>10</v>
      </c>
      <c r="G23" s="5" t="s">
        <v>3</v>
      </c>
      <c r="H23" s="6" t="n">
        <v>143650</v>
      </c>
    </row>
    <row r="24" customFormat="false" ht="15" hidden="false" customHeight="false" outlineLevel="0" collapsed="false">
      <c r="A24" s="11" t="n">
        <v>42613</v>
      </c>
      <c r="B24" s="11" t="n">
        <v>42628</v>
      </c>
      <c r="C24" s="11" t="n">
        <v>42621</v>
      </c>
      <c r="D24" s="5" t="s">
        <v>27</v>
      </c>
      <c r="E24" s="5" t="s">
        <v>11</v>
      </c>
      <c r="F24" s="5" t="s">
        <v>10</v>
      </c>
      <c r="G24" s="5" t="s">
        <v>3</v>
      </c>
      <c r="H24" s="6" t="n">
        <v>275000</v>
      </c>
    </row>
    <row r="25" customFormat="false" ht="15" hidden="false" customHeight="false" outlineLevel="0" collapsed="false">
      <c r="A25" s="11" t="n">
        <v>42614</v>
      </c>
      <c r="B25" s="11" t="n">
        <v>42628</v>
      </c>
      <c r="C25" s="11" t="n">
        <v>42621</v>
      </c>
      <c r="D25" s="5" t="s">
        <v>27</v>
      </c>
      <c r="E25" s="5" t="s">
        <v>11</v>
      </c>
      <c r="F25" s="5" t="s">
        <v>11</v>
      </c>
      <c r="G25" s="5" t="s">
        <v>3</v>
      </c>
      <c r="H25" s="6" t="n">
        <v>99060</v>
      </c>
      <c r="J25" s="10" t="s">
        <v>42</v>
      </c>
    </row>
    <row r="26" customFormat="false" ht="15" hidden="false" customHeight="false" outlineLevel="0" collapsed="false">
      <c r="A26" s="11" t="n">
        <v>42614</v>
      </c>
      <c r="B26" s="11" t="n">
        <v>42628</v>
      </c>
      <c r="C26" s="11" t="n">
        <v>42621</v>
      </c>
      <c r="D26" s="5" t="s">
        <v>27</v>
      </c>
      <c r="E26" s="5" t="s">
        <v>12</v>
      </c>
      <c r="F26" s="5" t="s">
        <v>11</v>
      </c>
      <c r="G26" s="5" t="s">
        <v>3</v>
      </c>
      <c r="H26" s="6" t="n">
        <v>30480</v>
      </c>
      <c r="J26" s="4" t="s">
        <v>54</v>
      </c>
      <c r="K26" s="4" t="s">
        <v>3</v>
      </c>
      <c r="L26" s="4" t="s">
        <v>40</v>
      </c>
      <c r="M26" s="4" t="s">
        <v>24</v>
      </c>
      <c r="N26" s="4" t="s">
        <v>53</v>
      </c>
    </row>
    <row r="27" customFormat="false" ht="15" hidden="false" customHeight="false" outlineLevel="0" collapsed="false">
      <c r="A27" s="11" t="n">
        <v>42632</v>
      </c>
      <c r="B27" s="11" t="n">
        <v>42649</v>
      </c>
      <c r="C27" s="11" t="n">
        <v>42642</v>
      </c>
      <c r="D27" s="5" t="s">
        <v>27</v>
      </c>
      <c r="E27" s="5" t="s">
        <v>11</v>
      </c>
      <c r="F27" s="5" t="s">
        <v>11</v>
      </c>
      <c r="G27" s="5" t="s">
        <v>3</v>
      </c>
      <c r="H27" s="6" t="n">
        <v>191000</v>
      </c>
      <c r="J27" s="5" t="s">
        <v>7</v>
      </c>
      <c r="K27" s="6" t="n">
        <f aca="false">SUMIFS($H$5:$H$365,$F$5:$F$365,J27,$G$5:$G$365,"Corn")</f>
        <v>358553</v>
      </c>
      <c r="L27" s="6" t="n">
        <f aca="false">SUMIFS($H$5:$H$365,$F$5:$F$365,J27,$G$5:$G$365,"Soybean")</f>
        <v>0</v>
      </c>
      <c r="M27" s="6" t="n">
        <f aca="false">K27+L27</f>
        <v>358553</v>
      </c>
      <c r="N27" s="6" t="n">
        <f aca="false">COUNTIFS($F$5:$F$365,J27)</f>
        <v>3</v>
      </c>
    </row>
    <row r="28" customFormat="false" ht="15" hidden="false" customHeight="false" outlineLevel="0" collapsed="false">
      <c r="A28" s="11" t="n">
        <v>42641</v>
      </c>
      <c r="B28" s="11" t="n">
        <v>42656</v>
      </c>
      <c r="C28" s="11" t="n">
        <v>42649</v>
      </c>
      <c r="D28" s="5" t="s">
        <v>27</v>
      </c>
      <c r="E28" s="5" t="s">
        <v>11</v>
      </c>
      <c r="F28" s="5" t="s">
        <v>11</v>
      </c>
      <c r="G28" s="5" t="s">
        <v>3</v>
      </c>
      <c r="H28" s="6" t="n">
        <v>1036320</v>
      </c>
      <c r="J28" s="5" t="s">
        <v>8</v>
      </c>
      <c r="K28" s="6" t="n">
        <f aca="false">SUMIFS($H$5:$H$365,$F$5:$F$365,J28,$G$5:$G$365,"Corn")</f>
        <v>572950</v>
      </c>
      <c r="L28" s="6" t="n">
        <f aca="false">SUMIFS($H$5:$H$365,$F$5:$F$365,J28,$G$5:$G$365,"Soybean")</f>
        <v>0</v>
      </c>
      <c r="M28" s="6" t="n">
        <f aca="false">K28+L28</f>
        <v>572950</v>
      </c>
      <c r="N28" s="6" t="n">
        <f aca="false">COUNTIFS($F$5:$F$365,J28)</f>
        <v>4</v>
      </c>
    </row>
    <row r="29" customFormat="false" ht="15" hidden="false" customHeight="false" outlineLevel="0" collapsed="false">
      <c r="A29" s="11" t="n">
        <v>42641</v>
      </c>
      <c r="B29" s="11" t="n">
        <v>42656</v>
      </c>
      <c r="C29" s="11" t="n">
        <v>42649</v>
      </c>
      <c r="D29" s="5" t="s">
        <v>27</v>
      </c>
      <c r="E29" s="5" t="s">
        <v>12</v>
      </c>
      <c r="F29" s="5" t="s">
        <v>11</v>
      </c>
      <c r="G29" s="5" t="s">
        <v>3</v>
      </c>
      <c r="H29" s="6" t="n">
        <v>541020</v>
      </c>
      <c r="J29" s="5" t="s">
        <v>10</v>
      </c>
      <c r="K29" s="6" t="n">
        <f aca="false">SUMIFS($H$5:$H$365,$F$5:$F$365,J29,$G$5:$G$365,"Corn")</f>
        <v>1283979</v>
      </c>
      <c r="L29" s="6" t="n">
        <f aca="false">SUMIFS($H$5:$H$365,$F$5:$F$365,J29,$G$5:$G$365,"Soybean")</f>
        <v>380000</v>
      </c>
      <c r="M29" s="6" t="n">
        <f aca="false">K29+L29</f>
        <v>1663979</v>
      </c>
      <c r="N29" s="6" t="n">
        <f aca="false">COUNTIFS($F$5:$F$365,J29)</f>
        <v>13</v>
      </c>
    </row>
    <row r="30" customFormat="false" ht="15" hidden="false" customHeight="false" outlineLevel="0" collapsed="false">
      <c r="A30" s="11" t="n">
        <v>42675</v>
      </c>
      <c r="B30" s="11" t="n">
        <v>42691</v>
      </c>
      <c r="C30" s="11" t="n">
        <v>42684</v>
      </c>
      <c r="D30" s="5" t="s">
        <v>27</v>
      </c>
      <c r="E30" s="5" t="s">
        <v>11</v>
      </c>
      <c r="F30" s="5" t="s">
        <v>11</v>
      </c>
      <c r="G30" s="5" t="s">
        <v>3</v>
      </c>
      <c r="H30" s="6" t="n">
        <v>212344</v>
      </c>
      <c r="J30" s="5" t="s">
        <v>11</v>
      </c>
      <c r="K30" s="6" t="n">
        <f aca="false">SUMIFS($H$5:$H$365,$F$5:$F$365,J30,$G$5:$G$365,"Corn")</f>
        <v>3706744</v>
      </c>
      <c r="L30" s="6" t="n">
        <f aca="false">SUMIFS($H$5:$H$365,$F$5:$F$365,J30,$G$5:$G$365,"Soybean")</f>
        <v>254500</v>
      </c>
      <c r="M30" s="6" t="n">
        <f aca="false">K30+L30</f>
        <v>3961244</v>
      </c>
      <c r="N30" s="6" t="n">
        <f aca="false">COUNTIFS($F$5:$F$365,J30)</f>
        <v>20</v>
      </c>
    </row>
    <row r="31" customFormat="false" ht="15" hidden="false" customHeight="false" outlineLevel="0" collapsed="false">
      <c r="A31" s="11" t="n">
        <v>42677</v>
      </c>
      <c r="B31" s="11" t="n">
        <v>42691</v>
      </c>
      <c r="C31" s="11" t="n">
        <v>42684</v>
      </c>
      <c r="D31" s="5" t="s">
        <v>27</v>
      </c>
      <c r="E31" s="5" t="s">
        <v>11</v>
      </c>
      <c r="F31" s="5" t="s">
        <v>11</v>
      </c>
      <c r="G31" s="5" t="s">
        <v>3</v>
      </c>
      <c r="H31" s="6" t="n">
        <v>432000</v>
      </c>
      <c r="J31" s="5" t="s">
        <v>12</v>
      </c>
      <c r="K31" s="6" t="n">
        <f aca="false">SUMIFS($H$5:$H$365,$F$5:$F$365,J31,$G$5:$G$365,"Corn")</f>
        <v>3933705</v>
      </c>
      <c r="L31" s="6" t="n">
        <f aca="false">SUMIFS($H$5:$H$365,$F$5:$F$365,J31,$G$5:$G$365,"Soybean")</f>
        <v>1280216</v>
      </c>
      <c r="M31" s="6" t="n">
        <f aca="false">K31+L31</f>
        <v>5213921</v>
      </c>
      <c r="N31" s="6" t="n">
        <f aca="false">COUNTIFS($F$5:$F$365,J31)</f>
        <v>30</v>
      </c>
    </row>
    <row r="32" customFormat="false" ht="15" hidden="false" customHeight="false" outlineLevel="0" collapsed="false">
      <c r="A32" s="11" t="n">
        <v>42726</v>
      </c>
      <c r="B32" s="11" t="n">
        <v>42740</v>
      </c>
      <c r="C32" s="11" t="n">
        <v>42733</v>
      </c>
      <c r="D32" s="5" t="s">
        <v>27</v>
      </c>
      <c r="E32" s="5" t="s">
        <v>11</v>
      </c>
      <c r="F32" s="5" t="s">
        <v>11</v>
      </c>
      <c r="G32" s="5" t="s">
        <v>3</v>
      </c>
      <c r="H32" s="6" t="n">
        <v>100400</v>
      </c>
      <c r="J32" s="5" t="s">
        <v>13</v>
      </c>
      <c r="K32" s="6" t="n">
        <f aca="false">SUMIFS($H$5:$H$365,$F$5:$F$365,J32,$G$5:$G$365,"Corn")</f>
        <v>6118191</v>
      </c>
      <c r="L32" s="6" t="n">
        <f aca="false">SUMIFS($H$5:$H$365,$F$5:$F$365,J32,$G$5:$G$365,"Soybean")</f>
        <v>1324498</v>
      </c>
      <c r="M32" s="6" t="n">
        <f aca="false">K32+L32</f>
        <v>7442689</v>
      </c>
      <c r="N32" s="6" t="n">
        <f aca="false">COUNTIFS($F$5:$F$365,J32)</f>
        <v>26</v>
      </c>
    </row>
    <row r="33" customFormat="false" ht="15" hidden="false" customHeight="false" outlineLevel="0" collapsed="false">
      <c r="A33" s="11" t="n">
        <v>42759</v>
      </c>
      <c r="B33" s="11" t="n">
        <v>42775</v>
      </c>
      <c r="C33" s="11" t="n">
        <v>42768</v>
      </c>
      <c r="D33" s="5" t="s">
        <v>27</v>
      </c>
      <c r="E33" s="5" t="s">
        <v>11</v>
      </c>
      <c r="F33" s="5" t="s">
        <v>11</v>
      </c>
      <c r="G33" s="5" t="s">
        <v>40</v>
      </c>
      <c r="H33" s="6" t="n">
        <v>42000</v>
      </c>
      <c r="J33" s="5" t="s">
        <v>14</v>
      </c>
      <c r="K33" s="6" t="n">
        <f aca="false">SUMIFS($H$5:$H$365,$F$5:$F$365,J33,$G$5:$G$365,"Corn")</f>
        <v>4557643</v>
      </c>
      <c r="L33" s="6" t="n">
        <f aca="false">SUMIFS($H$5:$H$365,$F$5:$F$365,J33,$G$5:$G$365,"Soybean")</f>
        <v>1685577</v>
      </c>
      <c r="M33" s="6" t="n">
        <f aca="false">K33+L33</f>
        <v>6243220</v>
      </c>
      <c r="N33" s="6" t="n">
        <f aca="false">COUNTIFS($F$5:$F$365,J33)</f>
        <v>29</v>
      </c>
    </row>
    <row r="34" customFormat="false" ht="15" hidden="false" customHeight="false" outlineLevel="0" collapsed="false">
      <c r="A34" s="11" t="n">
        <v>42759</v>
      </c>
      <c r="B34" s="11" t="n">
        <v>42775</v>
      </c>
      <c r="C34" s="11" t="n">
        <v>42768</v>
      </c>
      <c r="D34" s="5" t="s">
        <v>27</v>
      </c>
      <c r="E34" s="5" t="s">
        <v>12</v>
      </c>
      <c r="F34" s="5" t="s">
        <v>11</v>
      </c>
      <c r="G34" s="5" t="s">
        <v>40</v>
      </c>
      <c r="H34" s="6" t="n">
        <v>70000</v>
      </c>
      <c r="J34" s="5" t="s">
        <v>15</v>
      </c>
      <c r="K34" s="6" t="n">
        <f aca="false">SUMIFS($H$5:$H$365,$F$5:$F$365,J34,$G$5:$G$365,"Corn")</f>
        <v>5036443</v>
      </c>
      <c r="L34" s="6" t="n">
        <f aca="false">SUMIFS($H$5:$H$365,$F$5:$F$365,J34,$G$5:$G$365,"Soybean")</f>
        <v>1187788</v>
      </c>
      <c r="M34" s="6" t="n">
        <f aca="false">K34+L34</f>
        <v>6224231</v>
      </c>
      <c r="N34" s="6" t="n">
        <f aca="false">COUNTIFS($F$5:$F$365,J34)</f>
        <v>32</v>
      </c>
    </row>
    <row r="35" customFormat="false" ht="15" hidden="false" customHeight="false" outlineLevel="0" collapsed="false">
      <c r="A35" s="11" t="n">
        <v>42780</v>
      </c>
      <c r="B35" s="11" t="n">
        <v>42796</v>
      </c>
      <c r="C35" s="11" t="n">
        <v>42789</v>
      </c>
      <c r="D35" s="5" t="s">
        <v>27</v>
      </c>
      <c r="E35" s="5" t="s">
        <v>11</v>
      </c>
      <c r="F35" s="5" t="s">
        <v>11</v>
      </c>
      <c r="G35" s="5" t="s">
        <v>40</v>
      </c>
      <c r="H35" s="6" t="n">
        <v>142500</v>
      </c>
      <c r="J35" s="5" t="s">
        <v>16</v>
      </c>
      <c r="K35" s="6" t="n">
        <f aca="false">SUMIFS($H$5:$H$365,$F$5:$F$365,J35,$G$5:$G$365,"Corn")</f>
        <v>4884495</v>
      </c>
      <c r="L35" s="6" t="n">
        <f aca="false">SUMIFS($H$5:$H$365,$F$5:$F$365,J35,$G$5:$G$365,"Soybean")</f>
        <v>1780882</v>
      </c>
      <c r="M35" s="6" t="n">
        <f aca="false">K35+L35</f>
        <v>6665377</v>
      </c>
      <c r="N35" s="6" t="n">
        <f aca="false">COUNTIFS($F$5:$F$365,J35)</f>
        <v>35</v>
      </c>
    </row>
    <row r="36" customFormat="false" ht="15" hidden="false" customHeight="false" outlineLevel="0" collapsed="false">
      <c r="A36" s="11" t="n">
        <v>42808</v>
      </c>
      <c r="B36" s="11" t="n">
        <v>42824</v>
      </c>
      <c r="C36" s="11" t="n">
        <v>42817</v>
      </c>
      <c r="D36" s="5" t="s">
        <v>27</v>
      </c>
      <c r="E36" s="5" t="s">
        <v>12</v>
      </c>
      <c r="F36" s="5" t="s">
        <v>11</v>
      </c>
      <c r="G36" s="5" t="s">
        <v>3</v>
      </c>
      <c r="H36" s="6" t="n">
        <v>120000</v>
      </c>
      <c r="J36" s="5" t="s">
        <v>17</v>
      </c>
      <c r="K36" s="6" t="n">
        <f aca="false">SUMIFS($H$5:$H$365,$F$5:$F$365,J36,$G$5:$G$365,"Corn")</f>
        <v>5701859</v>
      </c>
      <c r="L36" s="6" t="n">
        <f aca="false">SUMIFS($H$5:$H$365,$F$5:$F$365,J36,$G$5:$G$365,"Soybean")</f>
        <v>1066617</v>
      </c>
      <c r="M36" s="6" t="n">
        <f aca="false">K36+L36</f>
        <v>6768476</v>
      </c>
      <c r="N36" s="6" t="n">
        <f aca="false">COUNTIFS($F$5:$F$365,J36)</f>
        <v>35</v>
      </c>
    </row>
    <row r="37" customFormat="false" ht="15" hidden="false" customHeight="false" outlineLevel="0" collapsed="false">
      <c r="A37" s="11" t="n">
        <v>42902</v>
      </c>
      <c r="B37" s="11" t="n">
        <v>42922</v>
      </c>
      <c r="C37" s="11" t="n">
        <v>42915</v>
      </c>
      <c r="D37" s="5" t="s">
        <v>27</v>
      </c>
      <c r="E37" s="5" t="s">
        <v>12</v>
      </c>
      <c r="F37" s="5" t="s">
        <v>11</v>
      </c>
      <c r="G37" s="5" t="s">
        <v>3</v>
      </c>
      <c r="H37" s="6" t="n">
        <v>120000</v>
      </c>
      <c r="J37" s="5" t="s">
        <v>18</v>
      </c>
      <c r="K37" s="6" t="n">
        <f aca="false">SUMIFS($H$5:$H$365,$F$5:$F$365,J37,$G$5:$G$365,"Corn")</f>
        <v>6872074</v>
      </c>
      <c r="L37" s="6" t="n">
        <f aca="false">SUMIFS($H$5:$H$365,$F$5:$F$365,J37,$G$5:$G$365,"Soybean")</f>
        <v>959722</v>
      </c>
      <c r="M37" s="6" t="n">
        <f aca="false">K37+L37</f>
        <v>7831796</v>
      </c>
      <c r="N37" s="6" t="n">
        <f aca="false">COUNTIFS($F$5:$F$365,J37)</f>
        <v>47</v>
      </c>
    </row>
    <row r="38" customFormat="false" ht="15" hidden="false" customHeight="false" outlineLevel="0" collapsed="false">
      <c r="A38" s="11" t="n">
        <v>42919</v>
      </c>
      <c r="B38" s="11" t="n">
        <v>42936</v>
      </c>
      <c r="C38" s="11" t="n">
        <v>42929</v>
      </c>
      <c r="D38" s="5" t="s">
        <v>27</v>
      </c>
      <c r="E38" s="5" t="s">
        <v>12</v>
      </c>
      <c r="F38" s="5" t="s">
        <v>11</v>
      </c>
      <c r="G38" s="5" t="s">
        <v>3</v>
      </c>
      <c r="H38" s="6" t="n">
        <v>22860</v>
      </c>
      <c r="J38" s="5" t="s">
        <v>19</v>
      </c>
      <c r="K38" s="6" t="n">
        <f aca="false">SUMIFS($H$5:$H$365,$F$5:$F$365,J38,$G$5:$G$365,"Corn")</f>
        <v>8478400</v>
      </c>
      <c r="L38" s="6" t="n">
        <f aca="false">SUMIFS($H$5:$H$365,$F$5:$F$365,J38,$G$5:$G$365,"Soybean")</f>
        <v>1092016</v>
      </c>
      <c r="M38" s="6" t="n">
        <f aca="false">K38+L38</f>
        <v>9570416</v>
      </c>
      <c r="N38" s="6" t="n">
        <f aca="false">COUNTIFS($F$5:$F$365,J38)</f>
        <v>46</v>
      </c>
    </row>
    <row r="39" customFormat="false" ht="15" hidden="false" customHeight="false" outlineLevel="0" collapsed="false">
      <c r="A39" s="11" t="n">
        <v>42919</v>
      </c>
      <c r="B39" s="11" t="n">
        <v>42936</v>
      </c>
      <c r="C39" s="11" t="n">
        <v>42929</v>
      </c>
      <c r="D39" s="5" t="s">
        <v>27</v>
      </c>
      <c r="E39" s="5" t="s">
        <v>13</v>
      </c>
      <c r="F39" s="5" t="s">
        <v>11</v>
      </c>
      <c r="G39" s="5" t="s">
        <v>3</v>
      </c>
      <c r="H39" s="6" t="n">
        <v>91440</v>
      </c>
      <c r="J39" s="5" t="s">
        <v>20</v>
      </c>
      <c r="K39" s="6" t="n">
        <f aca="false">SUMIFS($H$5:$H$365,$F$5:$F$365,J39,$G$5:$G$365,"Corn")</f>
        <v>6800624</v>
      </c>
      <c r="L39" s="6" t="n">
        <f aca="false">SUMIFS($H$5:$H$365,$F$5:$F$365,J39,$G$5:$G$365,"Soybean")</f>
        <v>840158</v>
      </c>
      <c r="M39" s="6" t="n">
        <f aca="false">K39+L39</f>
        <v>7640782</v>
      </c>
      <c r="N39" s="6" t="n">
        <f aca="false">COUNTIFS($F$5:$F$365,J39)</f>
        <v>34</v>
      </c>
    </row>
    <row r="40" customFormat="false" ht="15" hidden="false" customHeight="false" outlineLevel="0" collapsed="false">
      <c r="A40" s="11" t="n">
        <v>42923</v>
      </c>
      <c r="B40" s="11" t="n">
        <v>42943</v>
      </c>
      <c r="C40" s="11" t="n">
        <v>42936</v>
      </c>
      <c r="D40" s="5" t="s">
        <v>27</v>
      </c>
      <c r="E40" s="5" t="s">
        <v>11</v>
      </c>
      <c r="F40" s="5" t="s">
        <v>11</v>
      </c>
      <c r="G40" s="5" t="s">
        <v>3</v>
      </c>
      <c r="H40" s="6" t="n">
        <v>11000</v>
      </c>
      <c r="J40" s="5" t="s">
        <v>21</v>
      </c>
      <c r="K40" s="6" t="n">
        <f aca="false">SUMIFS($H$5:$H$365,$F$5:$F$365,J40,$G$5:$G$365,"Corn")</f>
        <v>895020</v>
      </c>
      <c r="L40" s="6" t="n">
        <f aca="false">SUMIFS($H$5:$H$365,$F$5:$F$365,J40,$G$5:$G$365,"Soybean")</f>
        <v>0</v>
      </c>
      <c r="M40" s="6" t="n">
        <f aca="false">K40+L40</f>
        <v>895020</v>
      </c>
      <c r="N40" s="6" t="n">
        <f aca="false">COUNTIFS($F$5:$F$365,J40)</f>
        <v>7</v>
      </c>
    </row>
    <row r="41" customFormat="false" ht="15" hidden="false" customHeight="false" outlineLevel="0" collapsed="false">
      <c r="A41" s="11" t="n">
        <v>42923</v>
      </c>
      <c r="B41" s="11" t="n">
        <v>42943</v>
      </c>
      <c r="C41" s="11" t="n">
        <v>42936</v>
      </c>
      <c r="D41" s="5" t="s">
        <v>27</v>
      </c>
      <c r="E41" s="5" t="s">
        <v>12</v>
      </c>
      <c r="F41" s="5" t="s">
        <v>11</v>
      </c>
      <c r="G41" s="5" t="s">
        <v>3</v>
      </c>
      <c r="H41" s="6" t="n">
        <v>132000</v>
      </c>
      <c r="J41" s="8" t="s">
        <v>24</v>
      </c>
      <c r="K41" s="9" t="n">
        <f aca="false">SUM(K27:K40)</f>
        <v>59200680</v>
      </c>
      <c r="L41" s="9" t="n">
        <f aca="false">SUM(L27:L40)</f>
        <v>11851974</v>
      </c>
      <c r="M41" s="9" t="n">
        <f aca="false">SUM(M27:M40)</f>
        <v>71052654</v>
      </c>
      <c r="N41" s="9" t="n">
        <f aca="false">SUM(N27:N40)</f>
        <v>361</v>
      </c>
    </row>
    <row r="42" customFormat="false" ht="15" hidden="false" customHeight="false" outlineLevel="0" collapsed="false">
      <c r="A42" s="11" t="n">
        <v>42954</v>
      </c>
      <c r="B42" s="11" t="n">
        <v>42971</v>
      </c>
      <c r="C42" s="11" t="n">
        <v>42964</v>
      </c>
      <c r="D42" s="5" t="s">
        <v>27</v>
      </c>
      <c r="E42" s="5" t="s">
        <v>12</v>
      </c>
      <c r="F42" s="5" t="s">
        <v>11</v>
      </c>
      <c r="G42" s="5" t="s">
        <v>3</v>
      </c>
      <c r="H42" s="6" t="n">
        <v>180800</v>
      </c>
    </row>
    <row r="43" customFormat="false" ht="15" hidden="false" customHeight="false" outlineLevel="0" collapsed="false">
      <c r="A43" s="11" t="n">
        <v>42975</v>
      </c>
      <c r="B43" s="11" t="n">
        <v>42992</v>
      </c>
      <c r="C43" s="11" t="n">
        <v>42985</v>
      </c>
      <c r="D43" s="5" t="s">
        <v>27</v>
      </c>
      <c r="E43" s="5" t="s">
        <v>12</v>
      </c>
      <c r="F43" s="5" t="s">
        <v>11</v>
      </c>
      <c r="G43" s="5" t="s">
        <v>3</v>
      </c>
      <c r="H43" s="6" t="n">
        <v>160020</v>
      </c>
    </row>
    <row r="44" customFormat="false" ht="15" hidden="false" customHeight="false" outlineLevel="0" collapsed="false">
      <c r="A44" s="11" t="n">
        <v>42976</v>
      </c>
      <c r="B44" s="11" t="n">
        <v>42992</v>
      </c>
      <c r="C44" s="11" t="n">
        <v>42985</v>
      </c>
      <c r="D44" s="5" t="s">
        <v>27</v>
      </c>
      <c r="E44" s="5" t="s">
        <v>12</v>
      </c>
      <c r="F44" s="5" t="s">
        <v>11</v>
      </c>
      <c r="G44" s="5" t="s">
        <v>3</v>
      </c>
      <c r="H44" s="6" t="n">
        <v>226000</v>
      </c>
    </row>
    <row r="45" customFormat="false" ht="15" hidden="false" customHeight="false" outlineLevel="0" collapsed="false">
      <c r="A45" s="11" t="n">
        <v>42983</v>
      </c>
      <c r="B45" s="11" t="n">
        <v>42999</v>
      </c>
      <c r="C45" s="11" t="n">
        <v>42992</v>
      </c>
      <c r="D45" s="5" t="s">
        <v>27</v>
      </c>
      <c r="E45" s="5" t="s">
        <v>12</v>
      </c>
      <c r="F45" s="5" t="s">
        <v>12</v>
      </c>
      <c r="G45" s="5" t="s">
        <v>3</v>
      </c>
      <c r="H45" s="6" t="n">
        <v>143650</v>
      </c>
    </row>
    <row r="46" customFormat="false" ht="15" hidden="false" customHeight="false" outlineLevel="0" collapsed="false">
      <c r="A46" s="11" t="n">
        <v>42984</v>
      </c>
      <c r="B46" s="11" t="n">
        <v>42999</v>
      </c>
      <c r="C46" s="11" t="n">
        <v>42992</v>
      </c>
      <c r="D46" s="5" t="s">
        <v>27</v>
      </c>
      <c r="E46" s="5" t="s">
        <v>12</v>
      </c>
      <c r="F46" s="5" t="s">
        <v>12</v>
      </c>
      <c r="G46" s="5" t="s">
        <v>3</v>
      </c>
      <c r="H46" s="6" t="n">
        <v>253300</v>
      </c>
    </row>
    <row r="47" customFormat="false" ht="15" hidden="false" customHeight="false" outlineLevel="0" collapsed="false">
      <c r="A47" s="11" t="n">
        <v>42991</v>
      </c>
      <c r="B47" s="11" t="n">
        <v>43006</v>
      </c>
      <c r="C47" s="11" t="n">
        <v>42999</v>
      </c>
      <c r="D47" s="5" t="s">
        <v>27</v>
      </c>
      <c r="E47" s="5" t="s">
        <v>12</v>
      </c>
      <c r="F47" s="5" t="s">
        <v>12</v>
      </c>
      <c r="G47" s="5" t="s">
        <v>40</v>
      </c>
      <c r="H47" s="6" t="n">
        <v>167370</v>
      </c>
    </row>
    <row r="48" customFormat="false" ht="15" hidden="false" customHeight="false" outlineLevel="0" collapsed="false">
      <c r="A48" s="11" t="n">
        <v>43000</v>
      </c>
      <c r="B48" s="11" t="n">
        <v>43020</v>
      </c>
      <c r="C48" s="11" t="n">
        <v>43013</v>
      </c>
      <c r="D48" s="5" t="s">
        <v>27</v>
      </c>
      <c r="E48" s="5" t="s">
        <v>12</v>
      </c>
      <c r="F48" s="5" t="s">
        <v>12</v>
      </c>
      <c r="G48" s="5" t="s">
        <v>40</v>
      </c>
      <c r="H48" s="6" t="n">
        <v>190000</v>
      </c>
    </row>
    <row r="49" customFormat="false" ht="15" hidden="false" customHeight="false" outlineLevel="0" collapsed="false">
      <c r="A49" s="11" t="n">
        <v>43010</v>
      </c>
      <c r="B49" s="11" t="n">
        <v>43027</v>
      </c>
      <c r="C49" s="11" t="n">
        <v>43020</v>
      </c>
      <c r="D49" s="5" t="s">
        <v>27</v>
      </c>
      <c r="E49" s="5" t="s">
        <v>12</v>
      </c>
      <c r="F49" s="5" t="s">
        <v>12</v>
      </c>
      <c r="G49" s="5" t="s">
        <v>3</v>
      </c>
      <c r="H49" s="6" t="n">
        <v>597464</v>
      </c>
    </row>
    <row r="50" customFormat="false" ht="15" hidden="false" customHeight="false" outlineLevel="0" collapsed="false">
      <c r="A50" s="11" t="n">
        <v>43019</v>
      </c>
      <c r="B50" s="11" t="n">
        <v>43034</v>
      </c>
      <c r="C50" s="11" t="n">
        <v>43027</v>
      </c>
      <c r="D50" s="5" t="s">
        <v>27</v>
      </c>
      <c r="E50" s="5" t="s">
        <v>12</v>
      </c>
      <c r="F50" s="5" t="s">
        <v>12</v>
      </c>
      <c r="G50" s="5" t="s">
        <v>3</v>
      </c>
      <c r="H50" s="6" t="n">
        <v>150000</v>
      </c>
    </row>
    <row r="51" customFormat="false" ht="15" hidden="false" customHeight="false" outlineLevel="0" collapsed="false">
      <c r="A51" s="11" t="n">
        <v>43020</v>
      </c>
      <c r="B51" s="11" t="n">
        <v>43034</v>
      </c>
      <c r="C51" s="11" t="n">
        <v>43027</v>
      </c>
      <c r="D51" s="5" t="s">
        <v>27</v>
      </c>
      <c r="E51" s="5" t="s">
        <v>12</v>
      </c>
      <c r="F51" s="5" t="s">
        <v>12</v>
      </c>
      <c r="G51" s="5" t="s">
        <v>3</v>
      </c>
      <c r="H51" s="6" t="n">
        <v>120000</v>
      </c>
    </row>
    <row r="52" customFormat="false" ht="15" hidden="false" customHeight="false" outlineLevel="0" collapsed="false">
      <c r="A52" s="11" t="n">
        <v>43025</v>
      </c>
      <c r="B52" s="11" t="n">
        <v>43041</v>
      </c>
      <c r="C52" s="11" t="n">
        <v>43034</v>
      </c>
      <c r="D52" s="5" t="s">
        <v>27</v>
      </c>
      <c r="E52" s="5" t="s">
        <v>12</v>
      </c>
      <c r="F52" s="5" t="s">
        <v>12</v>
      </c>
      <c r="G52" s="5" t="s">
        <v>3</v>
      </c>
      <c r="H52" s="6" t="n">
        <v>115000</v>
      </c>
    </row>
    <row r="53" customFormat="false" ht="15" hidden="false" customHeight="false" outlineLevel="0" collapsed="false">
      <c r="A53" s="11" t="n">
        <v>43041</v>
      </c>
      <c r="B53" s="11" t="n">
        <v>43055</v>
      </c>
      <c r="C53" s="11" t="n">
        <v>43048</v>
      </c>
      <c r="D53" s="5" t="s">
        <v>27</v>
      </c>
      <c r="E53" s="5" t="s">
        <v>12</v>
      </c>
      <c r="F53" s="5" t="s">
        <v>12</v>
      </c>
      <c r="G53" s="5" t="s">
        <v>3</v>
      </c>
      <c r="H53" s="6" t="n">
        <v>845820</v>
      </c>
    </row>
    <row r="54" customFormat="false" ht="15" hidden="false" customHeight="false" outlineLevel="0" collapsed="false">
      <c r="A54" s="11" t="n">
        <v>43041</v>
      </c>
      <c r="B54" s="11" t="n">
        <v>43055</v>
      </c>
      <c r="C54" s="11" t="n">
        <v>43048</v>
      </c>
      <c r="D54" s="5" t="s">
        <v>27</v>
      </c>
      <c r="E54" s="5" t="s">
        <v>13</v>
      </c>
      <c r="F54" s="5" t="s">
        <v>12</v>
      </c>
      <c r="G54" s="5" t="s">
        <v>3</v>
      </c>
      <c r="H54" s="6" t="n">
        <v>510540</v>
      </c>
    </row>
    <row r="55" customFormat="false" ht="15" hidden="false" customHeight="false" outlineLevel="0" collapsed="false">
      <c r="A55" s="11" t="n">
        <v>43042</v>
      </c>
      <c r="B55" s="11" t="n">
        <v>43062</v>
      </c>
      <c r="C55" s="11" t="n">
        <v>43055</v>
      </c>
      <c r="D55" s="5" t="s">
        <v>27</v>
      </c>
      <c r="E55" s="5" t="s">
        <v>12</v>
      </c>
      <c r="F55" s="5" t="s">
        <v>12</v>
      </c>
      <c r="G55" s="5" t="s">
        <v>3</v>
      </c>
      <c r="H55" s="6" t="n">
        <v>102400</v>
      </c>
    </row>
    <row r="56" customFormat="false" ht="15" hidden="false" customHeight="false" outlineLevel="0" collapsed="false">
      <c r="A56" s="11" t="n">
        <v>43080</v>
      </c>
      <c r="B56" s="11" t="n">
        <v>43097</v>
      </c>
      <c r="C56" s="11" t="n">
        <v>43090</v>
      </c>
      <c r="D56" s="5" t="s">
        <v>27</v>
      </c>
      <c r="E56" s="5" t="s">
        <v>12</v>
      </c>
      <c r="F56" s="5" t="s">
        <v>12</v>
      </c>
      <c r="G56" s="5" t="s">
        <v>3</v>
      </c>
      <c r="H56" s="6" t="n">
        <v>110000</v>
      </c>
    </row>
    <row r="57" customFormat="false" ht="15" hidden="false" customHeight="false" outlineLevel="0" collapsed="false">
      <c r="A57" s="11" t="n">
        <v>43081</v>
      </c>
      <c r="B57" s="11" t="n">
        <v>43097</v>
      </c>
      <c r="C57" s="11" t="n">
        <v>43090</v>
      </c>
      <c r="D57" s="5" t="s">
        <v>27</v>
      </c>
      <c r="E57" s="5" t="s">
        <v>12</v>
      </c>
      <c r="F57" s="5" t="s">
        <v>12</v>
      </c>
      <c r="G57" s="5" t="s">
        <v>3</v>
      </c>
      <c r="H57" s="6" t="n">
        <v>152000</v>
      </c>
    </row>
    <row r="58" customFormat="false" ht="15" hidden="false" customHeight="false" outlineLevel="0" collapsed="false">
      <c r="A58" s="11" t="n">
        <v>43095</v>
      </c>
      <c r="B58" s="11" t="n">
        <v>43111</v>
      </c>
      <c r="C58" s="11" t="n">
        <v>43104</v>
      </c>
      <c r="D58" s="5" t="s">
        <v>27</v>
      </c>
      <c r="E58" s="5" t="s">
        <v>12</v>
      </c>
      <c r="F58" s="5" t="s">
        <v>12</v>
      </c>
      <c r="G58" s="5" t="s">
        <v>3</v>
      </c>
      <c r="H58" s="6" t="n">
        <v>134148</v>
      </c>
    </row>
    <row r="59" customFormat="false" ht="15" hidden="false" customHeight="false" outlineLevel="0" collapsed="false">
      <c r="A59" s="11" t="n">
        <v>43108</v>
      </c>
      <c r="B59" s="11" t="n">
        <v>43125</v>
      </c>
      <c r="C59" s="11" t="n">
        <v>43118</v>
      </c>
      <c r="D59" s="5" t="s">
        <v>27</v>
      </c>
      <c r="E59" s="5" t="s">
        <v>12</v>
      </c>
      <c r="F59" s="5" t="s">
        <v>12</v>
      </c>
      <c r="G59" s="5" t="s">
        <v>3</v>
      </c>
      <c r="H59" s="6" t="n">
        <v>102100</v>
      </c>
    </row>
    <row r="60" customFormat="false" ht="15" hidden="false" customHeight="false" outlineLevel="0" collapsed="false">
      <c r="A60" s="11" t="n">
        <v>43133</v>
      </c>
      <c r="B60" s="11" t="n">
        <v>43153</v>
      </c>
      <c r="C60" s="11" t="n">
        <v>43146</v>
      </c>
      <c r="D60" s="5" t="s">
        <v>27</v>
      </c>
      <c r="E60" s="5" t="s">
        <v>12</v>
      </c>
      <c r="F60" s="5" t="s">
        <v>12</v>
      </c>
      <c r="G60" s="5" t="s">
        <v>40</v>
      </c>
      <c r="H60" s="6" t="n">
        <v>108860</v>
      </c>
    </row>
    <row r="61" customFormat="false" ht="15" hidden="false" customHeight="false" outlineLevel="0" collapsed="false">
      <c r="A61" s="11" t="n">
        <v>43196</v>
      </c>
      <c r="B61" s="11" t="n">
        <v>43216</v>
      </c>
      <c r="C61" s="11" t="n">
        <v>43209</v>
      </c>
      <c r="D61" s="5" t="s">
        <v>27</v>
      </c>
      <c r="E61" s="5" t="s">
        <v>12</v>
      </c>
      <c r="F61" s="5" t="s">
        <v>12</v>
      </c>
      <c r="G61" s="5" t="s">
        <v>40</v>
      </c>
      <c r="H61" s="6" t="n">
        <v>65316</v>
      </c>
    </row>
    <row r="62" customFormat="false" ht="15" hidden="false" customHeight="false" outlineLevel="0" collapsed="false">
      <c r="A62" s="11" t="n">
        <v>43196</v>
      </c>
      <c r="B62" s="11" t="n">
        <v>43216</v>
      </c>
      <c r="C62" s="11" t="n">
        <v>43209</v>
      </c>
      <c r="D62" s="5" t="s">
        <v>27</v>
      </c>
      <c r="E62" s="5" t="s">
        <v>13</v>
      </c>
      <c r="F62" s="5" t="s">
        <v>12</v>
      </c>
      <c r="G62" s="5" t="s">
        <v>40</v>
      </c>
      <c r="H62" s="6" t="n">
        <v>65316</v>
      </c>
    </row>
    <row r="63" customFormat="false" ht="15" hidden="false" customHeight="false" outlineLevel="0" collapsed="false">
      <c r="A63" s="11" t="n">
        <v>43201</v>
      </c>
      <c r="B63" s="11" t="n">
        <v>43216</v>
      </c>
      <c r="C63" s="11" t="n">
        <v>43209</v>
      </c>
      <c r="D63" s="5" t="s">
        <v>27</v>
      </c>
      <c r="E63" s="5" t="s">
        <v>13</v>
      </c>
      <c r="F63" s="5" t="s">
        <v>12</v>
      </c>
      <c r="G63" s="5" t="s">
        <v>40</v>
      </c>
      <c r="H63" s="6" t="n">
        <v>141518</v>
      </c>
    </row>
    <row r="64" customFormat="false" ht="15" hidden="false" customHeight="false" outlineLevel="0" collapsed="false">
      <c r="A64" s="11" t="n">
        <v>43255</v>
      </c>
      <c r="B64" s="11" t="n">
        <v>43272</v>
      </c>
      <c r="C64" s="11" t="n">
        <v>43265</v>
      </c>
      <c r="D64" s="5" t="s">
        <v>27</v>
      </c>
      <c r="E64" s="5" t="s">
        <v>13</v>
      </c>
      <c r="F64" s="5" t="s">
        <v>12</v>
      </c>
      <c r="G64" s="5" t="s">
        <v>40</v>
      </c>
      <c r="H64" s="6" t="n">
        <v>114300</v>
      </c>
    </row>
    <row r="65" customFormat="false" ht="15" hidden="false" customHeight="false" outlineLevel="0" collapsed="false">
      <c r="A65" s="11" t="n">
        <v>43263</v>
      </c>
      <c r="B65" s="11" t="n">
        <v>43279</v>
      </c>
      <c r="C65" s="11" t="n">
        <v>43272</v>
      </c>
      <c r="D65" s="5" t="s">
        <v>27</v>
      </c>
      <c r="E65" s="5" t="s">
        <v>12</v>
      </c>
      <c r="F65" s="5" t="s">
        <v>12</v>
      </c>
      <c r="G65" s="5" t="s">
        <v>3</v>
      </c>
      <c r="H65" s="6" t="n">
        <v>114000</v>
      </c>
    </row>
    <row r="66" customFormat="false" ht="15" hidden="false" customHeight="false" outlineLevel="0" collapsed="false">
      <c r="A66" s="11" t="n">
        <v>43263</v>
      </c>
      <c r="B66" s="11" t="n">
        <v>43279</v>
      </c>
      <c r="C66" s="11" t="n">
        <v>43272</v>
      </c>
      <c r="D66" s="5" t="s">
        <v>27</v>
      </c>
      <c r="E66" s="5" t="s">
        <v>13</v>
      </c>
      <c r="F66" s="5" t="s">
        <v>12</v>
      </c>
      <c r="G66" s="5" t="s">
        <v>3</v>
      </c>
      <c r="H66" s="6" t="n">
        <v>38000</v>
      </c>
    </row>
    <row r="67" customFormat="false" ht="15" hidden="false" customHeight="false" outlineLevel="0" collapsed="false">
      <c r="A67" s="11" t="n">
        <v>43273</v>
      </c>
      <c r="B67" s="11" t="n">
        <v>43293</v>
      </c>
      <c r="C67" s="11" t="n">
        <v>43286</v>
      </c>
      <c r="D67" s="5" t="s">
        <v>27</v>
      </c>
      <c r="E67" s="5" t="s">
        <v>12</v>
      </c>
      <c r="F67" s="5" t="s">
        <v>12</v>
      </c>
      <c r="G67" s="5" t="s">
        <v>3</v>
      </c>
      <c r="H67" s="6" t="n">
        <v>30000</v>
      </c>
    </row>
    <row r="68" customFormat="false" ht="15" hidden="false" customHeight="false" outlineLevel="0" collapsed="false">
      <c r="A68" s="11" t="n">
        <v>43273</v>
      </c>
      <c r="B68" s="11" t="n">
        <v>43293</v>
      </c>
      <c r="C68" s="11" t="n">
        <v>43286</v>
      </c>
      <c r="D68" s="5" t="s">
        <v>27</v>
      </c>
      <c r="E68" s="5" t="s">
        <v>13</v>
      </c>
      <c r="F68" s="5" t="s">
        <v>12</v>
      </c>
      <c r="G68" s="5" t="s">
        <v>3</v>
      </c>
      <c r="H68" s="6" t="n">
        <v>101300</v>
      </c>
    </row>
    <row r="69" customFormat="false" ht="15" hidden="false" customHeight="false" outlineLevel="0" collapsed="false">
      <c r="A69" s="11" t="n">
        <v>43280</v>
      </c>
      <c r="B69" s="11" t="n">
        <v>43300</v>
      </c>
      <c r="C69" s="11" t="n">
        <v>43293</v>
      </c>
      <c r="D69" s="5" t="s">
        <v>27</v>
      </c>
      <c r="E69" s="5" t="s">
        <v>13</v>
      </c>
      <c r="F69" s="5" t="s">
        <v>12</v>
      </c>
      <c r="G69" s="5" t="s">
        <v>40</v>
      </c>
      <c r="H69" s="6" t="n">
        <v>130632</v>
      </c>
    </row>
    <row r="70" customFormat="false" ht="15" hidden="false" customHeight="false" outlineLevel="0" collapsed="false">
      <c r="A70" s="11" t="n">
        <v>43325</v>
      </c>
      <c r="B70" s="11" t="n">
        <v>43342</v>
      </c>
      <c r="C70" s="11" t="n">
        <v>43335</v>
      </c>
      <c r="D70" s="5" t="s">
        <v>27</v>
      </c>
      <c r="E70" s="5" t="s">
        <v>13</v>
      </c>
      <c r="F70" s="5" t="s">
        <v>12</v>
      </c>
      <c r="G70" s="5" t="s">
        <v>3</v>
      </c>
      <c r="H70" s="6" t="n">
        <v>142248</v>
      </c>
    </row>
    <row r="71" customFormat="false" ht="15" hidden="false" customHeight="false" outlineLevel="0" collapsed="false">
      <c r="A71" s="11" t="n">
        <v>43325</v>
      </c>
      <c r="B71" s="11" t="n">
        <v>43342</v>
      </c>
      <c r="C71" s="11" t="n">
        <v>43335</v>
      </c>
      <c r="D71" s="5" t="s">
        <v>27</v>
      </c>
      <c r="E71" s="5" t="s">
        <v>14</v>
      </c>
      <c r="F71" s="5" t="s">
        <v>12</v>
      </c>
      <c r="G71" s="5" t="s">
        <v>3</v>
      </c>
      <c r="H71" s="6" t="n">
        <v>71124</v>
      </c>
    </row>
    <row r="72" customFormat="false" ht="15" hidden="false" customHeight="false" outlineLevel="0" collapsed="false">
      <c r="A72" s="11" t="n">
        <v>43325</v>
      </c>
      <c r="B72" s="11" t="n">
        <v>43342</v>
      </c>
      <c r="C72" s="11" t="n">
        <v>43335</v>
      </c>
      <c r="D72" s="5" t="s">
        <v>27</v>
      </c>
      <c r="E72" s="5" t="s">
        <v>13</v>
      </c>
      <c r="F72" s="5" t="s">
        <v>12</v>
      </c>
      <c r="G72" s="5" t="s">
        <v>40</v>
      </c>
      <c r="H72" s="6" t="n">
        <v>142500</v>
      </c>
    </row>
    <row r="73" customFormat="false" ht="15" hidden="false" customHeight="false" outlineLevel="0" collapsed="false">
      <c r="A73" s="11" t="n">
        <v>43328</v>
      </c>
      <c r="B73" s="11" t="n">
        <v>43342</v>
      </c>
      <c r="C73" s="11" t="n">
        <v>43335</v>
      </c>
      <c r="D73" s="5" t="s">
        <v>27</v>
      </c>
      <c r="E73" s="5" t="s">
        <v>13</v>
      </c>
      <c r="F73" s="5" t="s">
        <v>12</v>
      </c>
      <c r="G73" s="5" t="s">
        <v>40</v>
      </c>
      <c r="H73" s="6" t="n">
        <v>154404</v>
      </c>
    </row>
    <row r="74" customFormat="false" ht="15" hidden="false" customHeight="false" outlineLevel="0" collapsed="false">
      <c r="A74" s="11" t="n">
        <v>43342</v>
      </c>
      <c r="B74" s="11" t="n">
        <v>43356</v>
      </c>
      <c r="C74" s="11" t="n">
        <v>43349</v>
      </c>
      <c r="D74" s="5" t="s">
        <v>27</v>
      </c>
      <c r="E74" s="5" t="s">
        <v>13</v>
      </c>
      <c r="F74" s="5" t="s">
        <v>12</v>
      </c>
      <c r="G74" s="5" t="s">
        <v>3</v>
      </c>
      <c r="H74" s="6" t="n">
        <v>100611</v>
      </c>
    </row>
    <row r="75" customFormat="false" ht="15" hidden="false" customHeight="false" outlineLevel="0" collapsed="false">
      <c r="A75" s="11" t="n">
        <v>43348</v>
      </c>
      <c r="B75" s="11" t="n">
        <v>43363</v>
      </c>
      <c r="C75" s="11" t="n">
        <v>43356</v>
      </c>
      <c r="D75" s="5" t="s">
        <v>27</v>
      </c>
      <c r="E75" s="5" t="s">
        <v>13</v>
      </c>
      <c r="F75" s="5" t="s">
        <v>13</v>
      </c>
      <c r="G75" s="5" t="s">
        <v>3</v>
      </c>
      <c r="H75" s="6" t="n">
        <v>101736</v>
      </c>
    </row>
    <row r="76" customFormat="false" ht="15" hidden="false" customHeight="false" outlineLevel="0" collapsed="false">
      <c r="A76" s="11" t="n">
        <v>43356</v>
      </c>
      <c r="B76" s="11" t="n">
        <v>43370</v>
      </c>
      <c r="C76" s="11" t="n">
        <v>43363</v>
      </c>
      <c r="D76" s="5" t="s">
        <v>27</v>
      </c>
      <c r="E76" s="5" t="s">
        <v>13</v>
      </c>
      <c r="F76" s="5" t="s">
        <v>13</v>
      </c>
      <c r="G76" s="5" t="s">
        <v>40</v>
      </c>
      <c r="H76" s="6" t="n">
        <v>108010</v>
      </c>
    </row>
    <row r="77" customFormat="false" ht="15" hidden="false" customHeight="false" outlineLevel="0" collapsed="false">
      <c r="A77" s="11" t="n">
        <v>43363</v>
      </c>
      <c r="B77" s="11" t="n">
        <v>43377</v>
      </c>
      <c r="C77" s="11" t="n">
        <v>43370</v>
      </c>
      <c r="D77" s="5" t="s">
        <v>27</v>
      </c>
      <c r="E77" s="5" t="s">
        <v>13</v>
      </c>
      <c r="F77" s="5" t="s">
        <v>13</v>
      </c>
      <c r="G77" s="5" t="s">
        <v>3</v>
      </c>
      <c r="H77" s="6" t="n">
        <v>160020</v>
      </c>
    </row>
    <row r="78" customFormat="false" ht="15" hidden="false" customHeight="false" outlineLevel="0" collapsed="false">
      <c r="A78" s="11" t="n">
        <v>43368</v>
      </c>
      <c r="B78" s="11" t="n">
        <v>43384</v>
      </c>
      <c r="C78" s="11" t="n">
        <v>43377</v>
      </c>
      <c r="D78" s="5" t="s">
        <v>27</v>
      </c>
      <c r="E78" s="5" t="s">
        <v>13</v>
      </c>
      <c r="F78" s="5" t="s">
        <v>13</v>
      </c>
      <c r="G78" s="5" t="s">
        <v>3</v>
      </c>
      <c r="H78" s="6" t="n">
        <v>239630</v>
      </c>
    </row>
    <row r="79" customFormat="false" ht="15" hidden="false" customHeight="false" outlineLevel="0" collapsed="false">
      <c r="A79" s="11" t="n">
        <v>43369</v>
      </c>
      <c r="B79" s="11" t="n">
        <v>43384</v>
      </c>
      <c r="C79" s="11" t="n">
        <v>43377</v>
      </c>
      <c r="D79" s="5" t="s">
        <v>27</v>
      </c>
      <c r="E79" s="5" t="s">
        <v>13</v>
      </c>
      <c r="F79" s="5" t="s">
        <v>13</v>
      </c>
      <c r="G79" s="5" t="s">
        <v>40</v>
      </c>
      <c r="H79" s="6" t="n">
        <v>671934</v>
      </c>
    </row>
    <row r="80" customFormat="false" ht="15" hidden="false" customHeight="false" outlineLevel="0" collapsed="false">
      <c r="A80" s="11" t="n">
        <v>43406</v>
      </c>
      <c r="B80" s="11" t="n">
        <v>43426</v>
      </c>
      <c r="C80" s="11" t="n">
        <v>43419</v>
      </c>
      <c r="D80" s="5" t="s">
        <v>27</v>
      </c>
      <c r="E80" s="5" t="s">
        <v>13</v>
      </c>
      <c r="F80" s="5" t="s">
        <v>13</v>
      </c>
      <c r="G80" s="5" t="s">
        <v>3</v>
      </c>
      <c r="H80" s="6" t="n">
        <v>200900</v>
      </c>
    </row>
    <row r="81" customFormat="false" ht="15" hidden="false" customHeight="false" outlineLevel="0" collapsed="false">
      <c r="A81" s="11" t="n">
        <v>43409</v>
      </c>
      <c r="B81" s="11" t="n">
        <v>43426</v>
      </c>
      <c r="C81" s="11" t="n">
        <v>43419</v>
      </c>
      <c r="D81" s="5" t="s">
        <v>27</v>
      </c>
      <c r="E81" s="5" t="s">
        <v>13</v>
      </c>
      <c r="F81" s="5" t="s">
        <v>13</v>
      </c>
      <c r="G81" s="5" t="s">
        <v>3</v>
      </c>
      <c r="H81" s="6" t="n">
        <v>101745</v>
      </c>
    </row>
    <row r="82" customFormat="false" ht="15" hidden="false" customHeight="false" outlineLevel="0" collapsed="false">
      <c r="A82" s="11" t="n">
        <v>43418</v>
      </c>
      <c r="B82" s="11" t="n">
        <v>43433</v>
      </c>
      <c r="C82" s="11" t="n">
        <v>43426</v>
      </c>
      <c r="D82" s="5" t="s">
        <v>27</v>
      </c>
      <c r="E82" s="5" t="s">
        <v>13</v>
      </c>
      <c r="F82" s="5" t="s">
        <v>13</v>
      </c>
      <c r="G82" s="5" t="s">
        <v>3</v>
      </c>
      <c r="H82" s="6" t="n">
        <v>212000</v>
      </c>
    </row>
    <row r="83" customFormat="false" ht="15" hidden="false" customHeight="false" outlineLevel="0" collapsed="false">
      <c r="A83" s="11" t="n">
        <v>43440</v>
      </c>
      <c r="B83" s="11" t="n">
        <v>43454</v>
      </c>
      <c r="C83" s="11" t="n">
        <v>43447</v>
      </c>
      <c r="D83" s="5" t="s">
        <v>27</v>
      </c>
      <c r="E83" s="5" t="s">
        <v>13</v>
      </c>
      <c r="F83" s="5" t="s">
        <v>13</v>
      </c>
      <c r="G83" s="5" t="s">
        <v>3</v>
      </c>
      <c r="H83" s="6" t="n">
        <v>106680</v>
      </c>
    </row>
    <row r="84" customFormat="false" ht="15" hidden="false" customHeight="false" outlineLevel="0" collapsed="false">
      <c r="A84" s="11" t="n">
        <v>43440</v>
      </c>
      <c r="B84" s="11" t="n">
        <v>43454</v>
      </c>
      <c r="C84" s="11" t="n">
        <v>43447</v>
      </c>
      <c r="D84" s="5" t="s">
        <v>27</v>
      </c>
      <c r="E84" s="5" t="s">
        <v>14</v>
      </c>
      <c r="F84" s="5" t="s">
        <v>13</v>
      </c>
      <c r="G84" s="5" t="s">
        <v>3</v>
      </c>
      <c r="H84" s="6" t="n">
        <v>91440</v>
      </c>
    </row>
    <row r="85" customFormat="false" ht="15" hidden="false" customHeight="false" outlineLevel="0" collapsed="false">
      <c r="A85" s="11" t="n">
        <v>43444</v>
      </c>
      <c r="B85" s="11" t="n">
        <v>43461</v>
      </c>
      <c r="C85" s="11" t="n">
        <v>43454</v>
      </c>
      <c r="D85" s="5" t="s">
        <v>27</v>
      </c>
      <c r="E85" s="5" t="s">
        <v>13</v>
      </c>
      <c r="F85" s="5" t="s">
        <v>13</v>
      </c>
      <c r="G85" s="5" t="s">
        <v>3</v>
      </c>
      <c r="H85" s="6" t="n">
        <v>2209800</v>
      </c>
    </row>
    <row r="86" customFormat="false" ht="15" hidden="false" customHeight="false" outlineLevel="0" collapsed="false">
      <c r="A86" s="11" t="n">
        <v>43444</v>
      </c>
      <c r="B86" s="11" t="n">
        <v>43461</v>
      </c>
      <c r="C86" s="11" t="n">
        <v>43454</v>
      </c>
      <c r="D86" s="5" t="s">
        <v>27</v>
      </c>
      <c r="E86" s="5" t="s">
        <v>14</v>
      </c>
      <c r="F86" s="5" t="s">
        <v>13</v>
      </c>
      <c r="G86" s="5" t="s">
        <v>3</v>
      </c>
      <c r="H86" s="6" t="n">
        <v>1082040</v>
      </c>
    </row>
    <row r="87" customFormat="false" ht="15" hidden="false" customHeight="false" outlineLevel="0" collapsed="false">
      <c r="A87" s="11" t="n">
        <v>43446</v>
      </c>
      <c r="B87" s="11" t="n">
        <v>43461</v>
      </c>
      <c r="C87" s="11" t="n">
        <v>43454</v>
      </c>
      <c r="D87" s="5" t="s">
        <v>27</v>
      </c>
      <c r="E87" s="5" t="s">
        <v>13</v>
      </c>
      <c r="F87" s="5" t="s">
        <v>13</v>
      </c>
      <c r="G87" s="5" t="s">
        <v>40</v>
      </c>
      <c r="H87" s="6" t="n">
        <v>130632</v>
      </c>
    </row>
    <row r="88" customFormat="false" ht="15" hidden="false" customHeight="false" outlineLevel="0" collapsed="false">
      <c r="A88" s="11" t="n">
        <v>43454</v>
      </c>
      <c r="B88" s="11" t="n">
        <v>43468</v>
      </c>
      <c r="C88" s="11" t="n">
        <v>43461</v>
      </c>
      <c r="D88" s="5" t="s">
        <v>27</v>
      </c>
      <c r="E88" s="5" t="s">
        <v>13</v>
      </c>
      <c r="F88" s="5" t="s">
        <v>13</v>
      </c>
      <c r="G88" s="5" t="s">
        <v>3</v>
      </c>
      <c r="H88" s="6" t="n">
        <v>373455</v>
      </c>
    </row>
    <row r="89" customFormat="false" ht="15" hidden="false" customHeight="false" outlineLevel="0" collapsed="false">
      <c r="A89" s="11" t="n">
        <v>43454</v>
      </c>
      <c r="B89" s="11" t="n">
        <v>43468</v>
      </c>
      <c r="C89" s="11" t="n">
        <v>43461</v>
      </c>
      <c r="D89" s="5" t="s">
        <v>27</v>
      </c>
      <c r="E89" s="5" t="s">
        <v>14</v>
      </c>
      <c r="F89" s="5" t="s">
        <v>13</v>
      </c>
      <c r="G89" s="5" t="s">
        <v>3</v>
      </c>
      <c r="H89" s="6" t="n">
        <v>53345</v>
      </c>
    </row>
    <row r="90" customFormat="false" ht="15" hidden="false" customHeight="false" outlineLevel="0" collapsed="false">
      <c r="A90" s="11" t="n">
        <v>43521</v>
      </c>
      <c r="B90" s="11" t="n">
        <v>43538</v>
      </c>
      <c r="C90" s="11" t="n">
        <v>43531</v>
      </c>
      <c r="D90" s="5" t="s">
        <v>27</v>
      </c>
      <c r="E90" s="5" t="s">
        <v>13</v>
      </c>
      <c r="F90" s="5" t="s">
        <v>13</v>
      </c>
      <c r="G90" s="5" t="s">
        <v>3</v>
      </c>
      <c r="H90" s="6" t="n">
        <v>88500</v>
      </c>
    </row>
    <row r="91" customFormat="false" ht="15" hidden="false" customHeight="false" outlineLevel="0" collapsed="false">
      <c r="A91" s="11" t="n">
        <v>43521</v>
      </c>
      <c r="B91" s="11" t="n">
        <v>43538</v>
      </c>
      <c r="C91" s="11" t="n">
        <v>43531</v>
      </c>
      <c r="D91" s="5" t="s">
        <v>27</v>
      </c>
      <c r="E91" s="5" t="s">
        <v>14</v>
      </c>
      <c r="F91" s="5" t="s">
        <v>13</v>
      </c>
      <c r="G91" s="5" t="s">
        <v>3</v>
      </c>
      <c r="H91" s="6" t="n">
        <v>190900</v>
      </c>
    </row>
    <row r="92" customFormat="false" ht="15" hidden="false" customHeight="false" outlineLevel="0" collapsed="false">
      <c r="A92" s="11" t="n">
        <v>43522</v>
      </c>
      <c r="B92" s="11" t="n">
        <v>43538</v>
      </c>
      <c r="C92" s="11" t="n">
        <v>43531</v>
      </c>
      <c r="D92" s="5" t="s">
        <v>27</v>
      </c>
      <c r="E92" s="5" t="s">
        <v>13</v>
      </c>
      <c r="F92" s="5" t="s">
        <v>13</v>
      </c>
      <c r="G92" s="5" t="s">
        <v>40</v>
      </c>
      <c r="H92" s="6" t="n">
        <v>48000</v>
      </c>
    </row>
    <row r="93" customFormat="false" ht="15" hidden="false" customHeight="false" outlineLevel="0" collapsed="false">
      <c r="A93" s="11" t="n">
        <v>43522</v>
      </c>
      <c r="B93" s="11" t="n">
        <v>43538</v>
      </c>
      <c r="C93" s="11" t="n">
        <v>43531</v>
      </c>
      <c r="D93" s="5" t="s">
        <v>27</v>
      </c>
      <c r="E93" s="5" t="s">
        <v>14</v>
      </c>
      <c r="F93" s="5" t="s">
        <v>13</v>
      </c>
      <c r="G93" s="5" t="s">
        <v>40</v>
      </c>
      <c r="H93" s="6" t="n">
        <v>72000</v>
      </c>
    </row>
    <row r="94" customFormat="false" ht="15" hidden="false" customHeight="false" outlineLevel="0" collapsed="false">
      <c r="A94" s="11" t="n">
        <v>43524</v>
      </c>
      <c r="B94" s="11" t="n">
        <v>43538</v>
      </c>
      <c r="C94" s="11" t="n">
        <v>43531</v>
      </c>
      <c r="D94" s="5" t="s">
        <v>27</v>
      </c>
      <c r="E94" s="5" t="s">
        <v>13</v>
      </c>
      <c r="F94" s="5" t="s">
        <v>13</v>
      </c>
      <c r="G94" s="5" t="s">
        <v>3</v>
      </c>
      <c r="H94" s="6" t="n">
        <v>168000</v>
      </c>
    </row>
    <row r="95" customFormat="false" ht="15" hidden="false" customHeight="false" outlineLevel="0" collapsed="false">
      <c r="A95" s="11" t="n">
        <v>43588</v>
      </c>
      <c r="B95" s="11" t="n">
        <v>43608</v>
      </c>
      <c r="C95" s="11" t="n">
        <v>43601</v>
      </c>
      <c r="D95" s="5" t="s">
        <v>27</v>
      </c>
      <c r="E95" s="5" t="s">
        <v>14</v>
      </c>
      <c r="F95" s="5" t="s">
        <v>13</v>
      </c>
      <c r="G95" s="5" t="s">
        <v>40</v>
      </c>
      <c r="H95" s="6" t="n">
        <v>293922</v>
      </c>
    </row>
    <row r="96" customFormat="false" ht="15" hidden="false" customHeight="false" outlineLevel="0" collapsed="false">
      <c r="A96" s="11" t="n">
        <v>43609</v>
      </c>
      <c r="B96" s="11" t="n">
        <v>43629</v>
      </c>
      <c r="C96" s="11" t="n">
        <v>43622</v>
      </c>
      <c r="D96" s="5" t="s">
        <v>27</v>
      </c>
      <c r="E96" s="5" t="s">
        <v>13</v>
      </c>
      <c r="F96" s="5" t="s">
        <v>13</v>
      </c>
      <c r="G96" s="5" t="s">
        <v>3</v>
      </c>
      <c r="H96" s="6" t="n">
        <v>113000</v>
      </c>
    </row>
    <row r="97" customFormat="false" ht="15" hidden="false" customHeight="false" outlineLevel="0" collapsed="false">
      <c r="A97" s="11" t="n">
        <v>43629</v>
      </c>
      <c r="B97" s="11" t="n">
        <v>43643</v>
      </c>
      <c r="C97" s="11" t="n">
        <v>43636</v>
      </c>
      <c r="D97" s="5" t="s">
        <v>27</v>
      </c>
      <c r="E97" s="5" t="s">
        <v>14</v>
      </c>
      <c r="F97" s="5" t="s">
        <v>13</v>
      </c>
      <c r="G97" s="5" t="s">
        <v>3</v>
      </c>
      <c r="H97" s="6" t="n">
        <v>175000</v>
      </c>
    </row>
    <row r="98" customFormat="false" ht="15" hidden="false" customHeight="false" outlineLevel="0" collapsed="false">
      <c r="A98" s="11" t="n">
        <v>43636</v>
      </c>
      <c r="B98" s="11" t="n">
        <v>43650</v>
      </c>
      <c r="C98" s="11" t="n">
        <v>43643</v>
      </c>
      <c r="D98" s="5" t="s">
        <v>27</v>
      </c>
      <c r="E98" s="5" t="s">
        <v>13</v>
      </c>
      <c r="F98" s="5" t="s">
        <v>13</v>
      </c>
      <c r="G98" s="5" t="s">
        <v>3</v>
      </c>
      <c r="H98" s="6" t="n">
        <v>52000</v>
      </c>
    </row>
    <row r="99" customFormat="false" ht="15" hidden="false" customHeight="false" outlineLevel="0" collapsed="false">
      <c r="A99" s="11" t="n">
        <v>43636</v>
      </c>
      <c r="B99" s="11" t="n">
        <v>43650</v>
      </c>
      <c r="C99" s="11" t="n">
        <v>43643</v>
      </c>
      <c r="D99" s="5" t="s">
        <v>27</v>
      </c>
      <c r="E99" s="5" t="s">
        <v>14</v>
      </c>
      <c r="F99" s="5" t="s">
        <v>13</v>
      </c>
      <c r="G99" s="5" t="s">
        <v>3</v>
      </c>
      <c r="H99" s="6" t="n">
        <v>70000</v>
      </c>
    </row>
    <row r="100" customFormat="false" ht="15" hidden="false" customHeight="false" outlineLevel="0" collapsed="false">
      <c r="A100" s="11" t="n">
        <v>43698</v>
      </c>
      <c r="B100" s="11" t="n">
        <v>43713</v>
      </c>
      <c r="C100" s="11" t="n">
        <v>43706</v>
      </c>
      <c r="D100" s="5" t="s">
        <v>27</v>
      </c>
      <c r="E100" s="5" t="s">
        <v>14</v>
      </c>
      <c r="F100" s="5" t="s">
        <v>13</v>
      </c>
      <c r="G100" s="5" t="s">
        <v>3</v>
      </c>
      <c r="H100" s="6" t="n">
        <v>328000</v>
      </c>
    </row>
    <row r="101" customFormat="false" ht="15" hidden="false" customHeight="false" outlineLevel="0" collapsed="false">
      <c r="A101" s="11" t="n">
        <v>43712</v>
      </c>
      <c r="B101" s="11" t="n">
        <v>43727</v>
      </c>
      <c r="C101" s="11" t="n">
        <v>43720</v>
      </c>
      <c r="D101" s="5" t="s">
        <v>27</v>
      </c>
      <c r="E101" s="5" t="s">
        <v>14</v>
      </c>
      <c r="F101" s="5" t="s">
        <v>14</v>
      </c>
      <c r="G101" s="5" t="s">
        <v>40</v>
      </c>
      <c r="H101" s="6" t="n">
        <v>451766</v>
      </c>
    </row>
    <row r="102" customFormat="false" ht="15" hidden="false" customHeight="false" outlineLevel="0" collapsed="false">
      <c r="A102" s="11" t="n">
        <v>43717</v>
      </c>
      <c r="B102" s="11" t="n">
        <v>43734</v>
      </c>
      <c r="C102" s="11" t="n">
        <v>43727</v>
      </c>
      <c r="D102" s="5" t="s">
        <v>27</v>
      </c>
      <c r="E102" s="5" t="s">
        <v>14</v>
      </c>
      <c r="F102" s="5" t="s">
        <v>14</v>
      </c>
      <c r="G102" s="5" t="s">
        <v>3</v>
      </c>
      <c r="H102" s="6" t="n">
        <v>590820</v>
      </c>
    </row>
    <row r="103" customFormat="false" ht="15" hidden="false" customHeight="false" outlineLevel="0" collapsed="false">
      <c r="A103" s="11" t="n">
        <v>43717</v>
      </c>
      <c r="B103" s="11" t="n">
        <v>43734</v>
      </c>
      <c r="C103" s="11" t="n">
        <v>43727</v>
      </c>
      <c r="D103" s="5" t="s">
        <v>27</v>
      </c>
      <c r="E103" s="5" t="s">
        <v>15</v>
      </c>
      <c r="F103" s="5" t="s">
        <v>14</v>
      </c>
      <c r="G103" s="5" t="s">
        <v>3</v>
      </c>
      <c r="H103" s="6" t="n">
        <v>60850</v>
      </c>
    </row>
    <row r="104" customFormat="false" ht="15" hidden="false" customHeight="false" outlineLevel="0" collapsed="false">
      <c r="A104" s="11" t="n">
        <v>43718</v>
      </c>
      <c r="B104" s="11" t="n">
        <v>43734</v>
      </c>
      <c r="C104" s="11" t="n">
        <v>43727</v>
      </c>
      <c r="D104" s="5" t="s">
        <v>27</v>
      </c>
      <c r="E104" s="5" t="s">
        <v>14</v>
      </c>
      <c r="F104" s="5" t="s">
        <v>14</v>
      </c>
      <c r="G104" s="5" t="s">
        <v>3</v>
      </c>
      <c r="H104" s="6" t="n">
        <v>278200</v>
      </c>
    </row>
    <row r="105" customFormat="false" ht="15" hidden="false" customHeight="false" outlineLevel="0" collapsed="false">
      <c r="A105" s="11" t="n">
        <v>43718</v>
      </c>
      <c r="B105" s="11" t="n">
        <v>43734</v>
      </c>
      <c r="C105" s="11" t="n">
        <v>43727</v>
      </c>
      <c r="D105" s="5" t="s">
        <v>27</v>
      </c>
      <c r="E105" s="5" t="s">
        <v>14</v>
      </c>
      <c r="F105" s="5" t="s">
        <v>14</v>
      </c>
      <c r="G105" s="5" t="s">
        <v>40</v>
      </c>
      <c r="H105" s="6" t="n">
        <v>138000</v>
      </c>
    </row>
    <row r="106" customFormat="false" ht="15" hidden="false" customHeight="false" outlineLevel="0" collapsed="false">
      <c r="A106" s="11" t="n">
        <v>43720</v>
      </c>
      <c r="B106" s="11" t="n">
        <v>43734</v>
      </c>
      <c r="C106" s="11" t="n">
        <v>43727</v>
      </c>
      <c r="D106" s="5" t="s">
        <v>27</v>
      </c>
      <c r="E106" s="5" t="s">
        <v>14</v>
      </c>
      <c r="F106" s="5" t="s">
        <v>14</v>
      </c>
      <c r="G106" s="5" t="s">
        <v>3</v>
      </c>
      <c r="H106" s="6" t="n">
        <v>113036</v>
      </c>
    </row>
    <row r="107" customFormat="false" ht="15" hidden="false" customHeight="false" outlineLevel="0" collapsed="false">
      <c r="A107" s="11" t="n">
        <v>43731</v>
      </c>
      <c r="B107" s="11" t="n">
        <v>43748</v>
      </c>
      <c r="C107" s="11" t="n">
        <v>43741</v>
      </c>
      <c r="D107" s="5" t="s">
        <v>27</v>
      </c>
      <c r="E107" s="5" t="s">
        <v>14</v>
      </c>
      <c r="F107" s="5" t="s">
        <v>14</v>
      </c>
      <c r="G107" s="5" t="s">
        <v>3</v>
      </c>
      <c r="H107" s="6" t="n">
        <v>200000</v>
      </c>
    </row>
    <row r="108" customFormat="false" ht="15" hidden="false" customHeight="false" outlineLevel="0" collapsed="false">
      <c r="A108" s="11" t="n">
        <v>43738</v>
      </c>
      <c r="B108" s="11" t="n">
        <v>43755</v>
      </c>
      <c r="C108" s="11" t="n">
        <v>43748</v>
      </c>
      <c r="D108" s="5" t="s">
        <v>27</v>
      </c>
      <c r="E108" s="5" t="s">
        <v>14</v>
      </c>
      <c r="F108" s="5" t="s">
        <v>14</v>
      </c>
      <c r="G108" s="5" t="s">
        <v>3</v>
      </c>
      <c r="H108" s="6" t="n">
        <v>120000</v>
      </c>
    </row>
    <row r="109" customFormat="false" ht="15" hidden="false" customHeight="false" outlineLevel="0" collapsed="false">
      <c r="A109" s="11" t="n">
        <v>43754</v>
      </c>
      <c r="B109" s="11" t="n">
        <v>43769</v>
      </c>
      <c r="C109" s="11" t="n">
        <v>43762</v>
      </c>
      <c r="D109" s="5" t="s">
        <v>27</v>
      </c>
      <c r="E109" s="5" t="s">
        <v>14</v>
      </c>
      <c r="F109" s="5" t="s">
        <v>14</v>
      </c>
      <c r="G109" s="5" t="s">
        <v>3</v>
      </c>
      <c r="H109" s="6" t="n">
        <v>137160</v>
      </c>
    </row>
    <row r="110" customFormat="false" ht="15" hidden="false" customHeight="false" outlineLevel="0" collapsed="false">
      <c r="A110" s="11" t="n">
        <v>43754</v>
      </c>
      <c r="B110" s="11" t="n">
        <v>43769</v>
      </c>
      <c r="C110" s="11" t="n">
        <v>43762</v>
      </c>
      <c r="D110" s="5" t="s">
        <v>27</v>
      </c>
      <c r="E110" s="5" t="s">
        <v>15</v>
      </c>
      <c r="F110" s="5" t="s">
        <v>14</v>
      </c>
      <c r="G110" s="5" t="s">
        <v>3</v>
      </c>
      <c r="H110" s="6" t="n">
        <v>91440</v>
      </c>
    </row>
    <row r="111" customFormat="false" ht="15" hidden="false" customHeight="false" outlineLevel="0" collapsed="false">
      <c r="A111" s="11" t="n">
        <v>43805</v>
      </c>
      <c r="B111" s="11" t="n">
        <v>43825</v>
      </c>
      <c r="C111" s="11" t="n">
        <v>43818</v>
      </c>
      <c r="D111" s="5" t="s">
        <v>27</v>
      </c>
      <c r="E111" s="5" t="s">
        <v>14</v>
      </c>
      <c r="F111" s="5" t="s">
        <v>14</v>
      </c>
      <c r="G111" s="5" t="s">
        <v>3</v>
      </c>
      <c r="H111" s="6" t="n">
        <v>245872</v>
      </c>
    </row>
    <row r="112" customFormat="false" ht="15" hidden="false" customHeight="false" outlineLevel="0" collapsed="false">
      <c r="A112" s="11" t="n">
        <v>43811</v>
      </c>
      <c r="B112" s="11" t="n">
        <v>43825</v>
      </c>
      <c r="C112" s="11" t="n">
        <v>43818</v>
      </c>
      <c r="D112" s="5" t="s">
        <v>27</v>
      </c>
      <c r="E112" s="5" t="s">
        <v>14</v>
      </c>
      <c r="F112" s="5" t="s">
        <v>14</v>
      </c>
      <c r="G112" s="5" t="s">
        <v>3</v>
      </c>
      <c r="H112" s="6" t="n">
        <v>1074420</v>
      </c>
    </row>
    <row r="113" customFormat="false" ht="15" hidden="false" customHeight="false" outlineLevel="0" collapsed="false">
      <c r="A113" s="11" t="n">
        <v>43811</v>
      </c>
      <c r="B113" s="11" t="n">
        <v>43825</v>
      </c>
      <c r="C113" s="11" t="n">
        <v>43818</v>
      </c>
      <c r="D113" s="5" t="s">
        <v>27</v>
      </c>
      <c r="E113" s="5" t="s">
        <v>15</v>
      </c>
      <c r="F113" s="5" t="s">
        <v>14</v>
      </c>
      <c r="G113" s="5" t="s">
        <v>3</v>
      </c>
      <c r="H113" s="6" t="n">
        <v>525780</v>
      </c>
    </row>
    <row r="114" customFormat="false" ht="15" hidden="false" customHeight="false" outlineLevel="0" collapsed="false">
      <c r="A114" s="11" t="n">
        <v>43858</v>
      </c>
      <c r="B114" s="11" t="n">
        <v>43874</v>
      </c>
      <c r="C114" s="11" t="n">
        <v>43867</v>
      </c>
      <c r="D114" s="5" t="s">
        <v>27</v>
      </c>
      <c r="E114" s="5" t="s">
        <v>14</v>
      </c>
      <c r="F114" s="5" t="s">
        <v>14</v>
      </c>
      <c r="G114" s="5" t="s">
        <v>3</v>
      </c>
      <c r="H114" s="6" t="n">
        <v>124355</v>
      </c>
    </row>
    <row r="115" customFormat="false" ht="15" hidden="false" customHeight="false" outlineLevel="0" collapsed="false">
      <c r="A115" s="11" t="n">
        <v>43885</v>
      </c>
      <c r="B115" s="11" t="n">
        <v>43902</v>
      </c>
      <c r="C115" s="11" t="n">
        <v>43895</v>
      </c>
      <c r="D115" s="5" t="s">
        <v>27</v>
      </c>
      <c r="E115" s="5" t="s">
        <v>14</v>
      </c>
      <c r="F115" s="5" t="s">
        <v>14</v>
      </c>
      <c r="G115" s="5" t="s">
        <v>40</v>
      </c>
      <c r="H115" s="6" t="n">
        <v>163290</v>
      </c>
    </row>
    <row r="116" customFormat="false" ht="15" hidden="false" customHeight="false" outlineLevel="0" collapsed="false">
      <c r="A116" s="11" t="n">
        <v>43917</v>
      </c>
      <c r="B116" s="11" t="n">
        <v>43937</v>
      </c>
      <c r="C116" s="11" t="n">
        <v>43930</v>
      </c>
      <c r="D116" s="5" t="s">
        <v>27</v>
      </c>
      <c r="E116" s="5" t="s">
        <v>14</v>
      </c>
      <c r="F116" s="5" t="s">
        <v>14</v>
      </c>
      <c r="G116" s="5" t="s">
        <v>40</v>
      </c>
      <c r="H116" s="6" t="n">
        <v>163290</v>
      </c>
    </row>
    <row r="117" customFormat="false" ht="15" hidden="false" customHeight="false" outlineLevel="0" collapsed="false">
      <c r="A117" s="11" t="n">
        <v>43920</v>
      </c>
      <c r="B117" s="11" t="n">
        <v>43937</v>
      </c>
      <c r="C117" s="11" t="n">
        <v>43930</v>
      </c>
      <c r="D117" s="5" t="s">
        <v>27</v>
      </c>
      <c r="E117" s="5" t="s">
        <v>15</v>
      </c>
      <c r="F117" s="5" t="s">
        <v>14</v>
      </c>
      <c r="G117" s="5" t="s">
        <v>40</v>
      </c>
      <c r="H117" s="6" t="n">
        <v>285000</v>
      </c>
    </row>
    <row r="118" customFormat="false" ht="15" hidden="false" customHeight="false" outlineLevel="0" collapsed="false">
      <c r="A118" s="11" t="n">
        <v>43945</v>
      </c>
      <c r="B118" s="11" t="n">
        <v>43965</v>
      </c>
      <c r="C118" s="11" t="n">
        <v>43958</v>
      </c>
      <c r="D118" s="5" t="s">
        <v>27</v>
      </c>
      <c r="E118" s="5" t="s">
        <v>14</v>
      </c>
      <c r="F118" s="5" t="s">
        <v>14</v>
      </c>
      <c r="G118" s="5" t="s">
        <v>3</v>
      </c>
      <c r="H118" s="6" t="n">
        <v>369600</v>
      </c>
    </row>
    <row r="119" customFormat="false" ht="15" hidden="false" customHeight="false" outlineLevel="0" collapsed="false">
      <c r="A119" s="11" t="n">
        <v>43945</v>
      </c>
      <c r="B119" s="11" t="n">
        <v>43965</v>
      </c>
      <c r="C119" s="11" t="n">
        <v>43958</v>
      </c>
      <c r="D119" s="5" t="s">
        <v>27</v>
      </c>
      <c r="E119" s="5" t="s">
        <v>15</v>
      </c>
      <c r="F119" s="5" t="s">
        <v>14</v>
      </c>
      <c r="G119" s="5" t="s">
        <v>3</v>
      </c>
      <c r="H119" s="6" t="n">
        <v>219795</v>
      </c>
    </row>
    <row r="120" customFormat="false" ht="15" hidden="false" customHeight="false" outlineLevel="0" collapsed="false">
      <c r="A120" s="11" t="n">
        <v>43945</v>
      </c>
      <c r="B120" s="11" t="n">
        <v>43965</v>
      </c>
      <c r="C120" s="11" t="n">
        <v>43958</v>
      </c>
      <c r="D120" s="5" t="s">
        <v>27</v>
      </c>
      <c r="E120" s="5" t="s">
        <v>14</v>
      </c>
      <c r="F120" s="5" t="s">
        <v>14</v>
      </c>
      <c r="G120" s="5" t="s">
        <v>40</v>
      </c>
      <c r="H120" s="6" t="n">
        <v>39000</v>
      </c>
    </row>
    <row r="121" customFormat="false" ht="15" hidden="false" customHeight="false" outlineLevel="0" collapsed="false">
      <c r="A121" s="11" t="n">
        <v>43945</v>
      </c>
      <c r="B121" s="11" t="n">
        <v>43965</v>
      </c>
      <c r="C121" s="11" t="n">
        <v>43958</v>
      </c>
      <c r="D121" s="5" t="s">
        <v>27</v>
      </c>
      <c r="E121" s="5" t="s">
        <v>15</v>
      </c>
      <c r="F121" s="5" t="s">
        <v>14</v>
      </c>
      <c r="G121" s="5" t="s">
        <v>40</v>
      </c>
      <c r="H121" s="6" t="n">
        <v>86000</v>
      </c>
    </row>
    <row r="122" customFormat="false" ht="15" hidden="false" customHeight="false" outlineLevel="0" collapsed="false">
      <c r="A122" s="11" t="n">
        <v>43950</v>
      </c>
      <c r="B122" s="11" t="n">
        <v>43965</v>
      </c>
      <c r="C122" s="11" t="n">
        <v>43958</v>
      </c>
      <c r="D122" s="5" t="s">
        <v>27</v>
      </c>
      <c r="E122" s="5" t="s">
        <v>14</v>
      </c>
      <c r="F122" s="5" t="s">
        <v>14</v>
      </c>
      <c r="G122" s="5" t="s">
        <v>40</v>
      </c>
      <c r="H122" s="6" t="n">
        <v>65316</v>
      </c>
    </row>
    <row r="123" customFormat="false" ht="15" hidden="false" customHeight="false" outlineLevel="0" collapsed="false">
      <c r="A123" s="11" t="n">
        <v>43950</v>
      </c>
      <c r="B123" s="11" t="n">
        <v>43965</v>
      </c>
      <c r="C123" s="11" t="n">
        <v>43958</v>
      </c>
      <c r="D123" s="5" t="s">
        <v>27</v>
      </c>
      <c r="E123" s="5" t="s">
        <v>15</v>
      </c>
      <c r="F123" s="5" t="s">
        <v>14</v>
      </c>
      <c r="G123" s="5" t="s">
        <v>40</v>
      </c>
      <c r="H123" s="6" t="n">
        <v>43544</v>
      </c>
    </row>
    <row r="124" customFormat="false" ht="15" hidden="false" customHeight="false" outlineLevel="0" collapsed="false">
      <c r="A124" s="11" t="n">
        <v>43956</v>
      </c>
      <c r="B124" s="11" t="n">
        <v>43972</v>
      </c>
      <c r="C124" s="11" t="n">
        <v>43965</v>
      </c>
      <c r="D124" s="5" t="s">
        <v>27</v>
      </c>
      <c r="E124" s="5" t="s">
        <v>14</v>
      </c>
      <c r="F124" s="5" t="s">
        <v>14</v>
      </c>
      <c r="G124" s="5" t="s">
        <v>3</v>
      </c>
      <c r="H124" s="6" t="n">
        <v>45220</v>
      </c>
    </row>
    <row r="125" customFormat="false" ht="15" hidden="false" customHeight="false" outlineLevel="0" collapsed="false">
      <c r="A125" s="11" t="n">
        <v>43956</v>
      </c>
      <c r="B125" s="11" t="n">
        <v>43972</v>
      </c>
      <c r="C125" s="11" t="n">
        <v>43965</v>
      </c>
      <c r="D125" s="5" t="s">
        <v>27</v>
      </c>
      <c r="E125" s="5" t="s">
        <v>15</v>
      </c>
      <c r="F125" s="5" t="s">
        <v>14</v>
      </c>
      <c r="G125" s="5" t="s">
        <v>3</v>
      </c>
      <c r="H125" s="6" t="n">
        <v>63915</v>
      </c>
    </row>
    <row r="126" customFormat="false" ht="15" hidden="false" customHeight="false" outlineLevel="0" collapsed="false">
      <c r="A126" s="11" t="n">
        <v>44018</v>
      </c>
      <c r="B126" s="11" t="n">
        <v>44035</v>
      </c>
      <c r="C126" s="11" t="n">
        <v>44028</v>
      </c>
      <c r="D126" s="5" t="s">
        <v>27</v>
      </c>
      <c r="E126" s="5" t="s">
        <v>15</v>
      </c>
      <c r="F126" s="5" t="s">
        <v>14</v>
      </c>
      <c r="G126" s="5" t="s">
        <v>3</v>
      </c>
      <c r="H126" s="6" t="n">
        <v>121920</v>
      </c>
    </row>
    <row r="127" customFormat="false" ht="15" hidden="false" customHeight="false" outlineLevel="0" collapsed="false">
      <c r="A127" s="11" t="n">
        <v>44018</v>
      </c>
      <c r="B127" s="11" t="n">
        <v>44035</v>
      </c>
      <c r="C127" s="11" t="n">
        <v>44028</v>
      </c>
      <c r="D127" s="5" t="s">
        <v>27</v>
      </c>
      <c r="E127" s="5" t="s">
        <v>16</v>
      </c>
      <c r="F127" s="5" t="s">
        <v>14</v>
      </c>
      <c r="G127" s="5" t="s">
        <v>3</v>
      </c>
      <c r="H127" s="6" t="n">
        <v>60960</v>
      </c>
    </row>
    <row r="128" customFormat="false" ht="15" hidden="false" customHeight="false" outlineLevel="0" collapsed="false">
      <c r="A128" s="11" t="n">
        <v>44039</v>
      </c>
      <c r="B128" s="11" t="n">
        <v>44056</v>
      </c>
      <c r="C128" s="11" t="n">
        <v>44049</v>
      </c>
      <c r="D128" s="5" t="s">
        <v>27</v>
      </c>
      <c r="E128" s="5" t="s">
        <v>15</v>
      </c>
      <c r="F128" s="5" t="s">
        <v>14</v>
      </c>
      <c r="G128" s="5" t="s">
        <v>40</v>
      </c>
      <c r="H128" s="6" t="n">
        <v>250371</v>
      </c>
    </row>
    <row r="129" customFormat="false" ht="15" hidden="false" customHeight="false" outlineLevel="0" collapsed="false">
      <c r="A129" s="11" t="n">
        <v>44043</v>
      </c>
      <c r="B129" s="11" t="n">
        <v>44063</v>
      </c>
      <c r="C129" s="11" t="n">
        <v>44056</v>
      </c>
      <c r="D129" s="5" t="s">
        <v>27</v>
      </c>
      <c r="E129" s="5" t="s">
        <v>15</v>
      </c>
      <c r="F129" s="5" t="s">
        <v>14</v>
      </c>
      <c r="G129" s="5" t="s">
        <v>3</v>
      </c>
      <c r="H129" s="6" t="n">
        <v>114300</v>
      </c>
    </row>
    <row r="130" customFormat="false" ht="15" hidden="false" customHeight="false" outlineLevel="0" collapsed="false">
      <c r="A130" s="11" t="n">
        <v>44103</v>
      </c>
      <c r="B130" s="11" t="n">
        <v>44119</v>
      </c>
      <c r="C130" s="11" t="n">
        <v>44112</v>
      </c>
      <c r="D130" s="5" t="s">
        <v>27</v>
      </c>
      <c r="E130" s="5" t="s">
        <v>15</v>
      </c>
      <c r="F130" s="5" t="s">
        <v>15</v>
      </c>
      <c r="G130" s="5" t="s">
        <v>40</v>
      </c>
      <c r="H130" s="6" t="n">
        <v>100000</v>
      </c>
    </row>
    <row r="131" customFormat="false" ht="15" hidden="false" customHeight="false" outlineLevel="0" collapsed="false">
      <c r="A131" s="11" t="n">
        <v>44109</v>
      </c>
      <c r="B131" s="11" t="n">
        <v>44126</v>
      </c>
      <c r="C131" s="11" t="n">
        <v>44119</v>
      </c>
      <c r="D131" s="5" t="s">
        <v>27</v>
      </c>
      <c r="E131" s="5" t="s">
        <v>15</v>
      </c>
      <c r="F131" s="5" t="s">
        <v>15</v>
      </c>
      <c r="G131" s="5" t="s">
        <v>3</v>
      </c>
      <c r="H131" s="6" t="n">
        <v>160020</v>
      </c>
    </row>
    <row r="132" customFormat="false" ht="15" hidden="false" customHeight="false" outlineLevel="0" collapsed="false">
      <c r="A132" s="11" t="n">
        <v>44112</v>
      </c>
      <c r="B132" s="11" t="n">
        <v>44126</v>
      </c>
      <c r="C132" s="11" t="n">
        <v>44119</v>
      </c>
      <c r="D132" s="5" t="s">
        <v>27</v>
      </c>
      <c r="E132" s="5" t="s">
        <v>15</v>
      </c>
      <c r="F132" s="5" t="s">
        <v>15</v>
      </c>
      <c r="G132" s="5" t="s">
        <v>40</v>
      </c>
      <c r="H132" s="6" t="n">
        <v>152404</v>
      </c>
    </row>
    <row r="133" customFormat="false" ht="15" hidden="false" customHeight="false" outlineLevel="0" collapsed="false">
      <c r="A133" s="11" t="n">
        <v>44117</v>
      </c>
      <c r="B133" s="11" t="n">
        <v>44133</v>
      </c>
      <c r="C133" s="11" t="n">
        <v>44126</v>
      </c>
      <c r="D133" s="5" t="s">
        <v>27</v>
      </c>
      <c r="E133" s="5" t="s">
        <v>15</v>
      </c>
      <c r="F133" s="5" t="s">
        <v>15</v>
      </c>
      <c r="G133" s="5" t="s">
        <v>3</v>
      </c>
      <c r="H133" s="6" t="n">
        <v>110000</v>
      </c>
    </row>
    <row r="134" customFormat="false" ht="15" hidden="false" customHeight="false" outlineLevel="0" collapsed="false">
      <c r="A134" s="11" t="n">
        <v>44120</v>
      </c>
      <c r="B134" s="11" t="n">
        <v>44140</v>
      </c>
      <c r="C134" s="11" t="n">
        <v>44133</v>
      </c>
      <c r="D134" s="5" t="s">
        <v>27</v>
      </c>
      <c r="E134" s="5" t="s">
        <v>15</v>
      </c>
      <c r="F134" s="5" t="s">
        <v>15</v>
      </c>
      <c r="G134" s="5" t="s">
        <v>3</v>
      </c>
      <c r="H134" s="6" t="n">
        <v>128000</v>
      </c>
    </row>
    <row r="135" customFormat="false" ht="15" hidden="false" customHeight="false" outlineLevel="0" collapsed="false">
      <c r="A135" s="11" t="n">
        <v>44123</v>
      </c>
      <c r="B135" s="11" t="n">
        <v>44140</v>
      </c>
      <c r="C135" s="11" t="n">
        <v>44133</v>
      </c>
      <c r="D135" s="5" t="s">
        <v>27</v>
      </c>
      <c r="E135" s="5" t="s">
        <v>15</v>
      </c>
      <c r="F135" s="5" t="s">
        <v>15</v>
      </c>
      <c r="G135" s="5" t="s">
        <v>3</v>
      </c>
      <c r="H135" s="6" t="n">
        <v>123000</v>
      </c>
    </row>
    <row r="136" customFormat="false" ht="15" hidden="false" customHeight="false" outlineLevel="0" collapsed="false">
      <c r="A136" s="11" t="n">
        <v>44126</v>
      </c>
      <c r="B136" s="11" t="n">
        <v>44140</v>
      </c>
      <c r="C136" s="11" t="n">
        <v>44133</v>
      </c>
      <c r="D136" s="5" t="s">
        <v>27</v>
      </c>
      <c r="E136" s="5" t="s">
        <v>15</v>
      </c>
      <c r="F136" s="5" t="s">
        <v>15</v>
      </c>
      <c r="G136" s="5" t="s">
        <v>40</v>
      </c>
      <c r="H136" s="6" t="n">
        <v>152404</v>
      </c>
    </row>
    <row r="137" customFormat="false" ht="15" hidden="false" customHeight="false" outlineLevel="0" collapsed="false">
      <c r="A137" s="11" t="n">
        <v>44133</v>
      </c>
      <c r="B137" s="11" t="n">
        <v>44147</v>
      </c>
      <c r="C137" s="11" t="n">
        <v>44140</v>
      </c>
      <c r="D137" s="5" t="s">
        <v>27</v>
      </c>
      <c r="E137" s="5" t="s">
        <v>15</v>
      </c>
      <c r="F137" s="5" t="s">
        <v>15</v>
      </c>
      <c r="G137" s="5" t="s">
        <v>3</v>
      </c>
      <c r="H137" s="6" t="n">
        <v>891540</v>
      </c>
    </row>
    <row r="138" customFormat="false" ht="15" hidden="false" customHeight="false" outlineLevel="0" collapsed="false">
      <c r="A138" s="11" t="n">
        <v>44133</v>
      </c>
      <c r="B138" s="11" t="n">
        <v>44147</v>
      </c>
      <c r="C138" s="11" t="n">
        <v>44140</v>
      </c>
      <c r="D138" s="5" t="s">
        <v>27</v>
      </c>
      <c r="E138" s="5" t="s">
        <v>16</v>
      </c>
      <c r="F138" s="5" t="s">
        <v>15</v>
      </c>
      <c r="G138" s="5" t="s">
        <v>3</v>
      </c>
      <c r="H138" s="6" t="n">
        <v>541010</v>
      </c>
    </row>
    <row r="139" customFormat="false" ht="15" hidden="false" customHeight="false" outlineLevel="0" collapsed="false">
      <c r="A139" s="11" t="n">
        <v>44152</v>
      </c>
      <c r="B139" s="11" t="n">
        <v>44168</v>
      </c>
      <c r="C139" s="11" t="n">
        <v>44161</v>
      </c>
      <c r="D139" s="5" t="s">
        <v>27</v>
      </c>
      <c r="E139" s="5" t="s">
        <v>15</v>
      </c>
      <c r="F139" s="5" t="s">
        <v>15</v>
      </c>
      <c r="G139" s="5" t="s">
        <v>3</v>
      </c>
      <c r="H139" s="6" t="n">
        <v>195000</v>
      </c>
    </row>
    <row r="140" customFormat="false" ht="15" hidden="false" customHeight="false" outlineLevel="0" collapsed="false">
      <c r="A140" s="11" t="n">
        <v>44155</v>
      </c>
      <c r="B140" s="11" t="n">
        <v>44175</v>
      </c>
      <c r="C140" s="11" t="n">
        <v>44168</v>
      </c>
      <c r="D140" s="5" t="s">
        <v>27</v>
      </c>
      <c r="E140" s="5" t="s">
        <v>15</v>
      </c>
      <c r="F140" s="5" t="s">
        <v>15</v>
      </c>
      <c r="G140" s="5" t="s">
        <v>3</v>
      </c>
      <c r="H140" s="6" t="n">
        <v>158270</v>
      </c>
    </row>
    <row r="141" customFormat="false" ht="15" hidden="false" customHeight="false" outlineLevel="0" collapsed="false">
      <c r="A141" s="11" t="n">
        <v>44162</v>
      </c>
      <c r="B141" s="11" t="n">
        <v>44182</v>
      </c>
      <c r="C141" s="11" t="n">
        <v>44175</v>
      </c>
      <c r="D141" s="5" t="s">
        <v>27</v>
      </c>
      <c r="E141" s="5" t="s">
        <v>15</v>
      </c>
      <c r="F141" s="5" t="s">
        <v>15</v>
      </c>
      <c r="G141" s="5" t="s">
        <v>3</v>
      </c>
      <c r="H141" s="6" t="n">
        <v>302160</v>
      </c>
    </row>
    <row r="142" customFormat="false" ht="15" hidden="false" customHeight="false" outlineLevel="0" collapsed="false">
      <c r="A142" s="11" t="n">
        <v>44169</v>
      </c>
      <c r="B142" s="11" t="n">
        <v>44189</v>
      </c>
      <c r="C142" s="11" t="n">
        <v>44182</v>
      </c>
      <c r="D142" s="5" t="s">
        <v>27</v>
      </c>
      <c r="E142" s="5" t="s">
        <v>15</v>
      </c>
      <c r="F142" s="5" t="s">
        <v>15</v>
      </c>
      <c r="G142" s="5" t="s">
        <v>3</v>
      </c>
      <c r="H142" s="6" t="n">
        <v>182020</v>
      </c>
    </row>
    <row r="143" customFormat="false" ht="15" hidden="false" customHeight="false" outlineLevel="0" collapsed="false">
      <c r="A143" s="11" t="n">
        <v>44174</v>
      </c>
      <c r="B143" s="11" t="n">
        <v>44189</v>
      </c>
      <c r="C143" s="11" t="n">
        <v>44182</v>
      </c>
      <c r="D143" s="5" t="s">
        <v>27</v>
      </c>
      <c r="E143" s="5" t="s">
        <v>15</v>
      </c>
      <c r="F143" s="5" t="s">
        <v>15</v>
      </c>
      <c r="G143" s="5" t="s">
        <v>3</v>
      </c>
      <c r="H143" s="6" t="n">
        <v>257071</v>
      </c>
    </row>
    <row r="144" customFormat="false" ht="15" hidden="false" customHeight="false" outlineLevel="0" collapsed="false">
      <c r="A144" s="11" t="n">
        <v>44175</v>
      </c>
      <c r="B144" s="11" t="n">
        <v>44189</v>
      </c>
      <c r="C144" s="11" t="n">
        <v>44182</v>
      </c>
      <c r="D144" s="5" t="s">
        <v>27</v>
      </c>
      <c r="E144" s="5" t="s">
        <v>15</v>
      </c>
      <c r="F144" s="5" t="s">
        <v>15</v>
      </c>
      <c r="G144" s="5" t="s">
        <v>3</v>
      </c>
      <c r="H144" s="6" t="n">
        <v>344442</v>
      </c>
    </row>
    <row r="145" customFormat="false" ht="15" hidden="false" customHeight="false" outlineLevel="0" collapsed="false">
      <c r="A145" s="11" t="n">
        <v>44211</v>
      </c>
      <c r="B145" s="11" t="n">
        <v>44231</v>
      </c>
      <c r="C145" s="11" t="n">
        <v>44224</v>
      </c>
      <c r="D145" s="5" t="s">
        <v>27</v>
      </c>
      <c r="E145" s="5" t="s">
        <v>15</v>
      </c>
      <c r="F145" s="5" t="s">
        <v>15</v>
      </c>
      <c r="G145" s="5" t="s">
        <v>3</v>
      </c>
      <c r="H145" s="6" t="n">
        <v>110000</v>
      </c>
    </row>
    <row r="146" customFormat="false" ht="15" hidden="false" customHeight="false" outlineLevel="0" collapsed="false">
      <c r="A146" s="11" t="n">
        <v>44217</v>
      </c>
      <c r="B146" s="11" t="n">
        <v>44231</v>
      </c>
      <c r="C146" s="11" t="n">
        <v>44224</v>
      </c>
      <c r="D146" s="5" t="s">
        <v>27</v>
      </c>
      <c r="E146" s="5" t="s">
        <v>15</v>
      </c>
      <c r="F146" s="5" t="s">
        <v>15</v>
      </c>
      <c r="G146" s="5" t="s">
        <v>40</v>
      </c>
      <c r="H146" s="6" t="n">
        <v>163290</v>
      </c>
    </row>
    <row r="147" customFormat="false" ht="15" hidden="false" customHeight="false" outlineLevel="0" collapsed="false">
      <c r="A147" s="11" t="n">
        <v>44228</v>
      </c>
      <c r="B147" s="11" t="n">
        <v>44245</v>
      </c>
      <c r="C147" s="11" t="n">
        <v>44238</v>
      </c>
      <c r="D147" s="5" t="s">
        <v>27</v>
      </c>
      <c r="E147" s="5" t="s">
        <v>15</v>
      </c>
      <c r="F147" s="5" t="s">
        <v>15</v>
      </c>
      <c r="G147" s="5" t="s">
        <v>3</v>
      </c>
      <c r="H147" s="6" t="n">
        <v>125730</v>
      </c>
    </row>
    <row r="148" customFormat="false" ht="15" hidden="false" customHeight="false" outlineLevel="0" collapsed="false">
      <c r="A148" s="11" t="n">
        <v>44229</v>
      </c>
      <c r="B148" s="11" t="n">
        <v>44245</v>
      </c>
      <c r="C148" s="11" t="n">
        <v>44238</v>
      </c>
      <c r="D148" s="5" t="s">
        <v>27</v>
      </c>
      <c r="E148" s="5" t="s">
        <v>15</v>
      </c>
      <c r="F148" s="5" t="s">
        <v>15</v>
      </c>
      <c r="G148" s="5" t="s">
        <v>3</v>
      </c>
      <c r="H148" s="6" t="n">
        <v>115000</v>
      </c>
    </row>
    <row r="149" customFormat="false" ht="15" hidden="false" customHeight="false" outlineLevel="0" collapsed="false">
      <c r="A149" s="11" t="n">
        <v>44306</v>
      </c>
      <c r="B149" s="11" t="n">
        <v>44322</v>
      </c>
      <c r="C149" s="11" t="n">
        <v>44315</v>
      </c>
      <c r="D149" s="5" t="s">
        <v>27</v>
      </c>
      <c r="E149" s="5" t="s">
        <v>15</v>
      </c>
      <c r="F149" s="5" t="s">
        <v>15</v>
      </c>
      <c r="G149" s="5" t="s">
        <v>3</v>
      </c>
      <c r="H149" s="6" t="n">
        <v>114300</v>
      </c>
    </row>
    <row r="150" customFormat="false" ht="15" hidden="false" customHeight="false" outlineLevel="0" collapsed="false">
      <c r="A150" s="11" t="n">
        <v>44321</v>
      </c>
      <c r="B150" s="11" t="n">
        <v>44336</v>
      </c>
      <c r="C150" s="11" t="n">
        <v>44329</v>
      </c>
      <c r="D150" s="5" t="s">
        <v>27</v>
      </c>
      <c r="E150" s="5" t="s">
        <v>16</v>
      </c>
      <c r="F150" s="5" t="s">
        <v>15</v>
      </c>
      <c r="G150" s="5" t="s">
        <v>3</v>
      </c>
      <c r="H150" s="6" t="n">
        <v>184100</v>
      </c>
    </row>
    <row r="151" customFormat="false" ht="15" hidden="false" customHeight="false" outlineLevel="0" collapsed="false">
      <c r="A151" s="11" t="n">
        <v>44328</v>
      </c>
      <c r="B151" s="11" t="n">
        <v>44343</v>
      </c>
      <c r="C151" s="11" t="n">
        <v>44336</v>
      </c>
      <c r="D151" s="5" t="s">
        <v>27</v>
      </c>
      <c r="E151" s="5" t="s">
        <v>15</v>
      </c>
      <c r="F151" s="5" t="s">
        <v>15</v>
      </c>
      <c r="G151" s="5" t="s">
        <v>3</v>
      </c>
      <c r="H151" s="6" t="n">
        <v>30000</v>
      </c>
    </row>
    <row r="152" customFormat="false" ht="15" hidden="false" customHeight="false" outlineLevel="0" collapsed="false">
      <c r="A152" s="11" t="n">
        <v>44328</v>
      </c>
      <c r="B152" s="11" t="n">
        <v>44343</v>
      </c>
      <c r="C152" s="11" t="n">
        <v>44336</v>
      </c>
      <c r="D152" s="5" t="s">
        <v>27</v>
      </c>
      <c r="E152" s="5" t="s">
        <v>16</v>
      </c>
      <c r="F152" s="5" t="s">
        <v>15</v>
      </c>
      <c r="G152" s="5" t="s">
        <v>3</v>
      </c>
      <c r="H152" s="6" t="n">
        <v>70000</v>
      </c>
    </row>
    <row r="153" customFormat="false" ht="15" hidden="false" customHeight="false" outlineLevel="0" collapsed="false">
      <c r="A153" s="11" t="n">
        <v>44333</v>
      </c>
      <c r="B153" s="11" t="n">
        <v>44350</v>
      </c>
      <c r="C153" s="11" t="n">
        <v>44343</v>
      </c>
      <c r="D153" s="5" t="s">
        <v>27</v>
      </c>
      <c r="E153" s="5" t="s">
        <v>16</v>
      </c>
      <c r="F153" s="5" t="s">
        <v>15</v>
      </c>
      <c r="G153" s="5" t="s">
        <v>3</v>
      </c>
      <c r="H153" s="6" t="n">
        <v>128000</v>
      </c>
    </row>
    <row r="154" customFormat="false" ht="15" hidden="false" customHeight="false" outlineLevel="0" collapsed="false">
      <c r="A154" s="11" t="n">
        <v>44335</v>
      </c>
      <c r="B154" s="11" t="n">
        <v>44350</v>
      </c>
      <c r="C154" s="11" t="n">
        <v>44343</v>
      </c>
      <c r="D154" s="5" t="s">
        <v>27</v>
      </c>
      <c r="E154" s="5" t="s">
        <v>16</v>
      </c>
      <c r="F154" s="5" t="s">
        <v>15</v>
      </c>
      <c r="G154" s="5" t="s">
        <v>40</v>
      </c>
      <c r="H154" s="6" t="n">
        <v>142500</v>
      </c>
    </row>
    <row r="155" customFormat="false" ht="15" hidden="false" customHeight="false" outlineLevel="0" collapsed="false">
      <c r="A155" s="11" t="n">
        <v>44386</v>
      </c>
      <c r="B155" s="11" t="n">
        <v>44406</v>
      </c>
      <c r="C155" s="11" t="n">
        <v>44399</v>
      </c>
      <c r="D155" s="5" t="s">
        <v>27</v>
      </c>
      <c r="E155" s="5" t="s">
        <v>16</v>
      </c>
      <c r="F155" s="5" t="s">
        <v>15</v>
      </c>
      <c r="G155" s="5" t="s">
        <v>40</v>
      </c>
      <c r="H155" s="6" t="n">
        <v>228600</v>
      </c>
    </row>
    <row r="156" customFormat="false" ht="15" hidden="false" customHeight="false" outlineLevel="0" collapsed="false">
      <c r="A156" s="11" t="n">
        <v>44400</v>
      </c>
      <c r="B156" s="11" t="n">
        <v>44420</v>
      </c>
      <c r="C156" s="11" t="n">
        <v>44413</v>
      </c>
      <c r="D156" s="5" t="s">
        <v>27</v>
      </c>
      <c r="E156" s="5" t="s">
        <v>16</v>
      </c>
      <c r="F156" s="5" t="s">
        <v>15</v>
      </c>
      <c r="G156" s="5" t="s">
        <v>40</v>
      </c>
      <c r="H156" s="6" t="n">
        <v>100000</v>
      </c>
    </row>
    <row r="157" customFormat="false" ht="15" hidden="false" customHeight="false" outlineLevel="0" collapsed="false">
      <c r="A157" s="11" t="n">
        <v>44418</v>
      </c>
      <c r="B157" s="11" t="n">
        <v>44434</v>
      </c>
      <c r="C157" s="11" t="n">
        <v>44427</v>
      </c>
      <c r="D157" s="5" t="s">
        <v>27</v>
      </c>
      <c r="E157" s="5" t="s">
        <v>16</v>
      </c>
      <c r="F157" s="5" t="s">
        <v>15</v>
      </c>
      <c r="G157" s="5" t="s">
        <v>3</v>
      </c>
      <c r="H157" s="6" t="n">
        <v>152400</v>
      </c>
    </row>
    <row r="158" customFormat="false" ht="15" hidden="false" customHeight="false" outlineLevel="0" collapsed="false">
      <c r="A158" s="11" t="n">
        <v>44418</v>
      </c>
      <c r="B158" s="11" t="n">
        <v>44434</v>
      </c>
      <c r="C158" s="11" t="n">
        <v>44427</v>
      </c>
      <c r="D158" s="5" t="s">
        <v>27</v>
      </c>
      <c r="E158" s="5" t="s">
        <v>17</v>
      </c>
      <c r="F158" s="5" t="s">
        <v>15</v>
      </c>
      <c r="G158" s="5" t="s">
        <v>3</v>
      </c>
      <c r="H158" s="6" t="n">
        <v>30480</v>
      </c>
    </row>
    <row r="159" customFormat="false" ht="15" hidden="false" customHeight="false" outlineLevel="0" collapsed="false">
      <c r="A159" s="11" t="n">
        <v>44427</v>
      </c>
      <c r="B159" s="11" t="n">
        <v>44441</v>
      </c>
      <c r="C159" s="11" t="n">
        <v>44434</v>
      </c>
      <c r="D159" s="5" t="s">
        <v>27</v>
      </c>
      <c r="E159" s="5" t="s">
        <v>16</v>
      </c>
      <c r="F159" s="5" t="s">
        <v>15</v>
      </c>
      <c r="G159" s="5" t="s">
        <v>40</v>
      </c>
      <c r="H159" s="6" t="n">
        <v>148590</v>
      </c>
    </row>
    <row r="160" customFormat="false" ht="15" hidden="false" customHeight="false" outlineLevel="0" collapsed="false">
      <c r="A160" s="11" t="n">
        <v>44431</v>
      </c>
      <c r="B160" s="11" t="n">
        <v>44448</v>
      </c>
      <c r="C160" s="11" t="n">
        <v>44441</v>
      </c>
      <c r="D160" s="5" t="s">
        <v>27</v>
      </c>
      <c r="E160" s="5" t="s">
        <v>16</v>
      </c>
      <c r="F160" s="5" t="s">
        <v>15</v>
      </c>
      <c r="G160" s="5" t="s">
        <v>3</v>
      </c>
      <c r="H160" s="6" t="n">
        <v>458600</v>
      </c>
    </row>
    <row r="161" customFormat="false" ht="15" hidden="false" customHeight="false" outlineLevel="0" collapsed="false">
      <c r="A161" s="11" t="n">
        <v>44432</v>
      </c>
      <c r="B161" s="11" t="n">
        <v>44448</v>
      </c>
      <c r="C161" s="11" t="n">
        <v>44441</v>
      </c>
      <c r="D161" s="5" t="s">
        <v>27</v>
      </c>
      <c r="E161" s="5" t="s">
        <v>16</v>
      </c>
      <c r="F161" s="5" t="s">
        <v>15</v>
      </c>
      <c r="G161" s="5" t="s">
        <v>3</v>
      </c>
      <c r="H161" s="6" t="n">
        <v>125300</v>
      </c>
    </row>
    <row r="162" customFormat="false" ht="15" hidden="false" customHeight="false" outlineLevel="0" collapsed="false">
      <c r="A162" s="11" t="n">
        <v>44467</v>
      </c>
      <c r="B162" s="11" t="n">
        <v>44483</v>
      </c>
      <c r="C162" s="11" t="n">
        <v>44476</v>
      </c>
      <c r="D162" s="5" t="s">
        <v>27</v>
      </c>
      <c r="E162" s="5" t="s">
        <v>16</v>
      </c>
      <c r="F162" s="5" t="s">
        <v>16</v>
      </c>
      <c r="G162" s="5" t="s">
        <v>3</v>
      </c>
      <c r="H162" s="6" t="n">
        <v>150000</v>
      </c>
    </row>
    <row r="163" customFormat="false" ht="15" hidden="false" customHeight="false" outlineLevel="0" collapsed="false">
      <c r="A163" s="11" t="n">
        <v>44473</v>
      </c>
      <c r="B163" s="11" t="n">
        <v>44490</v>
      </c>
      <c r="C163" s="11" t="n">
        <v>44483</v>
      </c>
      <c r="D163" s="5" t="s">
        <v>27</v>
      </c>
      <c r="E163" s="5" t="s">
        <v>16</v>
      </c>
      <c r="F163" s="5" t="s">
        <v>16</v>
      </c>
      <c r="G163" s="5" t="s">
        <v>3</v>
      </c>
      <c r="H163" s="6" t="n">
        <v>426800</v>
      </c>
    </row>
    <row r="164" customFormat="false" ht="15" hidden="false" customHeight="false" outlineLevel="0" collapsed="false">
      <c r="A164" s="11" t="n">
        <v>44476</v>
      </c>
      <c r="B164" s="11" t="n">
        <v>44490</v>
      </c>
      <c r="C164" s="11" t="n">
        <v>44483</v>
      </c>
      <c r="D164" s="5" t="s">
        <v>27</v>
      </c>
      <c r="E164" s="5" t="s">
        <v>16</v>
      </c>
      <c r="F164" s="5" t="s">
        <v>16</v>
      </c>
      <c r="G164" s="5" t="s">
        <v>3</v>
      </c>
      <c r="H164" s="6" t="n">
        <v>314256</v>
      </c>
    </row>
    <row r="165" customFormat="false" ht="15" hidden="false" customHeight="false" outlineLevel="0" collapsed="false">
      <c r="A165" s="11" t="n">
        <v>44476</v>
      </c>
      <c r="B165" s="11" t="n">
        <v>44490</v>
      </c>
      <c r="C165" s="11" t="n">
        <v>44483</v>
      </c>
      <c r="D165" s="5" t="s">
        <v>27</v>
      </c>
      <c r="E165" s="5" t="s">
        <v>16</v>
      </c>
      <c r="F165" s="5" t="s">
        <v>16</v>
      </c>
      <c r="G165" s="5" t="s">
        <v>40</v>
      </c>
      <c r="H165" s="6" t="n">
        <v>261264</v>
      </c>
    </row>
    <row r="166" customFormat="false" ht="15" hidden="false" customHeight="false" outlineLevel="0" collapsed="false">
      <c r="A166" s="11" t="n">
        <v>44481</v>
      </c>
      <c r="B166" s="11" t="n">
        <v>44497</v>
      </c>
      <c r="C166" s="11" t="n">
        <v>44490</v>
      </c>
      <c r="D166" s="5" t="s">
        <v>27</v>
      </c>
      <c r="E166" s="5" t="s">
        <v>16</v>
      </c>
      <c r="F166" s="5" t="s">
        <v>16</v>
      </c>
      <c r="G166" s="5" t="s">
        <v>3</v>
      </c>
      <c r="H166" s="6" t="n">
        <v>165000</v>
      </c>
    </row>
    <row r="167" customFormat="false" ht="15" hidden="false" customHeight="false" outlineLevel="0" collapsed="false">
      <c r="A167" s="11" t="n">
        <v>44490</v>
      </c>
      <c r="B167" s="11" t="n">
        <v>44504</v>
      </c>
      <c r="C167" s="11" t="n">
        <v>44497</v>
      </c>
      <c r="D167" s="5" t="s">
        <v>27</v>
      </c>
      <c r="E167" s="5" t="s">
        <v>16</v>
      </c>
      <c r="F167" s="5" t="s">
        <v>16</v>
      </c>
      <c r="G167" s="5" t="s">
        <v>3</v>
      </c>
      <c r="H167" s="6" t="n">
        <v>130000</v>
      </c>
    </row>
    <row r="168" customFormat="false" ht="15" hidden="false" customHeight="false" outlineLevel="0" collapsed="false">
      <c r="A168" s="11" t="n">
        <v>44495</v>
      </c>
      <c r="B168" s="11" t="n">
        <v>44511</v>
      </c>
      <c r="C168" s="11" t="n">
        <v>44504</v>
      </c>
      <c r="D168" s="5" t="s">
        <v>27</v>
      </c>
      <c r="E168" s="5" t="s">
        <v>16</v>
      </c>
      <c r="F168" s="5" t="s">
        <v>16</v>
      </c>
      <c r="G168" s="5" t="s">
        <v>40</v>
      </c>
      <c r="H168" s="6" t="n">
        <v>125730</v>
      </c>
    </row>
    <row r="169" customFormat="false" ht="15" hidden="false" customHeight="false" outlineLevel="0" collapsed="false">
      <c r="A169" s="11" t="n">
        <v>44498</v>
      </c>
      <c r="B169" s="11" t="n">
        <v>44518</v>
      </c>
      <c r="C169" s="11" t="n">
        <v>44511</v>
      </c>
      <c r="D169" s="5" t="s">
        <v>27</v>
      </c>
      <c r="E169" s="5" t="s">
        <v>16</v>
      </c>
      <c r="F169" s="5" t="s">
        <v>16</v>
      </c>
      <c r="G169" s="5" t="s">
        <v>3</v>
      </c>
      <c r="H169" s="6" t="n">
        <v>279415</v>
      </c>
    </row>
    <row r="170" customFormat="false" ht="15" hidden="false" customHeight="false" outlineLevel="0" collapsed="false">
      <c r="A170" s="11" t="n">
        <v>44515</v>
      </c>
      <c r="B170" s="11" t="n">
        <v>44532</v>
      </c>
      <c r="C170" s="11" t="n">
        <v>44525</v>
      </c>
      <c r="D170" s="5" t="s">
        <v>27</v>
      </c>
      <c r="E170" s="5" t="s">
        <v>16</v>
      </c>
      <c r="F170" s="5" t="s">
        <v>16</v>
      </c>
      <c r="G170" s="5" t="s">
        <v>3</v>
      </c>
      <c r="H170" s="6" t="n">
        <v>148200</v>
      </c>
    </row>
    <row r="171" customFormat="false" ht="15" hidden="false" customHeight="false" outlineLevel="0" collapsed="false">
      <c r="A171" s="11" t="n">
        <v>44515</v>
      </c>
      <c r="B171" s="11" t="n">
        <v>44532</v>
      </c>
      <c r="C171" s="11" t="n">
        <v>44525</v>
      </c>
      <c r="D171" s="5" t="s">
        <v>27</v>
      </c>
      <c r="E171" s="5" t="s">
        <v>17</v>
      </c>
      <c r="F171" s="5" t="s">
        <v>16</v>
      </c>
      <c r="G171" s="5" t="s">
        <v>3</v>
      </c>
      <c r="H171" s="6" t="n">
        <v>50000</v>
      </c>
    </row>
    <row r="172" customFormat="false" ht="15" hidden="false" customHeight="false" outlineLevel="0" collapsed="false">
      <c r="A172" s="11" t="n">
        <v>44516</v>
      </c>
      <c r="B172" s="11" t="n">
        <v>44532</v>
      </c>
      <c r="C172" s="11" t="n">
        <v>44525</v>
      </c>
      <c r="D172" s="5" t="s">
        <v>27</v>
      </c>
      <c r="E172" s="5" t="s">
        <v>16</v>
      </c>
      <c r="F172" s="5" t="s">
        <v>16</v>
      </c>
      <c r="G172" s="5" t="s">
        <v>3</v>
      </c>
      <c r="H172" s="6" t="n">
        <v>270000</v>
      </c>
    </row>
    <row r="173" customFormat="false" ht="15" hidden="false" customHeight="false" outlineLevel="0" collapsed="false">
      <c r="A173" s="11" t="n">
        <v>44524</v>
      </c>
      <c r="B173" s="11" t="n">
        <v>44539</v>
      </c>
      <c r="C173" s="11" t="n">
        <v>44532</v>
      </c>
      <c r="D173" s="5" t="s">
        <v>27</v>
      </c>
      <c r="E173" s="5" t="s">
        <v>16</v>
      </c>
      <c r="F173" s="5" t="s">
        <v>16</v>
      </c>
      <c r="G173" s="5" t="s">
        <v>3</v>
      </c>
      <c r="H173" s="6" t="n">
        <v>100000</v>
      </c>
    </row>
    <row r="174" customFormat="false" ht="15" hidden="false" customHeight="false" outlineLevel="0" collapsed="false">
      <c r="A174" s="11" t="n">
        <v>44538</v>
      </c>
      <c r="B174" s="11" t="n">
        <v>44553</v>
      </c>
      <c r="C174" s="11" t="n">
        <v>44546</v>
      </c>
      <c r="D174" s="5" t="s">
        <v>27</v>
      </c>
      <c r="E174" s="5" t="s">
        <v>16</v>
      </c>
      <c r="F174" s="5" t="s">
        <v>16</v>
      </c>
      <c r="G174" s="5" t="s">
        <v>3</v>
      </c>
      <c r="H174" s="6" t="n">
        <v>1089660</v>
      </c>
    </row>
    <row r="175" customFormat="false" ht="15" hidden="false" customHeight="false" outlineLevel="0" collapsed="false">
      <c r="A175" s="11" t="n">
        <v>44538</v>
      </c>
      <c r="B175" s="11" t="n">
        <v>44553</v>
      </c>
      <c r="C175" s="11" t="n">
        <v>44546</v>
      </c>
      <c r="D175" s="5" t="s">
        <v>27</v>
      </c>
      <c r="E175" s="5" t="s">
        <v>17</v>
      </c>
      <c r="F175" s="5" t="s">
        <v>16</v>
      </c>
      <c r="G175" s="5" t="s">
        <v>3</v>
      </c>
      <c r="H175" s="6" t="n">
        <v>754380</v>
      </c>
    </row>
    <row r="176" customFormat="false" ht="15" hidden="false" customHeight="false" outlineLevel="0" collapsed="false">
      <c r="A176" s="11" t="n">
        <v>44567</v>
      </c>
      <c r="B176" s="11" t="n">
        <v>44581</v>
      </c>
      <c r="C176" s="11" t="n">
        <v>44574</v>
      </c>
      <c r="D176" s="5" t="s">
        <v>27</v>
      </c>
      <c r="E176" s="5" t="s">
        <v>16</v>
      </c>
      <c r="F176" s="5" t="s">
        <v>16</v>
      </c>
      <c r="G176" s="5" t="s">
        <v>40</v>
      </c>
      <c r="H176" s="6" t="n">
        <v>102000</v>
      </c>
    </row>
    <row r="177" customFormat="false" ht="15" hidden="false" customHeight="false" outlineLevel="0" collapsed="false">
      <c r="A177" s="11" t="n">
        <v>44568</v>
      </c>
      <c r="B177" s="11" t="n">
        <v>44588</v>
      </c>
      <c r="C177" s="11" t="n">
        <v>44581</v>
      </c>
      <c r="D177" s="5" t="s">
        <v>27</v>
      </c>
      <c r="E177" s="5" t="s">
        <v>16</v>
      </c>
      <c r="F177" s="5" t="s">
        <v>16</v>
      </c>
      <c r="G177" s="5" t="s">
        <v>3</v>
      </c>
      <c r="H177" s="6" t="n">
        <v>176784</v>
      </c>
    </row>
    <row r="178" customFormat="false" ht="15" hidden="false" customHeight="false" outlineLevel="0" collapsed="false">
      <c r="A178" s="11" t="n">
        <v>44571</v>
      </c>
      <c r="B178" s="11" t="n">
        <v>44588</v>
      </c>
      <c r="C178" s="11" t="n">
        <v>44581</v>
      </c>
      <c r="D178" s="5" t="s">
        <v>27</v>
      </c>
      <c r="E178" s="5" t="s">
        <v>16</v>
      </c>
      <c r="F178" s="5" t="s">
        <v>16</v>
      </c>
      <c r="G178" s="5" t="s">
        <v>3</v>
      </c>
      <c r="H178" s="6" t="n">
        <v>77000</v>
      </c>
    </row>
    <row r="179" customFormat="false" ht="15" hidden="false" customHeight="false" outlineLevel="0" collapsed="false">
      <c r="A179" s="11" t="n">
        <v>44571</v>
      </c>
      <c r="B179" s="11" t="n">
        <v>44588</v>
      </c>
      <c r="C179" s="11" t="n">
        <v>44581</v>
      </c>
      <c r="D179" s="5" t="s">
        <v>27</v>
      </c>
      <c r="E179" s="5" t="s">
        <v>17</v>
      </c>
      <c r="F179" s="5" t="s">
        <v>16</v>
      </c>
      <c r="G179" s="5" t="s">
        <v>3</v>
      </c>
      <c r="H179" s="6" t="n">
        <v>55000</v>
      </c>
    </row>
    <row r="180" customFormat="false" ht="15" hidden="false" customHeight="false" outlineLevel="0" collapsed="false">
      <c r="A180" s="11" t="n">
        <v>44572</v>
      </c>
      <c r="B180" s="11" t="n">
        <v>44588</v>
      </c>
      <c r="C180" s="11" t="n">
        <v>44581</v>
      </c>
      <c r="D180" s="5" t="s">
        <v>27</v>
      </c>
      <c r="E180" s="5" t="s">
        <v>16</v>
      </c>
      <c r="F180" s="5" t="s">
        <v>16</v>
      </c>
      <c r="G180" s="5" t="s">
        <v>40</v>
      </c>
      <c r="H180" s="6" t="n">
        <v>100000</v>
      </c>
    </row>
    <row r="181" customFormat="false" ht="15" hidden="false" customHeight="false" outlineLevel="0" collapsed="false">
      <c r="A181" s="11" t="n">
        <v>44575</v>
      </c>
      <c r="B181" s="11" t="n">
        <v>44595</v>
      </c>
      <c r="C181" s="11" t="n">
        <v>44588</v>
      </c>
      <c r="D181" s="5" t="s">
        <v>27</v>
      </c>
      <c r="E181" s="5" t="s">
        <v>16</v>
      </c>
      <c r="F181" s="5" t="s">
        <v>16</v>
      </c>
      <c r="G181" s="5" t="s">
        <v>40</v>
      </c>
      <c r="H181" s="6" t="n">
        <v>100422</v>
      </c>
    </row>
    <row r="182" customFormat="false" ht="15" hidden="false" customHeight="false" outlineLevel="0" collapsed="false">
      <c r="A182" s="11" t="n">
        <v>44579</v>
      </c>
      <c r="B182" s="11" t="n">
        <v>44595</v>
      </c>
      <c r="C182" s="11" t="n">
        <v>44588</v>
      </c>
      <c r="D182" s="5" t="s">
        <v>27</v>
      </c>
      <c r="E182" s="5" t="s">
        <v>16</v>
      </c>
      <c r="F182" s="5" t="s">
        <v>16</v>
      </c>
      <c r="G182" s="5" t="s">
        <v>40</v>
      </c>
      <c r="H182" s="6" t="n">
        <v>239486</v>
      </c>
    </row>
    <row r="183" customFormat="false" ht="15" hidden="false" customHeight="false" outlineLevel="0" collapsed="false">
      <c r="A183" s="11" t="n">
        <v>44589</v>
      </c>
      <c r="B183" s="11" t="n">
        <v>44609</v>
      </c>
      <c r="C183" s="11" t="n">
        <v>44602</v>
      </c>
      <c r="D183" s="5" t="s">
        <v>27</v>
      </c>
      <c r="E183" s="5" t="s">
        <v>16</v>
      </c>
      <c r="F183" s="5" t="s">
        <v>16</v>
      </c>
      <c r="G183" s="5" t="s">
        <v>40</v>
      </c>
      <c r="H183" s="6" t="n">
        <v>141514</v>
      </c>
    </row>
    <row r="184" customFormat="false" ht="15" hidden="false" customHeight="false" outlineLevel="0" collapsed="false">
      <c r="A184" s="11" t="n">
        <v>44593</v>
      </c>
      <c r="B184" s="11" t="n">
        <v>44609</v>
      </c>
      <c r="C184" s="11" t="n">
        <v>44602</v>
      </c>
      <c r="D184" s="5" t="s">
        <v>27</v>
      </c>
      <c r="E184" s="5" t="s">
        <v>16</v>
      </c>
      <c r="F184" s="5" t="s">
        <v>16</v>
      </c>
      <c r="G184" s="5" t="s">
        <v>3</v>
      </c>
      <c r="H184" s="6" t="n">
        <v>110000</v>
      </c>
    </row>
    <row r="185" customFormat="false" ht="15" hidden="false" customHeight="false" outlineLevel="0" collapsed="false">
      <c r="A185" s="11" t="n">
        <v>44607</v>
      </c>
      <c r="B185" s="11" t="n">
        <v>44623</v>
      </c>
      <c r="C185" s="11" t="n">
        <v>44616</v>
      </c>
      <c r="D185" s="5" t="s">
        <v>27</v>
      </c>
      <c r="E185" s="5" t="s">
        <v>16</v>
      </c>
      <c r="F185" s="5" t="s">
        <v>16</v>
      </c>
      <c r="G185" s="5" t="s">
        <v>40</v>
      </c>
      <c r="H185" s="6" t="n">
        <v>53500</v>
      </c>
    </row>
    <row r="186" customFormat="false" ht="15" hidden="false" customHeight="false" outlineLevel="0" collapsed="false">
      <c r="A186" s="11" t="n">
        <v>44607</v>
      </c>
      <c r="B186" s="11" t="n">
        <v>44623</v>
      </c>
      <c r="C186" s="11" t="n">
        <v>44616</v>
      </c>
      <c r="D186" s="5" t="s">
        <v>27</v>
      </c>
      <c r="E186" s="5" t="s">
        <v>17</v>
      </c>
      <c r="F186" s="5" t="s">
        <v>16</v>
      </c>
      <c r="G186" s="5" t="s">
        <v>40</v>
      </c>
      <c r="H186" s="6" t="n">
        <v>47500</v>
      </c>
    </row>
    <row r="187" customFormat="false" ht="15" hidden="false" customHeight="false" outlineLevel="0" collapsed="false">
      <c r="A187" s="11" t="n">
        <v>44624</v>
      </c>
      <c r="B187" s="11" t="n">
        <v>44644</v>
      </c>
      <c r="C187" s="11" t="n">
        <v>44637</v>
      </c>
      <c r="D187" s="5" t="s">
        <v>27</v>
      </c>
      <c r="E187" s="5" t="s">
        <v>16</v>
      </c>
      <c r="F187" s="5" t="s">
        <v>16</v>
      </c>
      <c r="G187" s="5" t="s">
        <v>40</v>
      </c>
      <c r="H187" s="6" t="n">
        <v>108860</v>
      </c>
    </row>
    <row r="188" customFormat="false" ht="15" hidden="false" customHeight="false" outlineLevel="0" collapsed="false">
      <c r="A188" s="11" t="n">
        <v>44634</v>
      </c>
      <c r="B188" s="11" t="n">
        <v>44651</v>
      </c>
      <c r="C188" s="11" t="n">
        <v>44644</v>
      </c>
      <c r="D188" s="5" t="s">
        <v>27</v>
      </c>
      <c r="E188" s="5" t="s">
        <v>16</v>
      </c>
      <c r="F188" s="5" t="s">
        <v>16</v>
      </c>
      <c r="G188" s="5" t="s">
        <v>3</v>
      </c>
      <c r="H188" s="6" t="n">
        <v>159000</v>
      </c>
    </row>
    <row r="189" customFormat="false" ht="15" hidden="false" customHeight="false" outlineLevel="0" collapsed="false">
      <c r="A189" s="11" t="n">
        <v>44650</v>
      </c>
      <c r="B189" s="11" t="n">
        <v>44665</v>
      </c>
      <c r="C189" s="11" t="n">
        <v>44658</v>
      </c>
      <c r="D189" s="5" t="s">
        <v>27</v>
      </c>
      <c r="E189" s="5" t="s">
        <v>17</v>
      </c>
      <c r="F189" s="5" t="s">
        <v>16</v>
      </c>
      <c r="G189" s="5" t="s">
        <v>40</v>
      </c>
      <c r="H189" s="6" t="n">
        <v>128000</v>
      </c>
    </row>
    <row r="190" customFormat="false" ht="15" hidden="false" customHeight="false" outlineLevel="0" collapsed="false">
      <c r="A190" s="11" t="n">
        <v>44673</v>
      </c>
      <c r="B190" s="11" t="n">
        <v>44693</v>
      </c>
      <c r="C190" s="11" t="n">
        <v>44686</v>
      </c>
      <c r="D190" s="5" t="s">
        <v>27</v>
      </c>
      <c r="E190" s="5" t="s">
        <v>16</v>
      </c>
      <c r="F190" s="5" t="s">
        <v>16</v>
      </c>
      <c r="G190" s="5" t="s">
        <v>3</v>
      </c>
      <c r="H190" s="6" t="n">
        <v>90200</v>
      </c>
    </row>
    <row r="191" customFormat="false" ht="15" hidden="false" customHeight="false" outlineLevel="0" collapsed="false">
      <c r="A191" s="11" t="n">
        <v>44673</v>
      </c>
      <c r="B191" s="11" t="n">
        <v>44693</v>
      </c>
      <c r="C191" s="11" t="n">
        <v>44686</v>
      </c>
      <c r="D191" s="5" t="s">
        <v>27</v>
      </c>
      <c r="E191" s="5" t="s">
        <v>17</v>
      </c>
      <c r="F191" s="5" t="s">
        <v>16</v>
      </c>
      <c r="G191" s="5" t="s">
        <v>3</v>
      </c>
      <c r="H191" s="6" t="n">
        <v>190800</v>
      </c>
    </row>
    <row r="192" customFormat="false" ht="15" hidden="false" customHeight="false" outlineLevel="0" collapsed="false">
      <c r="A192" s="11" t="n">
        <v>44673</v>
      </c>
      <c r="B192" s="11" t="n">
        <v>44693</v>
      </c>
      <c r="C192" s="11" t="n">
        <v>44686</v>
      </c>
      <c r="D192" s="5" t="s">
        <v>27</v>
      </c>
      <c r="E192" s="5" t="s">
        <v>16</v>
      </c>
      <c r="F192" s="5" t="s">
        <v>16</v>
      </c>
      <c r="G192" s="5" t="s">
        <v>40</v>
      </c>
      <c r="H192" s="6" t="n">
        <v>48000</v>
      </c>
    </row>
    <row r="193" customFormat="false" ht="15" hidden="false" customHeight="false" outlineLevel="0" collapsed="false">
      <c r="A193" s="11" t="n">
        <v>44673</v>
      </c>
      <c r="B193" s="11" t="n">
        <v>44693</v>
      </c>
      <c r="C193" s="11" t="n">
        <v>44686</v>
      </c>
      <c r="D193" s="5" t="s">
        <v>27</v>
      </c>
      <c r="E193" s="5" t="s">
        <v>17</v>
      </c>
      <c r="F193" s="5" t="s">
        <v>16</v>
      </c>
      <c r="G193" s="5" t="s">
        <v>40</v>
      </c>
      <c r="H193" s="6" t="n">
        <v>96000</v>
      </c>
    </row>
    <row r="194" customFormat="false" ht="15" hidden="false" customHeight="false" outlineLevel="0" collapsed="false">
      <c r="A194" s="11" t="n">
        <v>44726</v>
      </c>
      <c r="B194" s="11" t="n">
        <v>44742</v>
      </c>
      <c r="C194" s="11" t="n">
        <v>44735</v>
      </c>
      <c r="D194" s="5" t="s">
        <v>27</v>
      </c>
      <c r="E194" s="5" t="s">
        <v>16</v>
      </c>
      <c r="F194" s="5" t="s">
        <v>16</v>
      </c>
      <c r="G194" s="5" t="s">
        <v>3</v>
      </c>
      <c r="H194" s="6" t="n">
        <v>103000</v>
      </c>
    </row>
    <row r="195" customFormat="false" ht="15" hidden="false" customHeight="false" outlineLevel="0" collapsed="false">
      <c r="A195" s="11" t="n">
        <v>44726</v>
      </c>
      <c r="B195" s="11" t="n">
        <v>44742</v>
      </c>
      <c r="C195" s="11" t="n">
        <v>44735</v>
      </c>
      <c r="D195" s="5" t="s">
        <v>27</v>
      </c>
      <c r="E195" s="5" t="s">
        <v>17</v>
      </c>
      <c r="F195" s="5" t="s">
        <v>16</v>
      </c>
      <c r="G195" s="5" t="s">
        <v>3</v>
      </c>
      <c r="H195" s="6" t="n">
        <v>45000</v>
      </c>
    </row>
    <row r="196" customFormat="false" ht="15" hidden="false" customHeight="false" outlineLevel="0" collapsed="false">
      <c r="A196" s="11" t="n">
        <v>44789</v>
      </c>
      <c r="B196" s="11" t="n">
        <v>44805</v>
      </c>
      <c r="C196" s="11" t="n">
        <v>44798</v>
      </c>
      <c r="D196" s="5" t="s">
        <v>27</v>
      </c>
      <c r="E196" s="5" t="s">
        <v>17</v>
      </c>
      <c r="F196" s="5" t="s">
        <v>16</v>
      </c>
      <c r="G196" s="5" t="s">
        <v>40</v>
      </c>
      <c r="H196" s="6" t="n">
        <v>228606</v>
      </c>
    </row>
    <row r="197" customFormat="false" ht="15" hidden="false" customHeight="false" outlineLevel="0" collapsed="false">
      <c r="A197" s="11" t="n">
        <v>44811</v>
      </c>
      <c r="B197" s="11" t="n">
        <v>44826</v>
      </c>
      <c r="C197" s="11" t="n">
        <v>44819</v>
      </c>
      <c r="D197" s="5" t="s">
        <v>27</v>
      </c>
      <c r="E197" s="5" t="s">
        <v>17</v>
      </c>
      <c r="F197" s="5" t="s">
        <v>17</v>
      </c>
      <c r="G197" s="5" t="s">
        <v>3</v>
      </c>
      <c r="H197" s="6" t="n">
        <v>226920</v>
      </c>
    </row>
    <row r="198" customFormat="false" ht="15" hidden="false" customHeight="false" outlineLevel="0" collapsed="false">
      <c r="A198" s="11" t="n">
        <v>44811</v>
      </c>
      <c r="B198" s="11" t="n">
        <v>44826</v>
      </c>
      <c r="C198" s="11" t="n">
        <v>44819</v>
      </c>
      <c r="D198" s="5" t="s">
        <v>27</v>
      </c>
      <c r="E198" s="5" t="s">
        <v>18</v>
      </c>
      <c r="F198" s="5" t="s">
        <v>17</v>
      </c>
      <c r="G198" s="5" t="s">
        <v>3</v>
      </c>
      <c r="H198" s="6" t="n">
        <v>30480</v>
      </c>
    </row>
    <row r="199" customFormat="false" ht="15" hidden="false" customHeight="false" outlineLevel="0" collapsed="false">
      <c r="A199" s="11" t="n">
        <v>44826</v>
      </c>
      <c r="B199" s="11" t="n">
        <v>44840</v>
      </c>
      <c r="C199" s="11" t="n">
        <v>44833</v>
      </c>
      <c r="D199" s="5" t="s">
        <v>27</v>
      </c>
      <c r="E199" s="5" t="s">
        <v>17</v>
      </c>
      <c r="F199" s="5" t="s">
        <v>17</v>
      </c>
      <c r="G199" s="5" t="s">
        <v>3</v>
      </c>
      <c r="H199" s="6" t="n">
        <v>105000</v>
      </c>
    </row>
    <row r="200" customFormat="false" ht="15" hidden="false" customHeight="false" outlineLevel="0" collapsed="false">
      <c r="A200" s="11" t="n">
        <v>44873</v>
      </c>
      <c r="B200" s="11" t="n">
        <v>44889</v>
      </c>
      <c r="C200" s="11" t="n">
        <v>44882</v>
      </c>
      <c r="D200" s="5" t="s">
        <v>27</v>
      </c>
      <c r="E200" s="5" t="s">
        <v>17</v>
      </c>
      <c r="F200" s="5" t="s">
        <v>17</v>
      </c>
      <c r="G200" s="5" t="s">
        <v>3</v>
      </c>
      <c r="H200" s="6" t="n">
        <v>338600</v>
      </c>
    </row>
    <row r="201" customFormat="false" ht="15" hidden="false" customHeight="false" outlineLevel="0" collapsed="false">
      <c r="A201" s="11" t="n">
        <v>44873</v>
      </c>
      <c r="B201" s="11" t="n">
        <v>44889</v>
      </c>
      <c r="C201" s="11" t="n">
        <v>44882</v>
      </c>
      <c r="D201" s="5" t="s">
        <v>27</v>
      </c>
      <c r="E201" s="5" t="s">
        <v>17</v>
      </c>
      <c r="F201" s="5" t="s">
        <v>17</v>
      </c>
      <c r="G201" s="5" t="s">
        <v>40</v>
      </c>
      <c r="H201" s="6" t="n">
        <v>144000</v>
      </c>
    </row>
    <row r="202" customFormat="false" ht="15" hidden="false" customHeight="false" outlineLevel="0" collapsed="false">
      <c r="A202" s="11" t="n">
        <v>44875</v>
      </c>
      <c r="B202" s="11" t="n">
        <v>44889</v>
      </c>
      <c r="C202" s="11" t="n">
        <v>44882</v>
      </c>
      <c r="D202" s="5" t="s">
        <v>27</v>
      </c>
      <c r="E202" s="5" t="s">
        <v>17</v>
      </c>
      <c r="F202" s="5" t="s">
        <v>17</v>
      </c>
      <c r="G202" s="5" t="s">
        <v>3</v>
      </c>
      <c r="H202" s="6" t="n">
        <v>209931</v>
      </c>
    </row>
    <row r="203" customFormat="false" ht="15" hidden="false" customHeight="false" outlineLevel="0" collapsed="false">
      <c r="A203" s="11" t="n">
        <v>44880</v>
      </c>
      <c r="B203" s="11" t="n">
        <v>44896</v>
      </c>
      <c r="C203" s="11" t="n">
        <v>44889</v>
      </c>
      <c r="D203" s="5" t="s">
        <v>27</v>
      </c>
      <c r="E203" s="5" t="s">
        <v>17</v>
      </c>
      <c r="F203" s="5" t="s">
        <v>17</v>
      </c>
      <c r="G203" s="5" t="s">
        <v>3</v>
      </c>
      <c r="H203" s="6" t="n">
        <v>230185</v>
      </c>
    </row>
    <row r="204" customFormat="false" ht="15" hidden="false" customHeight="false" outlineLevel="0" collapsed="false">
      <c r="A204" s="11" t="n">
        <v>44880</v>
      </c>
      <c r="B204" s="11" t="n">
        <v>44896</v>
      </c>
      <c r="C204" s="11" t="n">
        <v>44889</v>
      </c>
      <c r="D204" s="5" t="s">
        <v>27</v>
      </c>
      <c r="E204" s="5" t="s">
        <v>17</v>
      </c>
      <c r="F204" s="5" t="s">
        <v>17</v>
      </c>
      <c r="G204" s="5" t="s">
        <v>40</v>
      </c>
      <c r="H204" s="6" t="n">
        <v>261272</v>
      </c>
    </row>
    <row r="205" customFormat="false" ht="15" hidden="false" customHeight="false" outlineLevel="0" collapsed="false">
      <c r="A205" s="11" t="n">
        <v>44881</v>
      </c>
      <c r="B205" s="11" t="n">
        <v>44896</v>
      </c>
      <c r="C205" s="11" t="n">
        <v>44889</v>
      </c>
      <c r="D205" s="5" t="s">
        <v>27</v>
      </c>
      <c r="E205" s="5" t="s">
        <v>17</v>
      </c>
      <c r="F205" s="5" t="s">
        <v>17</v>
      </c>
      <c r="G205" s="5" t="s">
        <v>3</v>
      </c>
      <c r="H205" s="6" t="n">
        <v>1242060</v>
      </c>
    </row>
    <row r="206" customFormat="false" ht="15" hidden="false" customHeight="false" outlineLevel="0" collapsed="false">
      <c r="A206" s="11" t="n">
        <v>44881</v>
      </c>
      <c r="B206" s="11" t="n">
        <v>44896</v>
      </c>
      <c r="C206" s="11" t="n">
        <v>44889</v>
      </c>
      <c r="D206" s="5" t="s">
        <v>27</v>
      </c>
      <c r="E206" s="5" t="s">
        <v>18</v>
      </c>
      <c r="F206" s="5" t="s">
        <v>17</v>
      </c>
      <c r="G206" s="5" t="s">
        <v>3</v>
      </c>
      <c r="H206" s="6" t="n">
        <v>624840</v>
      </c>
    </row>
    <row r="207" customFormat="false" ht="15" hidden="false" customHeight="false" outlineLevel="0" collapsed="false">
      <c r="A207" s="11" t="n">
        <v>44896</v>
      </c>
      <c r="B207" s="11" t="n">
        <v>44910</v>
      </c>
      <c r="C207" s="11" t="n">
        <v>44903</v>
      </c>
      <c r="D207" s="5" t="s">
        <v>27</v>
      </c>
      <c r="E207" s="5" t="s">
        <v>17</v>
      </c>
      <c r="F207" s="5" t="s">
        <v>17</v>
      </c>
      <c r="G207" s="5" t="s">
        <v>3</v>
      </c>
      <c r="H207" s="6" t="n">
        <v>114300</v>
      </c>
    </row>
    <row r="208" customFormat="false" ht="15" hidden="false" customHeight="false" outlineLevel="0" collapsed="false">
      <c r="A208" s="11" t="n">
        <v>44910</v>
      </c>
      <c r="B208" s="11" t="n">
        <v>44924</v>
      </c>
      <c r="C208" s="11" t="n">
        <v>44917</v>
      </c>
      <c r="D208" s="5" t="s">
        <v>27</v>
      </c>
      <c r="E208" s="5" t="s">
        <v>17</v>
      </c>
      <c r="F208" s="5" t="s">
        <v>17</v>
      </c>
      <c r="G208" s="5" t="s">
        <v>3</v>
      </c>
      <c r="H208" s="6" t="n">
        <v>101600</v>
      </c>
    </row>
    <row r="209" customFormat="false" ht="15" hidden="false" customHeight="false" outlineLevel="0" collapsed="false">
      <c r="A209" s="11" t="n">
        <v>44914</v>
      </c>
      <c r="B209" s="11" t="n">
        <v>44931</v>
      </c>
      <c r="C209" s="11" t="n">
        <v>44924</v>
      </c>
      <c r="D209" s="5" t="s">
        <v>27</v>
      </c>
      <c r="E209" s="5" t="s">
        <v>17</v>
      </c>
      <c r="F209" s="5" t="s">
        <v>17</v>
      </c>
      <c r="G209" s="5" t="s">
        <v>3</v>
      </c>
      <c r="H209" s="6" t="n">
        <v>141000</v>
      </c>
    </row>
    <row r="210" customFormat="false" ht="15" hidden="false" customHeight="false" outlineLevel="0" collapsed="false">
      <c r="A210" s="11" t="n">
        <v>44918</v>
      </c>
      <c r="B210" s="11" t="n">
        <v>44938</v>
      </c>
      <c r="C210" s="11" t="n">
        <v>44931</v>
      </c>
      <c r="D210" s="5" t="s">
        <v>27</v>
      </c>
      <c r="E210" s="5" t="s">
        <v>17</v>
      </c>
      <c r="F210" s="5" t="s">
        <v>17</v>
      </c>
      <c r="G210" s="5" t="s">
        <v>3</v>
      </c>
      <c r="H210" s="6" t="n">
        <v>150000</v>
      </c>
    </row>
    <row r="211" customFormat="false" ht="15" hidden="false" customHeight="false" outlineLevel="0" collapsed="false">
      <c r="A211" s="11" t="n">
        <v>44932</v>
      </c>
      <c r="B211" s="11" t="n">
        <v>44952</v>
      </c>
      <c r="C211" s="11" t="n">
        <v>44945</v>
      </c>
      <c r="D211" s="5" t="s">
        <v>27</v>
      </c>
      <c r="E211" s="5" t="s">
        <v>17</v>
      </c>
      <c r="F211" s="5" t="s">
        <v>17</v>
      </c>
      <c r="G211" s="5" t="s">
        <v>3</v>
      </c>
      <c r="H211" s="6" t="n">
        <v>89600</v>
      </c>
    </row>
    <row r="212" customFormat="false" ht="15" hidden="false" customHeight="false" outlineLevel="0" collapsed="false">
      <c r="A212" s="11" t="n">
        <v>44932</v>
      </c>
      <c r="B212" s="11" t="n">
        <v>44952</v>
      </c>
      <c r="C212" s="11" t="n">
        <v>44945</v>
      </c>
      <c r="D212" s="5" t="s">
        <v>27</v>
      </c>
      <c r="E212" s="5" t="s">
        <v>18</v>
      </c>
      <c r="F212" s="5" t="s">
        <v>17</v>
      </c>
      <c r="G212" s="5" t="s">
        <v>3</v>
      </c>
      <c r="H212" s="6" t="n">
        <v>22400</v>
      </c>
    </row>
    <row r="213" customFormat="false" ht="15" hidden="false" customHeight="false" outlineLevel="0" collapsed="false">
      <c r="A213" s="11" t="n">
        <v>44936</v>
      </c>
      <c r="B213" s="11" t="n">
        <v>44952</v>
      </c>
      <c r="C213" s="11" t="n">
        <v>44945</v>
      </c>
      <c r="D213" s="5" t="s">
        <v>27</v>
      </c>
      <c r="E213" s="5" t="s">
        <v>17</v>
      </c>
      <c r="F213" s="5" t="s">
        <v>17</v>
      </c>
      <c r="G213" s="5" t="s">
        <v>40</v>
      </c>
      <c r="H213" s="6" t="n">
        <v>174181</v>
      </c>
    </row>
    <row r="214" customFormat="false" ht="15" hidden="false" customHeight="false" outlineLevel="0" collapsed="false">
      <c r="A214" s="11" t="n">
        <v>44945</v>
      </c>
      <c r="B214" s="11" t="n">
        <v>44959</v>
      </c>
      <c r="C214" s="11" t="n">
        <v>44952</v>
      </c>
      <c r="D214" s="5" t="s">
        <v>27</v>
      </c>
      <c r="E214" s="5" t="s">
        <v>17</v>
      </c>
      <c r="F214" s="5" t="s">
        <v>17</v>
      </c>
      <c r="G214" s="5" t="s">
        <v>3</v>
      </c>
      <c r="H214" s="6" t="n">
        <v>195000</v>
      </c>
    </row>
    <row r="215" customFormat="false" ht="15" hidden="false" customHeight="false" outlineLevel="0" collapsed="false">
      <c r="A215" s="11" t="n">
        <v>44963</v>
      </c>
      <c r="B215" s="11" t="n">
        <v>44980</v>
      </c>
      <c r="C215" s="11" t="n">
        <v>44973</v>
      </c>
      <c r="D215" s="5" t="s">
        <v>27</v>
      </c>
      <c r="E215" s="5" t="s">
        <v>17</v>
      </c>
      <c r="F215" s="5" t="s">
        <v>17</v>
      </c>
      <c r="G215" s="5" t="s">
        <v>3</v>
      </c>
      <c r="H215" s="6" t="n">
        <v>100000</v>
      </c>
    </row>
    <row r="216" customFormat="false" ht="15" hidden="false" customHeight="false" outlineLevel="0" collapsed="false">
      <c r="A216" s="11" t="n">
        <v>44963</v>
      </c>
      <c r="B216" s="11" t="n">
        <v>44980</v>
      </c>
      <c r="C216" s="11" t="n">
        <v>44973</v>
      </c>
      <c r="D216" s="5" t="s">
        <v>27</v>
      </c>
      <c r="E216" s="5" t="s">
        <v>18</v>
      </c>
      <c r="F216" s="5" t="s">
        <v>17</v>
      </c>
      <c r="G216" s="5" t="s">
        <v>3</v>
      </c>
      <c r="H216" s="6" t="n">
        <v>100000</v>
      </c>
    </row>
    <row r="217" customFormat="false" ht="15" hidden="false" customHeight="false" outlineLevel="0" collapsed="false">
      <c r="A217" s="11" t="n">
        <v>44972</v>
      </c>
      <c r="B217" s="11" t="n">
        <v>44987</v>
      </c>
      <c r="C217" s="11" t="n">
        <v>44980</v>
      </c>
      <c r="D217" s="5" t="s">
        <v>27</v>
      </c>
      <c r="E217" s="5" t="s">
        <v>17</v>
      </c>
      <c r="F217" s="5" t="s">
        <v>17</v>
      </c>
      <c r="G217" s="5" t="s">
        <v>3</v>
      </c>
      <c r="H217" s="6" t="n">
        <v>213370</v>
      </c>
    </row>
    <row r="218" customFormat="false" ht="15" hidden="false" customHeight="false" outlineLevel="0" collapsed="false">
      <c r="A218" s="11" t="n">
        <v>45019</v>
      </c>
      <c r="B218" s="11" t="n">
        <v>45036</v>
      </c>
      <c r="C218" s="11" t="n">
        <v>45029</v>
      </c>
      <c r="D218" s="5" t="s">
        <v>27</v>
      </c>
      <c r="E218" s="5" t="s">
        <v>18</v>
      </c>
      <c r="F218" s="5" t="s">
        <v>17</v>
      </c>
      <c r="G218" s="5" t="s">
        <v>3</v>
      </c>
      <c r="H218" s="6" t="n">
        <v>150000</v>
      </c>
    </row>
    <row r="219" customFormat="false" ht="15" hidden="false" customHeight="false" outlineLevel="0" collapsed="false">
      <c r="A219" s="11" t="n">
        <v>45105</v>
      </c>
      <c r="B219" s="11" t="n">
        <v>45120</v>
      </c>
      <c r="C219" s="11" t="n">
        <v>45113</v>
      </c>
      <c r="D219" s="5" t="s">
        <v>27</v>
      </c>
      <c r="E219" s="5" t="s">
        <v>17</v>
      </c>
      <c r="F219" s="5" t="s">
        <v>17</v>
      </c>
      <c r="G219" s="5" t="s">
        <v>3</v>
      </c>
      <c r="H219" s="6" t="n">
        <v>21340</v>
      </c>
    </row>
    <row r="220" customFormat="false" ht="15" hidden="false" customHeight="false" outlineLevel="0" collapsed="false">
      <c r="A220" s="11" t="n">
        <v>45105</v>
      </c>
      <c r="B220" s="11" t="n">
        <v>45120</v>
      </c>
      <c r="C220" s="11" t="n">
        <v>45113</v>
      </c>
      <c r="D220" s="5" t="s">
        <v>27</v>
      </c>
      <c r="E220" s="5" t="s">
        <v>18</v>
      </c>
      <c r="F220" s="5" t="s">
        <v>17</v>
      </c>
      <c r="G220" s="5" t="s">
        <v>3</v>
      </c>
      <c r="H220" s="6" t="n">
        <v>149366</v>
      </c>
    </row>
    <row r="221" customFormat="false" ht="15" hidden="false" customHeight="false" outlineLevel="0" collapsed="false">
      <c r="A221" s="11" t="n">
        <v>45114</v>
      </c>
      <c r="B221" s="11" t="n">
        <v>45134</v>
      </c>
      <c r="C221" s="11" t="n">
        <v>45127</v>
      </c>
      <c r="D221" s="5" t="s">
        <v>27</v>
      </c>
      <c r="E221" s="5" t="s">
        <v>17</v>
      </c>
      <c r="F221" s="5" t="s">
        <v>17</v>
      </c>
      <c r="G221" s="5" t="s">
        <v>3</v>
      </c>
      <c r="H221" s="6" t="n">
        <v>45000</v>
      </c>
    </row>
    <row r="222" customFormat="false" ht="15" hidden="false" customHeight="false" outlineLevel="0" collapsed="false">
      <c r="A222" s="11" t="n">
        <v>45114</v>
      </c>
      <c r="B222" s="11" t="n">
        <v>45134</v>
      </c>
      <c r="C222" s="11" t="n">
        <v>45127</v>
      </c>
      <c r="D222" s="5" t="s">
        <v>27</v>
      </c>
      <c r="E222" s="5" t="s">
        <v>18</v>
      </c>
      <c r="F222" s="5" t="s">
        <v>17</v>
      </c>
      <c r="G222" s="5" t="s">
        <v>3</v>
      </c>
      <c r="H222" s="6" t="n">
        <v>135000</v>
      </c>
    </row>
    <row r="223" customFormat="false" ht="15" hidden="false" customHeight="false" outlineLevel="0" collapsed="false">
      <c r="A223" s="11" t="n">
        <v>45120</v>
      </c>
      <c r="B223" s="11" t="n">
        <v>45134</v>
      </c>
      <c r="C223" s="11" t="n">
        <v>45127</v>
      </c>
      <c r="D223" s="5" t="s">
        <v>27</v>
      </c>
      <c r="E223" s="5" t="s">
        <v>18</v>
      </c>
      <c r="F223" s="5" t="s">
        <v>17</v>
      </c>
      <c r="G223" s="5" t="s">
        <v>40</v>
      </c>
      <c r="H223" s="6" t="n">
        <v>315704</v>
      </c>
    </row>
    <row r="224" customFormat="false" ht="15" hidden="false" customHeight="false" outlineLevel="0" collapsed="false">
      <c r="A224" s="11" t="n">
        <v>45135</v>
      </c>
      <c r="B224" s="11" t="n">
        <v>45155</v>
      </c>
      <c r="C224" s="11" t="n">
        <v>45148</v>
      </c>
      <c r="D224" s="5" t="s">
        <v>27</v>
      </c>
      <c r="E224" s="5" t="s">
        <v>18</v>
      </c>
      <c r="F224" s="5" t="s">
        <v>17</v>
      </c>
      <c r="G224" s="5" t="s">
        <v>40</v>
      </c>
      <c r="H224" s="6" t="n">
        <v>171460</v>
      </c>
    </row>
    <row r="225" customFormat="false" ht="15" hidden="false" customHeight="false" outlineLevel="0" collapsed="false">
      <c r="A225" s="11" t="n">
        <v>45145</v>
      </c>
      <c r="B225" s="11" t="n">
        <v>45162</v>
      </c>
      <c r="C225" s="11" t="n">
        <v>45155</v>
      </c>
      <c r="D225" s="5" t="s">
        <v>27</v>
      </c>
      <c r="E225" s="5" t="s">
        <v>18</v>
      </c>
      <c r="F225" s="5" t="s">
        <v>17</v>
      </c>
      <c r="G225" s="5" t="s">
        <v>3</v>
      </c>
      <c r="H225" s="6" t="n">
        <v>251460</v>
      </c>
    </row>
    <row r="226" customFormat="false" ht="15" hidden="false" customHeight="false" outlineLevel="0" collapsed="false">
      <c r="A226" s="11" t="n">
        <v>45149</v>
      </c>
      <c r="B226" s="11" t="n">
        <v>45169</v>
      </c>
      <c r="C226" s="11" t="n">
        <v>45162</v>
      </c>
      <c r="D226" s="5" t="s">
        <v>27</v>
      </c>
      <c r="E226" s="5" t="s">
        <v>18</v>
      </c>
      <c r="F226" s="5" t="s">
        <v>17</v>
      </c>
      <c r="G226" s="5" t="s">
        <v>3</v>
      </c>
      <c r="H226" s="6" t="n">
        <v>143637</v>
      </c>
    </row>
    <row r="227" customFormat="false" ht="15" hidden="false" customHeight="false" outlineLevel="0" collapsed="false">
      <c r="A227" s="11" t="n">
        <v>45156</v>
      </c>
      <c r="B227" s="11" t="n">
        <v>45176</v>
      </c>
      <c r="C227" s="11" t="n">
        <v>45169</v>
      </c>
      <c r="D227" s="5" t="s">
        <v>27</v>
      </c>
      <c r="E227" s="5" t="s">
        <v>18</v>
      </c>
      <c r="F227" s="5" t="s">
        <v>17</v>
      </c>
      <c r="G227" s="5" t="s">
        <v>3</v>
      </c>
      <c r="H227" s="6" t="n">
        <v>112000</v>
      </c>
    </row>
    <row r="228" customFormat="false" ht="15" hidden="false" customHeight="false" outlineLevel="0" collapsed="false">
      <c r="A228" s="11" t="n">
        <v>45159</v>
      </c>
      <c r="B228" s="11" t="n">
        <v>45176</v>
      </c>
      <c r="C228" s="11" t="n">
        <v>45169</v>
      </c>
      <c r="D228" s="5" t="s">
        <v>27</v>
      </c>
      <c r="E228" s="5" t="s">
        <v>18</v>
      </c>
      <c r="F228" s="5" t="s">
        <v>17</v>
      </c>
      <c r="G228" s="5" t="s">
        <v>3</v>
      </c>
      <c r="H228" s="6" t="n">
        <v>111770</v>
      </c>
    </row>
    <row r="229" customFormat="false" ht="15" hidden="false" customHeight="false" outlineLevel="0" collapsed="false">
      <c r="A229" s="11" t="n">
        <v>45160</v>
      </c>
      <c r="B229" s="11" t="n">
        <v>45176</v>
      </c>
      <c r="C229" s="11" t="n">
        <v>45169</v>
      </c>
      <c r="D229" s="5" t="s">
        <v>27</v>
      </c>
      <c r="E229" s="5" t="s">
        <v>19</v>
      </c>
      <c r="F229" s="5" t="s">
        <v>17</v>
      </c>
      <c r="G229" s="5" t="s">
        <v>3</v>
      </c>
      <c r="H229" s="6" t="n">
        <v>112000</v>
      </c>
    </row>
    <row r="230" customFormat="false" ht="15" hidden="false" customHeight="false" outlineLevel="0" collapsed="false">
      <c r="A230" s="11" t="n">
        <v>45160</v>
      </c>
      <c r="B230" s="11" t="n">
        <v>45176</v>
      </c>
      <c r="C230" s="11" t="n">
        <v>45169</v>
      </c>
      <c r="D230" s="5" t="s">
        <v>27</v>
      </c>
      <c r="E230" s="5" t="s">
        <v>20</v>
      </c>
      <c r="F230" s="5" t="s">
        <v>17</v>
      </c>
      <c r="G230" s="5" t="s">
        <v>3</v>
      </c>
      <c r="H230" s="6" t="n">
        <v>112000</v>
      </c>
    </row>
    <row r="231" customFormat="false" ht="15" hidden="false" customHeight="false" outlineLevel="0" collapsed="false">
      <c r="A231" s="11" t="n">
        <v>45166</v>
      </c>
      <c r="B231" s="11" t="n">
        <v>45183</v>
      </c>
      <c r="C231" s="11" t="n">
        <v>45176</v>
      </c>
      <c r="D231" s="5" t="s">
        <v>27</v>
      </c>
      <c r="E231" s="5" t="s">
        <v>18</v>
      </c>
      <c r="F231" s="5" t="s">
        <v>17</v>
      </c>
      <c r="G231" s="5" t="s">
        <v>3</v>
      </c>
      <c r="H231" s="6" t="n">
        <v>123000</v>
      </c>
    </row>
    <row r="232" customFormat="false" ht="15" hidden="false" customHeight="false" outlineLevel="0" collapsed="false">
      <c r="A232" s="11" t="n">
        <v>45190</v>
      </c>
      <c r="B232" s="11" t="n">
        <v>45204</v>
      </c>
      <c r="C232" s="11" t="n">
        <v>45197</v>
      </c>
      <c r="D232" s="5" t="s">
        <v>27</v>
      </c>
      <c r="E232" s="5" t="s">
        <v>18</v>
      </c>
      <c r="F232" s="5" t="s">
        <v>18</v>
      </c>
      <c r="G232" s="5" t="s">
        <v>3</v>
      </c>
      <c r="H232" s="6" t="n">
        <v>121920</v>
      </c>
    </row>
    <row r="233" customFormat="false" ht="15" hidden="false" customHeight="false" outlineLevel="0" collapsed="false">
      <c r="A233" s="11" t="n">
        <v>45190</v>
      </c>
      <c r="B233" s="11" t="n">
        <v>45204</v>
      </c>
      <c r="C233" s="11" t="n">
        <v>45197</v>
      </c>
      <c r="D233" s="5" t="s">
        <v>27</v>
      </c>
      <c r="E233" s="5" t="s">
        <v>19</v>
      </c>
      <c r="F233" s="5" t="s">
        <v>18</v>
      </c>
      <c r="G233" s="5" t="s">
        <v>3</v>
      </c>
      <c r="H233" s="6" t="n">
        <v>15240</v>
      </c>
    </row>
    <row r="234" customFormat="false" ht="15" hidden="false" customHeight="false" outlineLevel="0" collapsed="false">
      <c r="A234" s="11" t="n">
        <v>45194</v>
      </c>
      <c r="B234" s="11" t="n">
        <v>45211</v>
      </c>
      <c r="C234" s="11" t="n">
        <v>45204</v>
      </c>
      <c r="D234" s="5" t="s">
        <v>27</v>
      </c>
      <c r="E234" s="5" t="s">
        <v>18</v>
      </c>
      <c r="F234" s="5" t="s">
        <v>18</v>
      </c>
      <c r="G234" s="5" t="s">
        <v>3</v>
      </c>
      <c r="H234" s="6" t="n">
        <v>1049771</v>
      </c>
    </row>
    <row r="235" customFormat="false" ht="15" hidden="false" customHeight="false" outlineLevel="0" collapsed="false">
      <c r="A235" s="11" t="n">
        <v>45194</v>
      </c>
      <c r="B235" s="11" t="n">
        <v>45211</v>
      </c>
      <c r="C235" s="11" t="n">
        <v>45204</v>
      </c>
      <c r="D235" s="5" t="s">
        <v>27</v>
      </c>
      <c r="E235" s="5" t="s">
        <v>19</v>
      </c>
      <c r="F235" s="5" t="s">
        <v>18</v>
      </c>
      <c r="G235" s="5" t="s">
        <v>3</v>
      </c>
      <c r="H235" s="6" t="n">
        <v>611389</v>
      </c>
    </row>
    <row r="236" customFormat="false" ht="15" hidden="false" customHeight="false" outlineLevel="0" collapsed="false">
      <c r="A236" s="11" t="n">
        <v>45198</v>
      </c>
      <c r="B236" s="11" t="n">
        <v>45218</v>
      </c>
      <c r="C236" s="11" t="n">
        <v>45211</v>
      </c>
      <c r="D236" s="5" t="s">
        <v>27</v>
      </c>
      <c r="E236" s="5" t="s">
        <v>18</v>
      </c>
      <c r="F236" s="5" t="s">
        <v>18</v>
      </c>
      <c r="G236" s="5" t="s">
        <v>3</v>
      </c>
      <c r="H236" s="6" t="n">
        <v>223540</v>
      </c>
    </row>
    <row r="237" customFormat="false" ht="15" hidden="false" customHeight="false" outlineLevel="0" collapsed="false">
      <c r="A237" s="11" t="n">
        <v>45201</v>
      </c>
      <c r="B237" s="11" t="n">
        <v>45218</v>
      </c>
      <c r="C237" s="11" t="n">
        <v>45211</v>
      </c>
      <c r="D237" s="5" t="s">
        <v>27</v>
      </c>
      <c r="E237" s="5" t="s">
        <v>18</v>
      </c>
      <c r="F237" s="5" t="s">
        <v>18</v>
      </c>
      <c r="G237" s="5" t="s">
        <v>3</v>
      </c>
      <c r="H237" s="6" t="n">
        <v>210000</v>
      </c>
    </row>
    <row r="238" customFormat="false" ht="15" hidden="false" customHeight="false" outlineLevel="0" collapsed="false">
      <c r="A238" s="11" t="n">
        <v>45203</v>
      </c>
      <c r="B238" s="11" t="n">
        <v>45218</v>
      </c>
      <c r="C238" s="11" t="n">
        <v>45211</v>
      </c>
      <c r="D238" s="5" t="s">
        <v>27</v>
      </c>
      <c r="E238" s="5" t="s">
        <v>18</v>
      </c>
      <c r="F238" s="5" t="s">
        <v>18</v>
      </c>
      <c r="G238" s="5" t="s">
        <v>3</v>
      </c>
      <c r="H238" s="6" t="n">
        <v>109226</v>
      </c>
    </row>
    <row r="239" customFormat="false" ht="15" hidden="false" customHeight="false" outlineLevel="0" collapsed="false">
      <c r="A239" s="11" t="n">
        <v>45203</v>
      </c>
      <c r="B239" s="11" t="n">
        <v>45218</v>
      </c>
      <c r="C239" s="11" t="n">
        <v>45211</v>
      </c>
      <c r="D239" s="5" t="s">
        <v>27</v>
      </c>
      <c r="E239" s="5" t="s">
        <v>19</v>
      </c>
      <c r="F239" s="5" t="s">
        <v>18</v>
      </c>
      <c r="G239" s="5" t="s">
        <v>3</v>
      </c>
      <c r="H239" s="6" t="n">
        <v>87381</v>
      </c>
    </row>
    <row r="240" customFormat="false" ht="15" hidden="false" customHeight="false" outlineLevel="0" collapsed="false">
      <c r="A240" s="11" t="n">
        <v>45215</v>
      </c>
      <c r="B240" s="11" t="n">
        <v>45232</v>
      </c>
      <c r="C240" s="11" t="n">
        <v>45225</v>
      </c>
      <c r="D240" s="5" t="s">
        <v>27</v>
      </c>
      <c r="E240" s="5" t="s">
        <v>18</v>
      </c>
      <c r="F240" s="5" t="s">
        <v>18</v>
      </c>
      <c r="G240" s="5" t="s">
        <v>3</v>
      </c>
      <c r="H240" s="6" t="n">
        <v>200000</v>
      </c>
    </row>
    <row r="241" customFormat="false" ht="15" hidden="false" customHeight="false" outlineLevel="0" collapsed="false">
      <c r="A241" s="11" t="n">
        <v>45223</v>
      </c>
      <c r="B241" s="11" t="n">
        <v>45239</v>
      </c>
      <c r="C241" s="11" t="n">
        <v>45232</v>
      </c>
      <c r="D241" s="5" t="s">
        <v>27</v>
      </c>
      <c r="E241" s="5" t="s">
        <v>18</v>
      </c>
      <c r="F241" s="5" t="s">
        <v>18</v>
      </c>
      <c r="G241" s="5" t="s">
        <v>3</v>
      </c>
      <c r="H241" s="6" t="n">
        <v>117200</v>
      </c>
    </row>
    <row r="242" customFormat="false" ht="15" hidden="false" customHeight="false" outlineLevel="0" collapsed="false">
      <c r="A242" s="11" t="n">
        <v>45230</v>
      </c>
      <c r="B242" s="11" t="n">
        <v>45246</v>
      </c>
      <c r="C242" s="11" t="n">
        <v>45239</v>
      </c>
      <c r="D242" s="5" t="s">
        <v>27</v>
      </c>
      <c r="E242" s="5" t="s">
        <v>18</v>
      </c>
      <c r="F242" s="5" t="s">
        <v>18</v>
      </c>
      <c r="G242" s="5" t="s">
        <v>40</v>
      </c>
      <c r="H242" s="6" t="n">
        <v>239492</v>
      </c>
    </row>
    <row r="243" customFormat="false" ht="15" hidden="false" customHeight="false" outlineLevel="0" collapsed="false">
      <c r="A243" s="11" t="n">
        <v>45236</v>
      </c>
      <c r="B243" s="11" t="n">
        <v>45253</v>
      </c>
      <c r="C243" s="11" t="n">
        <v>45246</v>
      </c>
      <c r="D243" s="5" t="s">
        <v>27</v>
      </c>
      <c r="E243" s="5" t="s">
        <v>18</v>
      </c>
      <c r="F243" s="5" t="s">
        <v>18</v>
      </c>
      <c r="G243" s="5" t="s">
        <v>3</v>
      </c>
      <c r="H243" s="6" t="n">
        <v>289575</v>
      </c>
    </row>
    <row r="244" customFormat="false" ht="15" hidden="false" customHeight="false" outlineLevel="0" collapsed="false">
      <c r="A244" s="11" t="n">
        <v>45238</v>
      </c>
      <c r="B244" s="11" t="n">
        <v>45253</v>
      </c>
      <c r="C244" s="11" t="n">
        <v>45246</v>
      </c>
      <c r="D244" s="5" t="s">
        <v>27</v>
      </c>
      <c r="E244" s="5" t="s">
        <v>18</v>
      </c>
      <c r="F244" s="5" t="s">
        <v>18</v>
      </c>
      <c r="G244" s="5" t="s">
        <v>3</v>
      </c>
      <c r="H244" s="6" t="n">
        <v>270000</v>
      </c>
    </row>
    <row r="245" customFormat="false" ht="15" hidden="false" customHeight="false" outlineLevel="0" collapsed="false">
      <c r="A245" s="11" t="n">
        <v>45243</v>
      </c>
      <c r="B245" s="11" t="n">
        <v>45260</v>
      </c>
      <c r="C245" s="11" t="n">
        <v>45253</v>
      </c>
      <c r="D245" s="5" t="s">
        <v>27</v>
      </c>
      <c r="E245" s="5" t="s">
        <v>18</v>
      </c>
      <c r="F245" s="5" t="s">
        <v>18</v>
      </c>
      <c r="G245" s="5" t="s">
        <v>3</v>
      </c>
      <c r="H245" s="6" t="n">
        <v>143637</v>
      </c>
    </row>
    <row r="246" customFormat="false" ht="15" hidden="false" customHeight="false" outlineLevel="0" collapsed="false">
      <c r="A246" s="11" t="n">
        <v>45244</v>
      </c>
      <c r="B246" s="11" t="n">
        <v>45260</v>
      </c>
      <c r="C246" s="11" t="n">
        <v>45253</v>
      </c>
      <c r="D246" s="5" t="s">
        <v>27</v>
      </c>
      <c r="E246" s="5" t="s">
        <v>18</v>
      </c>
      <c r="F246" s="5" t="s">
        <v>18</v>
      </c>
      <c r="G246" s="5" t="s">
        <v>3</v>
      </c>
      <c r="H246" s="6" t="n">
        <v>101745</v>
      </c>
    </row>
    <row r="247" customFormat="false" ht="15" hidden="false" customHeight="false" outlineLevel="0" collapsed="false">
      <c r="A247" s="11" t="n">
        <v>45250</v>
      </c>
      <c r="B247" s="11" t="n">
        <v>45267</v>
      </c>
      <c r="C247" s="11" t="n">
        <v>45260</v>
      </c>
      <c r="D247" s="5" t="s">
        <v>27</v>
      </c>
      <c r="E247" s="5" t="s">
        <v>18</v>
      </c>
      <c r="F247" s="5" t="s">
        <v>18</v>
      </c>
      <c r="G247" s="5" t="s">
        <v>3</v>
      </c>
      <c r="H247" s="6" t="n">
        <v>104000</v>
      </c>
    </row>
    <row r="248" customFormat="false" ht="15" hidden="false" customHeight="false" outlineLevel="0" collapsed="false">
      <c r="A248" s="11" t="n">
        <v>45264</v>
      </c>
      <c r="B248" s="11" t="n">
        <v>45281</v>
      </c>
      <c r="C248" s="11" t="n">
        <v>45274</v>
      </c>
      <c r="D248" s="5" t="s">
        <v>27</v>
      </c>
      <c r="E248" s="5" t="s">
        <v>18</v>
      </c>
      <c r="F248" s="5" t="s">
        <v>18</v>
      </c>
      <c r="G248" s="5" t="s">
        <v>3</v>
      </c>
      <c r="H248" s="6" t="n">
        <v>267044</v>
      </c>
    </row>
    <row r="249" customFormat="false" ht="15" hidden="false" customHeight="false" outlineLevel="0" collapsed="false">
      <c r="A249" s="11" t="n">
        <v>45302</v>
      </c>
      <c r="B249" s="11" t="n">
        <v>45316</v>
      </c>
      <c r="C249" s="11" t="n">
        <v>45309</v>
      </c>
      <c r="D249" s="5" t="s">
        <v>27</v>
      </c>
      <c r="E249" s="5" t="s">
        <v>18</v>
      </c>
      <c r="F249" s="5" t="s">
        <v>18</v>
      </c>
      <c r="G249" s="5" t="s">
        <v>3</v>
      </c>
      <c r="H249" s="6" t="n">
        <v>175000</v>
      </c>
    </row>
    <row r="250" customFormat="false" ht="15" hidden="false" customHeight="false" outlineLevel="0" collapsed="false">
      <c r="A250" s="11" t="n">
        <v>45307</v>
      </c>
      <c r="B250" s="11" t="n">
        <v>45323</v>
      </c>
      <c r="C250" s="11" t="n">
        <v>45316</v>
      </c>
      <c r="D250" s="5" t="s">
        <v>27</v>
      </c>
      <c r="E250" s="5" t="s">
        <v>18</v>
      </c>
      <c r="F250" s="5" t="s">
        <v>18</v>
      </c>
      <c r="G250" s="5" t="s">
        <v>3</v>
      </c>
      <c r="H250" s="6" t="n">
        <v>126700</v>
      </c>
    </row>
    <row r="251" customFormat="false" ht="15" hidden="false" customHeight="false" outlineLevel="0" collapsed="false">
      <c r="A251" s="11" t="n">
        <v>45323</v>
      </c>
      <c r="B251" s="11" t="n">
        <v>45337</v>
      </c>
      <c r="C251" s="11" t="n">
        <v>45330</v>
      </c>
      <c r="D251" s="5" t="s">
        <v>27</v>
      </c>
      <c r="E251" s="5" t="s">
        <v>18</v>
      </c>
      <c r="F251" s="5" t="s">
        <v>18</v>
      </c>
      <c r="G251" s="5" t="s">
        <v>40</v>
      </c>
      <c r="H251" s="6" t="n">
        <v>206834</v>
      </c>
    </row>
    <row r="252" customFormat="false" ht="15" hidden="false" customHeight="false" outlineLevel="0" collapsed="false">
      <c r="A252" s="11" t="n">
        <v>45327</v>
      </c>
      <c r="B252" s="11" t="n">
        <v>45344</v>
      </c>
      <c r="C252" s="11" t="n">
        <v>45337</v>
      </c>
      <c r="D252" s="5" t="s">
        <v>27</v>
      </c>
      <c r="E252" s="5" t="s">
        <v>18</v>
      </c>
      <c r="F252" s="5" t="s">
        <v>18</v>
      </c>
      <c r="G252" s="5" t="s">
        <v>3</v>
      </c>
      <c r="H252" s="6" t="n">
        <v>155000</v>
      </c>
    </row>
    <row r="253" customFormat="false" ht="15" hidden="false" customHeight="false" outlineLevel="0" collapsed="false">
      <c r="A253" s="11" t="n">
        <v>45365</v>
      </c>
      <c r="B253" s="11" t="n">
        <v>45379</v>
      </c>
      <c r="C253" s="11" t="n">
        <v>45372</v>
      </c>
      <c r="D253" s="5" t="s">
        <v>27</v>
      </c>
      <c r="E253" s="5" t="s">
        <v>18</v>
      </c>
      <c r="F253" s="5" t="s">
        <v>18</v>
      </c>
      <c r="G253" s="5" t="s">
        <v>3</v>
      </c>
      <c r="H253" s="6" t="n">
        <v>100000</v>
      </c>
    </row>
    <row r="254" customFormat="false" ht="15" hidden="false" customHeight="false" outlineLevel="0" collapsed="false">
      <c r="A254" s="11" t="n">
        <v>45373</v>
      </c>
      <c r="B254" s="11" t="n">
        <v>45393</v>
      </c>
      <c r="C254" s="11" t="n">
        <v>45386</v>
      </c>
      <c r="D254" s="5" t="s">
        <v>27</v>
      </c>
      <c r="E254" s="5" t="s">
        <v>18</v>
      </c>
      <c r="F254" s="5" t="s">
        <v>18</v>
      </c>
      <c r="G254" s="5" t="s">
        <v>3</v>
      </c>
      <c r="H254" s="6" t="n">
        <v>173000</v>
      </c>
    </row>
    <row r="255" customFormat="false" ht="15" hidden="false" customHeight="false" outlineLevel="0" collapsed="false">
      <c r="A255" s="11" t="n">
        <v>45373</v>
      </c>
      <c r="B255" s="11" t="n">
        <v>45393</v>
      </c>
      <c r="C255" s="11" t="n">
        <v>45386</v>
      </c>
      <c r="D255" s="5" t="s">
        <v>27</v>
      </c>
      <c r="E255" s="5" t="s">
        <v>19</v>
      </c>
      <c r="F255" s="5" t="s">
        <v>18</v>
      </c>
      <c r="G255" s="5" t="s">
        <v>3</v>
      </c>
      <c r="H255" s="6" t="n">
        <v>90000</v>
      </c>
    </row>
    <row r="256" customFormat="false" ht="15" hidden="false" customHeight="false" outlineLevel="0" collapsed="false">
      <c r="A256" s="11" t="n">
        <v>45386</v>
      </c>
      <c r="B256" s="11" t="n">
        <v>45400</v>
      </c>
      <c r="C256" s="11" t="n">
        <v>45393</v>
      </c>
      <c r="D256" s="5" t="s">
        <v>27</v>
      </c>
      <c r="E256" s="5" t="s">
        <v>18</v>
      </c>
      <c r="F256" s="5" t="s">
        <v>18</v>
      </c>
      <c r="G256" s="5" t="s">
        <v>40</v>
      </c>
      <c r="H256" s="6" t="n">
        <v>152404</v>
      </c>
    </row>
    <row r="257" customFormat="false" ht="15" hidden="false" customHeight="false" outlineLevel="0" collapsed="false">
      <c r="A257" s="11" t="n">
        <v>45397</v>
      </c>
      <c r="B257" s="11" t="n">
        <v>45414</v>
      </c>
      <c r="C257" s="11" t="n">
        <v>45407</v>
      </c>
      <c r="D257" s="5" t="s">
        <v>27</v>
      </c>
      <c r="E257" s="5" t="s">
        <v>18</v>
      </c>
      <c r="F257" s="5" t="s">
        <v>18</v>
      </c>
      <c r="G257" s="5" t="s">
        <v>3</v>
      </c>
      <c r="H257" s="6" t="n">
        <v>135000</v>
      </c>
    </row>
    <row r="258" customFormat="false" ht="15" hidden="false" customHeight="false" outlineLevel="0" collapsed="false">
      <c r="A258" s="11" t="n">
        <v>45397</v>
      </c>
      <c r="B258" s="11" t="n">
        <v>45414</v>
      </c>
      <c r="C258" s="11" t="n">
        <v>45407</v>
      </c>
      <c r="D258" s="5" t="s">
        <v>27</v>
      </c>
      <c r="E258" s="5" t="s">
        <v>19</v>
      </c>
      <c r="F258" s="5" t="s">
        <v>18</v>
      </c>
      <c r="G258" s="5" t="s">
        <v>3</v>
      </c>
      <c r="H258" s="6" t="n">
        <v>30000</v>
      </c>
    </row>
    <row r="259" customFormat="false" ht="15" hidden="false" customHeight="false" outlineLevel="0" collapsed="false">
      <c r="A259" s="11" t="n">
        <v>45401</v>
      </c>
      <c r="B259" s="11" t="n">
        <v>45421</v>
      </c>
      <c r="C259" s="11" t="n">
        <v>45414</v>
      </c>
      <c r="D259" s="5" t="s">
        <v>27</v>
      </c>
      <c r="E259" s="5" t="s">
        <v>18</v>
      </c>
      <c r="F259" s="5" t="s">
        <v>18</v>
      </c>
      <c r="G259" s="5" t="s">
        <v>3</v>
      </c>
      <c r="H259" s="6" t="n">
        <v>23000</v>
      </c>
    </row>
    <row r="260" customFormat="false" ht="15" hidden="false" customHeight="false" outlineLevel="0" collapsed="false">
      <c r="A260" s="11" t="n">
        <v>45401</v>
      </c>
      <c r="B260" s="11" t="n">
        <v>45421</v>
      </c>
      <c r="C260" s="11" t="n">
        <v>45414</v>
      </c>
      <c r="D260" s="5" t="s">
        <v>27</v>
      </c>
      <c r="E260" s="5" t="s">
        <v>19</v>
      </c>
      <c r="F260" s="5" t="s">
        <v>18</v>
      </c>
      <c r="G260" s="5" t="s">
        <v>3</v>
      </c>
      <c r="H260" s="6" t="n">
        <v>193500</v>
      </c>
    </row>
    <row r="261" customFormat="false" ht="15" hidden="false" customHeight="false" outlineLevel="0" collapsed="false">
      <c r="A261" s="11" t="n">
        <v>45401</v>
      </c>
      <c r="B261" s="11" t="n">
        <v>45421</v>
      </c>
      <c r="C261" s="11" t="n">
        <v>45414</v>
      </c>
      <c r="D261" s="5" t="s">
        <v>27</v>
      </c>
      <c r="E261" s="5" t="s">
        <v>18</v>
      </c>
      <c r="F261" s="5" t="s">
        <v>18</v>
      </c>
      <c r="G261" s="5" t="s">
        <v>40</v>
      </c>
      <c r="H261" s="6" t="n">
        <v>13500</v>
      </c>
    </row>
    <row r="262" customFormat="false" ht="15" hidden="false" customHeight="false" outlineLevel="0" collapsed="false">
      <c r="A262" s="11" t="n">
        <v>45401</v>
      </c>
      <c r="B262" s="11" t="n">
        <v>45421</v>
      </c>
      <c r="C262" s="11" t="n">
        <v>45414</v>
      </c>
      <c r="D262" s="5" t="s">
        <v>27</v>
      </c>
      <c r="E262" s="5" t="s">
        <v>19</v>
      </c>
      <c r="F262" s="5" t="s">
        <v>18</v>
      </c>
      <c r="G262" s="5" t="s">
        <v>40</v>
      </c>
      <c r="H262" s="6" t="n">
        <v>108000</v>
      </c>
    </row>
    <row r="263" customFormat="false" ht="15" hidden="false" customHeight="false" outlineLevel="0" collapsed="false">
      <c r="A263" s="11" t="n">
        <v>45421</v>
      </c>
      <c r="B263" s="11" t="n">
        <v>45435</v>
      </c>
      <c r="C263" s="11" t="n">
        <v>45428</v>
      </c>
      <c r="D263" s="5" t="s">
        <v>27</v>
      </c>
      <c r="E263" s="5" t="s">
        <v>18</v>
      </c>
      <c r="F263" s="5" t="s">
        <v>18</v>
      </c>
      <c r="G263" s="5" t="s">
        <v>3</v>
      </c>
      <c r="H263" s="6" t="n">
        <v>60960</v>
      </c>
    </row>
    <row r="264" customFormat="false" ht="15" hidden="false" customHeight="false" outlineLevel="0" collapsed="false">
      <c r="A264" s="11" t="n">
        <v>45421</v>
      </c>
      <c r="B264" s="11" t="n">
        <v>45435</v>
      </c>
      <c r="C264" s="11" t="n">
        <v>45428</v>
      </c>
      <c r="D264" s="5" t="s">
        <v>27</v>
      </c>
      <c r="E264" s="5" t="s">
        <v>19</v>
      </c>
      <c r="F264" s="5" t="s">
        <v>18</v>
      </c>
      <c r="G264" s="5" t="s">
        <v>3</v>
      </c>
      <c r="H264" s="6" t="n">
        <v>71120</v>
      </c>
    </row>
    <row r="265" customFormat="false" ht="15" hidden="false" customHeight="false" outlineLevel="0" collapsed="false">
      <c r="A265" s="11" t="n">
        <v>45426</v>
      </c>
      <c r="B265" s="11" t="n">
        <v>45442</v>
      </c>
      <c r="C265" s="11" t="n">
        <v>45435</v>
      </c>
      <c r="D265" s="5" t="s">
        <v>27</v>
      </c>
      <c r="E265" s="5" t="s">
        <v>18</v>
      </c>
      <c r="F265" s="5" t="s">
        <v>18</v>
      </c>
      <c r="G265" s="5" t="s">
        <v>3</v>
      </c>
      <c r="H265" s="6" t="n">
        <v>135000</v>
      </c>
    </row>
    <row r="266" customFormat="false" ht="15" hidden="false" customHeight="false" outlineLevel="0" collapsed="false">
      <c r="A266" s="11" t="n">
        <v>45426</v>
      </c>
      <c r="B266" s="11" t="n">
        <v>45442</v>
      </c>
      <c r="C266" s="11" t="n">
        <v>45435</v>
      </c>
      <c r="D266" s="5" t="s">
        <v>27</v>
      </c>
      <c r="E266" s="5" t="s">
        <v>19</v>
      </c>
      <c r="F266" s="5" t="s">
        <v>18</v>
      </c>
      <c r="G266" s="5" t="s">
        <v>3</v>
      </c>
      <c r="H266" s="6" t="n">
        <v>270000</v>
      </c>
    </row>
    <row r="267" customFormat="false" ht="15" hidden="false" customHeight="false" outlineLevel="0" collapsed="false">
      <c r="A267" s="11" t="n">
        <v>45433</v>
      </c>
      <c r="B267" s="11" t="n">
        <v>45449</v>
      </c>
      <c r="C267" s="11" t="n">
        <v>45442</v>
      </c>
      <c r="D267" s="5" t="s">
        <v>27</v>
      </c>
      <c r="E267" s="5" t="s">
        <v>18</v>
      </c>
      <c r="F267" s="5" t="s">
        <v>18</v>
      </c>
      <c r="G267" s="5" t="s">
        <v>3</v>
      </c>
      <c r="H267" s="6" t="n">
        <v>56525</v>
      </c>
    </row>
    <row r="268" customFormat="false" ht="15" hidden="false" customHeight="false" outlineLevel="0" collapsed="false">
      <c r="A268" s="11" t="n">
        <v>45433</v>
      </c>
      <c r="B268" s="11" t="n">
        <v>45449</v>
      </c>
      <c r="C268" s="11" t="n">
        <v>45442</v>
      </c>
      <c r="D268" s="5" t="s">
        <v>27</v>
      </c>
      <c r="E268" s="5" t="s">
        <v>19</v>
      </c>
      <c r="F268" s="5" t="s">
        <v>18</v>
      </c>
      <c r="G268" s="5" t="s">
        <v>3</v>
      </c>
      <c r="H268" s="6" t="n">
        <v>56525</v>
      </c>
    </row>
    <row r="269" customFormat="false" ht="15" hidden="false" customHeight="false" outlineLevel="0" collapsed="false">
      <c r="A269" s="11" t="n">
        <v>45440</v>
      </c>
      <c r="B269" s="11" t="n">
        <v>45456</v>
      </c>
      <c r="C269" s="11" t="n">
        <v>45449</v>
      </c>
      <c r="D269" s="5" t="s">
        <v>27</v>
      </c>
      <c r="E269" s="5" t="s">
        <v>18</v>
      </c>
      <c r="F269" s="5" t="s">
        <v>18</v>
      </c>
      <c r="G269" s="5" t="s">
        <v>3</v>
      </c>
      <c r="H269" s="6" t="n">
        <v>165000</v>
      </c>
    </row>
    <row r="270" customFormat="false" ht="15" hidden="false" customHeight="false" outlineLevel="0" collapsed="false">
      <c r="A270" s="11" t="n">
        <v>45440</v>
      </c>
      <c r="B270" s="11" t="n">
        <v>45456</v>
      </c>
      <c r="C270" s="11" t="n">
        <v>45449</v>
      </c>
      <c r="D270" s="5" t="s">
        <v>27</v>
      </c>
      <c r="E270" s="5" t="s">
        <v>19</v>
      </c>
      <c r="F270" s="5" t="s">
        <v>18</v>
      </c>
      <c r="G270" s="5" t="s">
        <v>3</v>
      </c>
      <c r="H270" s="6" t="n">
        <v>50000</v>
      </c>
    </row>
    <row r="271" customFormat="false" ht="15" hidden="false" customHeight="false" outlineLevel="0" collapsed="false">
      <c r="A271" s="11" t="n">
        <v>45468</v>
      </c>
      <c r="B271" s="11" t="n">
        <v>45484</v>
      </c>
      <c r="C271" s="11" t="n">
        <v>45477</v>
      </c>
      <c r="D271" s="5" t="s">
        <v>27</v>
      </c>
      <c r="E271" s="5" t="s">
        <v>18</v>
      </c>
      <c r="F271" s="5" t="s">
        <v>18</v>
      </c>
      <c r="G271" s="5" t="s">
        <v>3</v>
      </c>
      <c r="H271" s="6" t="n">
        <v>22098</v>
      </c>
    </row>
    <row r="272" customFormat="false" ht="15" hidden="false" customHeight="false" outlineLevel="0" collapsed="false">
      <c r="A272" s="11" t="n">
        <v>45468</v>
      </c>
      <c r="B272" s="11" t="n">
        <v>45484</v>
      </c>
      <c r="C272" s="11" t="n">
        <v>45477</v>
      </c>
      <c r="D272" s="5" t="s">
        <v>27</v>
      </c>
      <c r="E272" s="5" t="s">
        <v>19</v>
      </c>
      <c r="F272" s="5" t="s">
        <v>18</v>
      </c>
      <c r="G272" s="5" t="s">
        <v>3</v>
      </c>
      <c r="H272" s="6" t="n">
        <v>187833</v>
      </c>
    </row>
    <row r="273" customFormat="false" ht="15" hidden="false" customHeight="false" outlineLevel="0" collapsed="false">
      <c r="A273" s="11" t="n">
        <v>45495</v>
      </c>
      <c r="B273" s="11" t="n">
        <v>45512</v>
      </c>
      <c r="C273" s="11" t="n">
        <v>45505</v>
      </c>
      <c r="D273" s="5" t="s">
        <v>27</v>
      </c>
      <c r="E273" s="5" t="s">
        <v>19</v>
      </c>
      <c r="F273" s="5" t="s">
        <v>18</v>
      </c>
      <c r="G273" s="5" t="s">
        <v>3</v>
      </c>
      <c r="H273" s="6" t="n">
        <v>133000</v>
      </c>
    </row>
    <row r="274" customFormat="false" ht="15" hidden="false" customHeight="false" outlineLevel="0" collapsed="false">
      <c r="A274" s="11" t="n">
        <v>45517</v>
      </c>
      <c r="B274" s="11" t="n">
        <v>45533</v>
      </c>
      <c r="C274" s="11" t="n">
        <v>45526</v>
      </c>
      <c r="D274" s="5" t="s">
        <v>27</v>
      </c>
      <c r="E274" s="5" t="s">
        <v>19</v>
      </c>
      <c r="F274" s="5" t="s">
        <v>18</v>
      </c>
      <c r="G274" s="5" t="s">
        <v>3</v>
      </c>
      <c r="H274" s="6" t="n">
        <v>137160</v>
      </c>
    </row>
    <row r="275" customFormat="false" ht="15" hidden="false" customHeight="false" outlineLevel="0" collapsed="false">
      <c r="A275" s="11" t="n">
        <v>45524</v>
      </c>
      <c r="B275" s="11" t="n">
        <v>45540</v>
      </c>
      <c r="C275" s="11" t="n">
        <v>45533</v>
      </c>
      <c r="D275" s="5" t="s">
        <v>27</v>
      </c>
      <c r="E275" s="5" t="s">
        <v>19</v>
      </c>
      <c r="F275" s="5" t="s">
        <v>18</v>
      </c>
      <c r="G275" s="5" t="s">
        <v>40</v>
      </c>
      <c r="H275" s="6" t="n">
        <v>239492</v>
      </c>
    </row>
    <row r="276" customFormat="false" ht="15" hidden="false" customHeight="false" outlineLevel="0" collapsed="false">
      <c r="A276" s="11" t="n">
        <v>45526</v>
      </c>
      <c r="B276" s="11" t="n">
        <v>45540</v>
      </c>
      <c r="C276" s="11" t="n">
        <v>45533</v>
      </c>
      <c r="D276" s="5" t="s">
        <v>27</v>
      </c>
      <c r="E276" s="5" t="s">
        <v>19</v>
      </c>
      <c r="F276" s="5" t="s">
        <v>18</v>
      </c>
      <c r="G276" s="5" t="s">
        <v>3</v>
      </c>
      <c r="H276" s="6" t="n">
        <v>110490</v>
      </c>
    </row>
    <row r="277" customFormat="false" ht="15" hidden="false" customHeight="false" outlineLevel="0" collapsed="false">
      <c r="A277" s="11" t="n">
        <v>45531</v>
      </c>
      <c r="B277" s="11" t="n">
        <v>45547</v>
      </c>
      <c r="C277" s="11" t="n">
        <v>45540</v>
      </c>
      <c r="D277" s="5" t="s">
        <v>27</v>
      </c>
      <c r="E277" s="5" t="s">
        <v>19</v>
      </c>
      <c r="F277" s="5" t="s">
        <v>18</v>
      </c>
      <c r="G277" s="5" t="s">
        <v>3</v>
      </c>
      <c r="H277" s="6" t="n">
        <v>127760</v>
      </c>
    </row>
    <row r="278" customFormat="false" ht="15" hidden="false" customHeight="false" outlineLevel="0" collapsed="false">
      <c r="A278" s="11" t="n">
        <v>45532</v>
      </c>
      <c r="B278" s="11" t="n">
        <v>45547</v>
      </c>
      <c r="C278" s="11" t="n">
        <v>45540</v>
      </c>
      <c r="D278" s="5" t="s">
        <v>27</v>
      </c>
      <c r="E278" s="5" t="s">
        <v>19</v>
      </c>
      <c r="F278" s="5" t="s">
        <v>18</v>
      </c>
      <c r="G278" s="5" t="s">
        <v>3</v>
      </c>
      <c r="H278" s="6" t="n">
        <v>165735</v>
      </c>
    </row>
    <row r="279" customFormat="false" ht="15" hidden="false" customHeight="false" outlineLevel="0" collapsed="false">
      <c r="A279" s="11" t="n">
        <v>45560</v>
      </c>
      <c r="B279" s="11" t="n">
        <v>45575</v>
      </c>
      <c r="C279" s="11" t="n">
        <v>45568</v>
      </c>
      <c r="D279" s="5" t="s">
        <v>27</v>
      </c>
      <c r="E279" s="5" t="s">
        <v>19</v>
      </c>
      <c r="F279" s="5" t="s">
        <v>19</v>
      </c>
      <c r="G279" s="5" t="s">
        <v>3</v>
      </c>
      <c r="H279" s="6" t="n">
        <v>180000</v>
      </c>
    </row>
    <row r="280" customFormat="false" ht="15" hidden="false" customHeight="false" outlineLevel="0" collapsed="false">
      <c r="A280" s="11" t="n">
        <v>45561</v>
      </c>
      <c r="B280" s="11" t="n">
        <v>45575</v>
      </c>
      <c r="C280" s="11" t="n">
        <v>45568</v>
      </c>
      <c r="D280" s="5" t="s">
        <v>27</v>
      </c>
      <c r="E280" s="5" t="s">
        <v>19</v>
      </c>
      <c r="F280" s="5" t="s">
        <v>19</v>
      </c>
      <c r="G280" s="5" t="s">
        <v>3</v>
      </c>
      <c r="H280" s="6" t="n">
        <v>115000</v>
      </c>
    </row>
    <row r="281" customFormat="false" ht="15" hidden="false" customHeight="false" outlineLevel="0" collapsed="false">
      <c r="A281" s="11" t="n">
        <v>45572</v>
      </c>
      <c r="B281" s="11" t="n">
        <v>45589</v>
      </c>
      <c r="C281" s="11" t="n">
        <v>45582</v>
      </c>
      <c r="D281" s="5" t="s">
        <v>27</v>
      </c>
      <c r="E281" s="5" t="s">
        <v>19</v>
      </c>
      <c r="F281" s="5" t="s">
        <v>19</v>
      </c>
      <c r="G281" s="5" t="s">
        <v>3</v>
      </c>
      <c r="H281" s="6" t="n">
        <v>155000</v>
      </c>
    </row>
    <row r="282" customFormat="false" ht="15" hidden="false" customHeight="false" outlineLevel="0" collapsed="false">
      <c r="A282" s="11" t="n">
        <v>45581</v>
      </c>
      <c r="B282" s="11" t="n">
        <v>45596</v>
      </c>
      <c r="C282" s="11" t="n">
        <v>45589</v>
      </c>
      <c r="D282" s="5" t="s">
        <v>27</v>
      </c>
      <c r="E282" s="5" t="s">
        <v>19</v>
      </c>
      <c r="F282" s="5" t="s">
        <v>19</v>
      </c>
      <c r="G282" s="5" t="s">
        <v>3</v>
      </c>
      <c r="H282" s="6" t="n">
        <v>1043940</v>
      </c>
    </row>
    <row r="283" customFormat="false" ht="15" hidden="false" customHeight="false" outlineLevel="0" collapsed="false">
      <c r="A283" s="11" t="n">
        <v>45581</v>
      </c>
      <c r="B283" s="11" t="n">
        <v>45596</v>
      </c>
      <c r="C283" s="11" t="n">
        <v>45589</v>
      </c>
      <c r="D283" s="5" t="s">
        <v>27</v>
      </c>
      <c r="E283" s="5" t="s">
        <v>20</v>
      </c>
      <c r="F283" s="5" t="s">
        <v>19</v>
      </c>
      <c r="G283" s="5" t="s">
        <v>3</v>
      </c>
      <c r="H283" s="6" t="n">
        <v>579120</v>
      </c>
    </row>
    <row r="284" customFormat="false" ht="15" hidden="false" customHeight="false" outlineLevel="0" collapsed="false">
      <c r="A284" s="11" t="n">
        <v>45582</v>
      </c>
      <c r="B284" s="11" t="n">
        <v>45596</v>
      </c>
      <c r="C284" s="11" t="n">
        <v>45589</v>
      </c>
      <c r="D284" s="5" t="s">
        <v>27</v>
      </c>
      <c r="E284" s="5" t="s">
        <v>19</v>
      </c>
      <c r="F284" s="5" t="s">
        <v>19</v>
      </c>
      <c r="G284" s="5" t="s">
        <v>3</v>
      </c>
      <c r="H284" s="6" t="n">
        <v>197180</v>
      </c>
    </row>
    <row r="285" customFormat="false" ht="15" hidden="false" customHeight="false" outlineLevel="0" collapsed="false">
      <c r="A285" s="11" t="n">
        <v>45586</v>
      </c>
      <c r="B285" s="11" t="n">
        <v>45603</v>
      </c>
      <c r="C285" s="11" t="n">
        <v>45596</v>
      </c>
      <c r="D285" s="5" t="s">
        <v>27</v>
      </c>
      <c r="E285" s="5" t="s">
        <v>19</v>
      </c>
      <c r="F285" s="5" t="s">
        <v>19</v>
      </c>
      <c r="G285" s="5" t="s">
        <v>3</v>
      </c>
      <c r="H285" s="6" t="n">
        <v>169926</v>
      </c>
    </row>
    <row r="286" customFormat="false" ht="15" hidden="false" customHeight="false" outlineLevel="0" collapsed="false">
      <c r="A286" s="11" t="n">
        <v>45587</v>
      </c>
      <c r="B286" s="11" t="n">
        <v>45603</v>
      </c>
      <c r="C286" s="11" t="n">
        <v>45596</v>
      </c>
      <c r="D286" s="5" t="s">
        <v>27</v>
      </c>
      <c r="E286" s="5" t="s">
        <v>19</v>
      </c>
      <c r="F286" s="5" t="s">
        <v>19</v>
      </c>
      <c r="G286" s="5" t="s">
        <v>3</v>
      </c>
      <c r="H286" s="6" t="n">
        <v>359500</v>
      </c>
    </row>
    <row r="287" customFormat="false" ht="15" hidden="false" customHeight="false" outlineLevel="0" collapsed="false">
      <c r="A287" s="11" t="n">
        <v>45590</v>
      </c>
      <c r="B287" s="11" t="n">
        <v>45610</v>
      </c>
      <c r="C287" s="11" t="n">
        <v>45603</v>
      </c>
      <c r="D287" s="5" t="s">
        <v>27</v>
      </c>
      <c r="E287" s="5" t="s">
        <v>19</v>
      </c>
      <c r="F287" s="5" t="s">
        <v>19</v>
      </c>
      <c r="G287" s="5" t="s">
        <v>3</v>
      </c>
      <c r="H287" s="6" t="n">
        <v>136000</v>
      </c>
    </row>
    <row r="288" customFormat="false" ht="15" hidden="false" customHeight="false" outlineLevel="0" collapsed="false">
      <c r="A288" s="11" t="n">
        <v>45597</v>
      </c>
      <c r="B288" s="11" t="n">
        <v>45617</v>
      </c>
      <c r="C288" s="11" t="n">
        <v>45610</v>
      </c>
      <c r="D288" s="5" t="s">
        <v>27</v>
      </c>
      <c r="E288" s="5" t="s">
        <v>19</v>
      </c>
      <c r="F288" s="5" t="s">
        <v>19</v>
      </c>
      <c r="G288" s="5" t="s">
        <v>3</v>
      </c>
      <c r="H288" s="6" t="n">
        <v>715800</v>
      </c>
    </row>
    <row r="289" customFormat="false" ht="15" hidden="false" customHeight="false" outlineLevel="0" collapsed="false">
      <c r="A289" s="11" t="n">
        <v>45597</v>
      </c>
      <c r="B289" s="11" t="n">
        <v>45617</v>
      </c>
      <c r="C289" s="11" t="n">
        <v>45610</v>
      </c>
      <c r="D289" s="5" t="s">
        <v>27</v>
      </c>
      <c r="E289" s="5" t="s">
        <v>20</v>
      </c>
      <c r="F289" s="5" t="s">
        <v>19</v>
      </c>
      <c r="G289" s="5" t="s">
        <v>3</v>
      </c>
      <c r="H289" s="6" t="n">
        <v>65532</v>
      </c>
    </row>
    <row r="290" customFormat="false" ht="15" hidden="false" customHeight="false" outlineLevel="0" collapsed="false">
      <c r="A290" s="11" t="n">
        <v>45600</v>
      </c>
      <c r="B290" s="11" t="n">
        <v>45617</v>
      </c>
      <c r="C290" s="11" t="n">
        <v>45610</v>
      </c>
      <c r="D290" s="5" t="s">
        <v>27</v>
      </c>
      <c r="E290" s="5" t="s">
        <v>19</v>
      </c>
      <c r="F290" s="5" t="s">
        <v>19</v>
      </c>
      <c r="G290" s="5" t="s">
        <v>3</v>
      </c>
      <c r="H290" s="6" t="n">
        <v>150000</v>
      </c>
    </row>
    <row r="291" customFormat="false" ht="15" hidden="false" customHeight="false" outlineLevel="0" collapsed="false">
      <c r="A291" s="11" t="n">
        <v>45608</v>
      </c>
      <c r="B291" s="11" t="n">
        <v>45624</v>
      </c>
      <c r="C291" s="11" t="n">
        <v>45617</v>
      </c>
      <c r="D291" s="5" t="s">
        <v>27</v>
      </c>
      <c r="E291" s="5" t="s">
        <v>19</v>
      </c>
      <c r="F291" s="5" t="s">
        <v>19</v>
      </c>
      <c r="G291" s="5" t="s">
        <v>3</v>
      </c>
      <c r="H291" s="6" t="n">
        <v>110500</v>
      </c>
    </row>
    <row r="292" customFormat="false" ht="15" hidden="false" customHeight="false" outlineLevel="0" collapsed="false">
      <c r="A292" s="11" t="n">
        <v>45609</v>
      </c>
      <c r="B292" s="11" t="n">
        <v>45624</v>
      </c>
      <c r="C292" s="11" t="n">
        <v>45617</v>
      </c>
      <c r="D292" s="5" t="s">
        <v>27</v>
      </c>
      <c r="E292" s="5" t="s">
        <v>19</v>
      </c>
      <c r="F292" s="5" t="s">
        <v>19</v>
      </c>
      <c r="G292" s="5" t="s">
        <v>3</v>
      </c>
      <c r="H292" s="6" t="n">
        <v>401357</v>
      </c>
    </row>
    <row r="293" customFormat="false" ht="15" hidden="false" customHeight="false" outlineLevel="0" collapsed="false">
      <c r="A293" s="11" t="n">
        <v>45614</v>
      </c>
      <c r="B293" s="11" t="n">
        <v>45631</v>
      </c>
      <c r="C293" s="11" t="n">
        <v>45624</v>
      </c>
      <c r="D293" s="5" t="s">
        <v>27</v>
      </c>
      <c r="E293" s="5" t="s">
        <v>19</v>
      </c>
      <c r="F293" s="5" t="s">
        <v>19</v>
      </c>
      <c r="G293" s="5" t="s">
        <v>40</v>
      </c>
      <c r="H293" s="6" t="n">
        <v>261264</v>
      </c>
    </row>
    <row r="294" customFormat="false" ht="15" hidden="false" customHeight="false" outlineLevel="0" collapsed="false">
      <c r="A294" s="11" t="n">
        <v>45621</v>
      </c>
      <c r="B294" s="11" t="n">
        <v>45638</v>
      </c>
      <c r="C294" s="11" t="n">
        <v>45631</v>
      </c>
      <c r="D294" s="5" t="s">
        <v>27</v>
      </c>
      <c r="E294" s="5" t="s">
        <v>19</v>
      </c>
      <c r="F294" s="5" t="s">
        <v>19</v>
      </c>
      <c r="G294" s="5" t="s">
        <v>3</v>
      </c>
      <c r="H294" s="6" t="n">
        <v>364792</v>
      </c>
    </row>
    <row r="295" customFormat="false" ht="15" hidden="false" customHeight="false" outlineLevel="0" collapsed="false">
      <c r="A295" s="11" t="n">
        <v>45621</v>
      </c>
      <c r="B295" s="11" t="n">
        <v>45638</v>
      </c>
      <c r="C295" s="11" t="n">
        <v>45631</v>
      </c>
      <c r="D295" s="5" t="s">
        <v>27</v>
      </c>
      <c r="E295" s="5" t="s">
        <v>20</v>
      </c>
      <c r="F295" s="5" t="s">
        <v>19</v>
      </c>
      <c r="G295" s="5" t="s">
        <v>3</v>
      </c>
      <c r="H295" s="6" t="n">
        <v>89298</v>
      </c>
    </row>
    <row r="296" customFormat="false" ht="15" hidden="false" customHeight="false" outlineLevel="0" collapsed="false">
      <c r="A296" s="11" t="n">
        <v>45643</v>
      </c>
      <c r="B296" s="11" t="n">
        <v>45659</v>
      </c>
      <c r="C296" s="11" t="n">
        <v>45652</v>
      </c>
      <c r="D296" s="5" t="s">
        <v>27</v>
      </c>
      <c r="E296" s="5" t="s">
        <v>19</v>
      </c>
      <c r="F296" s="5" t="s">
        <v>19</v>
      </c>
      <c r="G296" s="5" t="s">
        <v>3</v>
      </c>
      <c r="H296" s="6" t="n">
        <v>170400</v>
      </c>
    </row>
    <row r="297" customFormat="false" ht="15" hidden="false" customHeight="false" outlineLevel="0" collapsed="false">
      <c r="A297" s="11" t="n">
        <v>45684</v>
      </c>
      <c r="B297" s="11" t="n">
        <v>45701</v>
      </c>
      <c r="C297" s="11" t="n">
        <v>45694</v>
      </c>
      <c r="D297" s="5" t="s">
        <v>27</v>
      </c>
      <c r="E297" s="5" t="s">
        <v>19</v>
      </c>
      <c r="F297" s="5" t="s">
        <v>19</v>
      </c>
      <c r="G297" s="5" t="s">
        <v>3</v>
      </c>
      <c r="H297" s="6" t="n">
        <v>139000</v>
      </c>
    </row>
    <row r="298" customFormat="false" ht="15" hidden="false" customHeight="false" outlineLevel="0" collapsed="false">
      <c r="A298" s="11" t="n">
        <v>45693</v>
      </c>
      <c r="B298" s="11" t="n">
        <v>45708</v>
      </c>
      <c r="C298" s="11" t="n">
        <v>45701</v>
      </c>
      <c r="D298" s="5" t="s">
        <v>27</v>
      </c>
      <c r="E298" s="5" t="s">
        <v>20</v>
      </c>
      <c r="F298" s="5" t="s">
        <v>19</v>
      </c>
      <c r="G298" s="5" t="s">
        <v>3</v>
      </c>
      <c r="H298" s="6" t="n">
        <v>330000</v>
      </c>
    </row>
    <row r="299" customFormat="false" ht="15" hidden="false" customHeight="false" outlineLevel="0" collapsed="false">
      <c r="A299" s="11" t="n">
        <v>45698</v>
      </c>
      <c r="B299" s="11" t="n">
        <v>45715</v>
      </c>
      <c r="C299" s="11" t="n">
        <v>45708</v>
      </c>
      <c r="D299" s="5" t="s">
        <v>27</v>
      </c>
      <c r="E299" s="5" t="s">
        <v>19</v>
      </c>
      <c r="F299" s="5" t="s">
        <v>19</v>
      </c>
      <c r="G299" s="5" t="s">
        <v>3</v>
      </c>
      <c r="H299" s="6" t="n">
        <v>365000</v>
      </c>
    </row>
    <row r="300" customFormat="false" ht="15" hidden="false" customHeight="false" outlineLevel="0" collapsed="false">
      <c r="A300" s="11" t="n">
        <v>45719</v>
      </c>
      <c r="B300" s="11" t="n">
        <v>45736</v>
      </c>
      <c r="C300" s="11" t="n">
        <v>45729</v>
      </c>
      <c r="D300" s="5" t="s">
        <v>27</v>
      </c>
      <c r="E300" s="5" t="s">
        <v>19</v>
      </c>
      <c r="F300" s="5" t="s">
        <v>19</v>
      </c>
      <c r="G300" s="5" t="s">
        <v>3</v>
      </c>
      <c r="H300" s="6" t="n">
        <v>114000</v>
      </c>
    </row>
    <row r="301" customFormat="false" ht="15" hidden="false" customHeight="false" outlineLevel="0" collapsed="false">
      <c r="A301" s="11" t="n">
        <v>45772</v>
      </c>
      <c r="B301" s="11" t="n">
        <v>45792</v>
      </c>
      <c r="C301" s="11" t="n">
        <v>45785</v>
      </c>
      <c r="D301" s="5" t="s">
        <v>27</v>
      </c>
      <c r="E301" s="5" t="s">
        <v>19</v>
      </c>
      <c r="F301" s="5" t="s">
        <v>19</v>
      </c>
      <c r="G301" s="5" t="s">
        <v>3</v>
      </c>
      <c r="H301" s="6" t="n">
        <v>130000</v>
      </c>
    </row>
    <row r="302" customFormat="false" ht="15" hidden="false" customHeight="false" outlineLevel="0" collapsed="false">
      <c r="A302" s="11" t="n">
        <v>45772</v>
      </c>
      <c r="B302" s="11" t="n">
        <v>45792</v>
      </c>
      <c r="C302" s="11" t="n">
        <v>45785</v>
      </c>
      <c r="D302" s="5" t="s">
        <v>27</v>
      </c>
      <c r="E302" s="5" t="s">
        <v>20</v>
      </c>
      <c r="F302" s="5" t="s">
        <v>19</v>
      </c>
      <c r="G302" s="5" t="s">
        <v>3</v>
      </c>
      <c r="H302" s="6" t="n">
        <v>105000</v>
      </c>
    </row>
    <row r="303" customFormat="false" ht="15" hidden="false" customHeight="false" outlineLevel="0" collapsed="false">
      <c r="A303" s="11" t="n">
        <v>45785</v>
      </c>
      <c r="B303" s="11" t="n">
        <v>45799</v>
      </c>
      <c r="C303" s="11" t="n">
        <v>45792</v>
      </c>
      <c r="D303" s="5" t="s">
        <v>27</v>
      </c>
      <c r="E303" s="5" t="s">
        <v>19</v>
      </c>
      <c r="F303" s="5" t="s">
        <v>19</v>
      </c>
      <c r="G303" s="5" t="s">
        <v>3</v>
      </c>
      <c r="H303" s="6" t="n">
        <v>40000</v>
      </c>
    </row>
    <row r="304" customFormat="false" ht="15" hidden="false" customHeight="false" outlineLevel="0" collapsed="false">
      <c r="A304" s="11" t="n">
        <v>45785</v>
      </c>
      <c r="B304" s="11" t="n">
        <v>45799</v>
      </c>
      <c r="C304" s="11" t="n">
        <v>45792</v>
      </c>
      <c r="D304" s="5" t="s">
        <v>27</v>
      </c>
      <c r="E304" s="5" t="s">
        <v>20</v>
      </c>
      <c r="F304" s="5" t="s">
        <v>19</v>
      </c>
      <c r="G304" s="5" t="s">
        <v>3</v>
      </c>
      <c r="H304" s="6" t="n">
        <v>165000</v>
      </c>
    </row>
    <row r="305" customFormat="false" ht="15" hidden="false" customHeight="false" outlineLevel="0" collapsed="false">
      <c r="A305" s="11" t="n">
        <v>45786</v>
      </c>
      <c r="B305" s="11" t="n">
        <v>45806</v>
      </c>
      <c r="C305" s="11" t="n">
        <v>45799</v>
      </c>
      <c r="D305" s="5" t="s">
        <v>27</v>
      </c>
      <c r="E305" s="5" t="s">
        <v>19</v>
      </c>
      <c r="F305" s="5" t="s">
        <v>19</v>
      </c>
      <c r="G305" s="5" t="s">
        <v>3</v>
      </c>
      <c r="H305" s="6" t="n">
        <v>95100</v>
      </c>
    </row>
    <row r="306" customFormat="false" ht="15" hidden="false" customHeight="false" outlineLevel="0" collapsed="false">
      <c r="A306" s="11" t="n">
        <v>45786</v>
      </c>
      <c r="B306" s="11" t="n">
        <v>45806</v>
      </c>
      <c r="C306" s="11" t="n">
        <v>45799</v>
      </c>
      <c r="D306" s="5" t="s">
        <v>27</v>
      </c>
      <c r="E306" s="5" t="s">
        <v>20</v>
      </c>
      <c r="F306" s="5" t="s">
        <v>19</v>
      </c>
      <c r="G306" s="5" t="s">
        <v>3</v>
      </c>
      <c r="H306" s="6" t="n">
        <v>192900</v>
      </c>
    </row>
    <row r="307" customFormat="false" ht="15" hidden="false" customHeight="false" outlineLevel="0" collapsed="false">
      <c r="A307" s="11" t="n">
        <v>45789</v>
      </c>
      <c r="B307" s="11" t="n">
        <v>45806</v>
      </c>
      <c r="C307" s="11" t="n">
        <v>45799</v>
      </c>
      <c r="D307" s="5" t="s">
        <v>27</v>
      </c>
      <c r="E307" s="5" t="s">
        <v>19</v>
      </c>
      <c r="F307" s="5" t="s">
        <v>19</v>
      </c>
      <c r="G307" s="5" t="s">
        <v>40</v>
      </c>
      <c r="H307" s="6" t="n">
        <v>24000</v>
      </c>
    </row>
    <row r="308" customFormat="false" ht="15" hidden="false" customHeight="false" outlineLevel="0" collapsed="false">
      <c r="A308" s="11" t="n">
        <v>45789</v>
      </c>
      <c r="B308" s="11" t="n">
        <v>45806</v>
      </c>
      <c r="C308" s="11" t="n">
        <v>45799</v>
      </c>
      <c r="D308" s="5" t="s">
        <v>27</v>
      </c>
      <c r="E308" s="5" t="s">
        <v>20</v>
      </c>
      <c r="F308" s="5" t="s">
        <v>19</v>
      </c>
      <c r="G308" s="5" t="s">
        <v>40</v>
      </c>
      <c r="H308" s="6" t="n">
        <v>96000</v>
      </c>
    </row>
    <row r="309" customFormat="false" ht="15" hidden="false" customHeight="false" outlineLevel="0" collapsed="false">
      <c r="A309" s="11" t="n">
        <v>45806</v>
      </c>
      <c r="B309" s="11" t="n">
        <v>45820</v>
      </c>
      <c r="C309" s="11" t="n">
        <v>45813</v>
      </c>
      <c r="D309" s="5" t="s">
        <v>27</v>
      </c>
      <c r="E309" s="5" t="s">
        <v>19</v>
      </c>
      <c r="F309" s="5" t="s">
        <v>19</v>
      </c>
      <c r="G309" s="5" t="s">
        <v>3</v>
      </c>
      <c r="H309" s="6" t="n">
        <v>104000</v>
      </c>
    </row>
    <row r="310" customFormat="false" ht="15" hidden="false" customHeight="false" outlineLevel="0" collapsed="false">
      <c r="A310" s="11" t="n">
        <v>45832</v>
      </c>
      <c r="B310" s="11" t="n">
        <v>45848</v>
      </c>
      <c r="C310" s="11" t="n">
        <v>45841</v>
      </c>
      <c r="D310" s="5" t="s">
        <v>27</v>
      </c>
      <c r="E310" s="5" t="s">
        <v>20</v>
      </c>
      <c r="F310" s="5" t="s">
        <v>19</v>
      </c>
      <c r="G310" s="5" t="s">
        <v>3</v>
      </c>
      <c r="H310" s="6" t="n">
        <v>502920</v>
      </c>
    </row>
    <row r="311" customFormat="false" ht="15" hidden="false" customHeight="false" outlineLevel="0" collapsed="false">
      <c r="A311" s="11" t="n">
        <v>45832</v>
      </c>
      <c r="B311" s="11" t="n">
        <v>45848</v>
      </c>
      <c r="C311" s="11" t="n">
        <v>45841</v>
      </c>
      <c r="D311" s="5" t="s">
        <v>27</v>
      </c>
      <c r="E311" s="5" t="s">
        <v>21</v>
      </c>
      <c r="F311" s="5" t="s">
        <v>19</v>
      </c>
      <c r="G311" s="5" t="s">
        <v>3</v>
      </c>
      <c r="H311" s="6" t="n">
        <v>68580</v>
      </c>
    </row>
    <row r="312" customFormat="false" ht="15" hidden="false" customHeight="false" outlineLevel="0" collapsed="false">
      <c r="A312" s="11" t="n">
        <v>45835</v>
      </c>
      <c r="B312" s="11" t="n">
        <v>45855</v>
      </c>
      <c r="C312" s="11" t="n">
        <v>45848</v>
      </c>
      <c r="D312" s="5" t="s">
        <v>27</v>
      </c>
      <c r="E312" s="5" t="s">
        <v>20</v>
      </c>
      <c r="F312" s="5" t="s">
        <v>19</v>
      </c>
      <c r="G312" s="5" t="s">
        <v>40</v>
      </c>
      <c r="H312" s="6" t="n">
        <v>119746</v>
      </c>
    </row>
    <row r="313" customFormat="false" ht="15" hidden="false" customHeight="false" outlineLevel="0" collapsed="false">
      <c r="A313" s="11" t="n">
        <v>45845</v>
      </c>
      <c r="B313" s="11" t="n">
        <v>45862</v>
      </c>
      <c r="C313" s="11" t="n">
        <v>45855</v>
      </c>
      <c r="D313" s="5" t="s">
        <v>27</v>
      </c>
      <c r="E313" s="5" t="s">
        <v>19</v>
      </c>
      <c r="F313" s="5" t="s">
        <v>19</v>
      </c>
      <c r="G313" s="5" t="s">
        <v>3</v>
      </c>
      <c r="H313" s="6" t="n">
        <v>29000</v>
      </c>
    </row>
    <row r="314" customFormat="false" ht="15" hidden="false" customHeight="false" outlineLevel="0" collapsed="false">
      <c r="A314" s="11" t="n">
        <v>45845</v>
      </c>
      <c r="B314" s="11" t="n">
        <v>45862</v>
      </c>
      <c r="C314" s="11" t="n">
        <v>45855</v>
      </c>
      <c r="D314" s="5" t="s">
        <v>27</v>
      </c>
      <c r="E314" s="5" t="s">
        <v>20</v>
      </c>
      <c r="F314" s="5" t="s">
        <v>19</v>
      </c>
      <c r="G314" s="5" t="s">
        <v>3</v>
      </c>
      <c r="H314" s="6" t="n">
        <v>106000</v>
      </c>
    </row>
    <row r="315" customFormat="false" ht="15" hidden="false" customHeight="false" outlineLevel="0" collapsed="false">
      <c r="A315" s="11" t="n">
        <v>45846</v>
      </c>
      <c r="B315" s="11" t="n">
        <v>45862</v>
      </c>
      <c r="C315" s="11" t="n">
        <v>45855</v>
      </c>
      <c r="D315" s="5" t="s">
        <v>27</v>
      </c>
      <c r="E315" s="5" t="s">
        <v>20</v>
      </c>
      <c r="F315" s="5" t="s">
        <v>19</v>
      </c>
      <c r="G315" s="5" t="s">
        <v>3</v>
      </c>
      <c r="H315" s="6" t="n">
        <v>112776</v>
      </c>
    </row>
    <row r="316" customFormat="false" ht="15" hidden="false" customHeight="false" outlineLevel="0" collapsed="false">
      <c r="A316" s="11" t="n">
        <v>45849</v>
      </c>
      <c r="B316" s="11" t="n">
        <v>45869</v>
      </c>
      <c r="C316" s="11" t="n">
        <v>45862</v>
      </c>
      <c r="D316" s="5" t="s">
        <v>27</v>
      </c>
      <c r="E316" s="5" t="s">
        <v>20</v>
      </c>
      <c r="F316" s="5" t="s">
        <v>19</v>
      </c>
      <c r="G316" s="5" t="s">
        <v>40</v>
      </c>
      <c r="H316" s="6" t="n">
        <v>219900</v>
      </c>
    </row>
    <row r="317" customFormat="false" ht="15" hidden="false" customHeight="false" outlineLevel="0" collapsed="false">
      <c r="A317" s="11" t="n">
        <v>45863</v>
      </c>
      <c r="B317" s="11" t="n">
        <v>45883</v>
      </c>
      <c r="C317" s="11" t="n">
        <v>45876</v>
      </c>
      <c r="D317" s="5" t="s">
        <v>27</v>
      </c>
      <c r="E317" s="5" t="s">
        <v>20</v>
      </c>
      <c r="F317" s="5" t="s">
        <v>19</v>
      </c>
      <c r="G317" s="5" t="s">
        <v>3</v>
      </c>
      <c r="H317" s="6" t="n">
        <v>102870</v>
      </c>
    </row>
    <row r="318" customFormat="false" ht="15" hidden="false" customHeight="false" outlineLevel="0" collapsed="false">
      <c r="A318" s="11" t="n">
        <v>45863</v>
      </c>
      <c r="B318" s="11" t="n">
        <v>45883</v>
      </c>
      <c r="C318" s="11" t="n">
        <v>45876</v>
      </c>
      <c r="D318" s="5" t="s">
        <v>27</v>
      </c>
      <c r="E318" s="5" t="s">
        <v>20</v>
      </c>
      <c r="F318" s="5" t="s">
        <v>19</v>
      </c>
      <c r="G318" s="5" t="s">
        <v>40</v>
      </c>
      <c r="H318" s="6" t="n">
        <v>142500</v>
      </c>
    </row>
    <row r="319" customFormat="false" ht="15" hidden="false" customHeight="false" outlineLevel="0" collapsed="false">
      <c r="A319" s="11" t="n">
        <v>45866</v>
      </c>
      <c r="B319" s="11" t="n">
        <v>45883</v>
      </c>
      <c r="C319" s="11" t="n">
        <v>45876</v>
      </c>
      <c r="D319" s="5" t="s">
        <v>27</v>
      </c>
      <c r="E319" s="5" t="s">
        <v>20</v>
      </c>
      <c r="F319" s="5" t="s">
        <v>19</v>
      </c>
      <c r="G319" s="5" t="s">
        <v>3</v>
      </c>
      <c r="H319" s="6" t="n">
        <v>225000</v>
      </c>
    </row>
    <row r="320" customFormat="false" ht="15" hidden="false" customHeight="false" outlineLevel="0" collapsed="false">
      <c r="A320" s="11" t="n">
        <v>45876</v>
      </c>
      <c r="B320" s="11" t="n">
        <v>45890</v>
      </c>
      <c r="C320" s="11" t="n">
        <v>45883</v>
      </c>
      <c r="D320" s="5" t="s">
        <v>27</v>
      </c>
      <c r="E320" s="5" t="s">
        <v>20</v>
      </c>
      <c r="F320" s="5" t="s">
        <v>19</v>
      </c>
      <c r="G320" s="5" t="s">
        <v>3</v>
      </c>
      <c r="H320" s="6" t="n">
        <v>106680</v>
      </c>
    </row>
    <row r="321" customFormat="false" ht="15" hidden="false" customHeight="false" outlineLevel="0" collapsed="false">
      <c r="A321" s="11" t="n">
        <v>45881</v>
      </c>
      <c r="B321" s="11" t="n">
        <v>45897</v>
      </c>
      <c r="C321" s="11" t="n">
        <v>45890</v>
      </c>
      <c r="D321" s="5" t="s">
        <v>27</v>
      </c>
      <c r="E321" s="5" t="s">
        <v>19</v>
      </c>
      <c r="F321" s="5" t="s">
        <v>19</v>
      </c>
      <c r="G321" s="5" t="s">
        <v>3</v>
      </c>
      <c r="H321" s="6" t="n">
        <v>20830</v>
      </c>
    </row>
    <row r="322" customFormat="false" ht="15" hidden="false" customHeight="false" outlineLevel="0" collapsed="false">
      <c r="A322" s="11" t="n">
        <v>45881</v>
      </c>
      <c r="B322" s="11" t="n">
        <v>45897</v>
      </c>
      <c r="C322" s="11" t="n">
        <v>45890</v>
      </c>
      <c r="D322" s="5" t="s">
        <v>27</v>
      </c>
      <c r="E322" s="5" t="s">
        <v>20</v>
      </c>
      <c r="F322" s="5" t="s">
        <v>19</v>
      </c>
      <c r="G322" s="5" t="s">
        <v>3</v>
      </c>
      <c r="H322" s="6" t="n">
        <v>294658</v>
      </c>
    </row>
    <row r="323" customFormat="false" ht="15" hidden="false" customHeight="false" outlineLevel="0" collapsed="false">
      <c r="A323" s="11" t="n">
        <v>45888</v>
      </c>
      <c r="B323" s="11" t="n">
        <v>45904</v>
      </c>
      <c r="C323" s="11" t="n">
        <v>45897</v>
      </c>
      <c r="D323" s="5" t="s">
        <v>27</v>
      </c>
      <c r="E323" s="5" t="s">
        <v>20</v>
      </c>
      <c r="F323" s="5" t="s">
        <v>19</v>
      </c>
      <c r="G323" s="5" t="s">
        <v>40</v>
      </c>
      <c r="H323" s="6" t="n">
        <v>228606</v>
      </c>
    </row>
    <row r="324" customFormat="false" ht="15" hidden="false" customHeight="false" outlineLevel="0" collapsed="false">
      <c r="A324" s="11" t="n">
        <v>45889</v>
      </c>
      <c r="B324" s="11" t="n">
        <v>45904</v>
      </c>
      <c r="C324" s="11" t="n">
        <v>45897</v>
      </c>
      <c r="D324" s="5" t="s">
        <v>27</v>
      </c>
      <c r="E324" s="5" t="s">
        <v>20</v>
      </c>
      <c r="F324" s="5" t="s">
        <v>19</v>
      </c>
      <c r="G324" s="5" t="s">
        <v>3</v>
      </c>
      <c r="H324" s="6" t="n">
        <v>125741</v>
      </c>
    </row>
    <row r="325" customFormat="false" ht="15" hidden="false" customHeight="false" outlineLevel="0" collapsed="false">
      <c r="A325" s="11" t="n">
        <v>45918</v>
      </c>
      <c r="B325" s="11" t="n">
        <v>45932</v>
      </c>
      <c r="C325" s="11" t="n">
        <v>45925</v>
      </c>
      <c r="D325" s="5" t="s">
        <v>27</v>
      </c>
      <c r="E325" s="5" t="s">
        <v>20</v>
      </c>
      <c r="F325" s="5" t="s">
        <v>20</v>
      </c>
      <c r="G325" s="5" t="s">
        <v>3</v>
      </c>
      <c r="H325" s="6" t="n">
        <v>110000</v>
      </c>
    </row>
    <row r="326" customFormat="false" ht="15" hidden="false" customHeight="false" outlineLevel="0" collapsed="false">
      <c r="A326" s="11" t="n">
        <v>45922</v>
      </c>
      <c r="B326" s="11" t="n">
        <v>45939</v>
      </c>
      <c r="C326" s="11" t="n">
        <v>45932</v>
      </c>
      <c r="D326" s="5" t="s">
        <v>27</v>
      </c>
      <c r="E326" s="5" t="s">
        <v>20</v>
      </c>
      <c r="F326" s="5" t="s">
        <v>20</v>
      </c>
      <c r="G326" s="5" t="s">
        <v>3</v>
      </c>
      <c r="H326" s="6" t="n">
        <v>312956</v>
      </c>
    </row>
    <row r="327" customFormat="false" ht="15" hidden="false" customHeight="false" outlineLevel="0" collapsed="false">
      <c r="A327" s="11" t="n">
        <v>45923</v>
      </c>
      <c r="B327" s="11" t="n">
        <v>45939</v>
      </c>
      <c r="C327" s="11" t="n">
        <v>45932</v>
      </c>
      <c r="D327" s="5" t="s">
        <v>27</v>
      </c>
      <c r="E327" s="5" t="s">
        <v>20</v>
      </c>
      <c r="F327" s="5" t="s">
        <v>20</v>
      </c>
      <c r="G327" s="5" t="s">
        <v>3</v>
      </c>
      <c r="H327" s="6" t="n">
        <v>100593</v>
      </c>
    </row>
    <row r="328" customFormat="false" ht="15" hidden="false" customHeight="false" outlineLevel="0" collapsed="false">
      <c r="A328" s="11" t="n">
        <v>45923</v>
      </c>
      <c r="B328" s="11" t="n">
        <v>45939</v>
      </c>
      <c r="C328" s="11" t="n">
        <v>45932</v>
      </c>
      <c r="D328" s="5" t="s">
        <v>27</v>
      </c>
      <c r="E328" s="5" t="s">
        <v>21</v>
      </c>
      <c r="F328" s="5" t="s">
        <v>20</v>
      </c>
      <c r="G328" s="5" t="s">
        <v>3</v>
      </c>
      <c r="H328" s="6" t="n">
        <v>22354</v>
      </c>
    </row>
    <row r="329" customFormat="false" ht="15" hidden="false" customHeight="false" outlineLevel="0" collapsed="false">
      <c r="A329" s="11" t="n">
        <v>45929</v>
      </c>
      <c r="B329" s="11" t="n">
        <v>45946</v>
      </c>
      <c r="C329" s="11" t="n">
        <v>45939</v>
      </c>
      <c r="D329" s="5" t="s">
        <v>27</v>
      </c>
      <c r="E329" s="5" t="s">
        <v>20</v>
      </c>
      <c r="F329" s="5" t="s">
        <v>20</v>
      </c>
      <c r="G329" s="5" t="s">
        <v>3</v>
      </c>
      <c r="H329" s="6" t="n">
        <v>135660</v>
      </c>
    </row>
    <row r="330" customFormat="false" ht="15" hidden="false" customHeight="false" outlineLevel="0" collapsed="false">
      <c r="A330" s="11" t="n">
        <v>45938</v>
      </c>
      <c r="B330" s="11" t="n">
        <v>45953</v>
      </c>
      <c r="C330" s="11" t="n">
        <v>45946</v>
      </c>
      <c r="D330" s="5" t="s">
        <v>27</v>
      </c>
      <c r="E330" s="5" t="s">
        <v>20</v>
      </c>
      <c r="F330" s="5" t="s">
        <v>20</v>
      </c>
      <c r="G330" s="5" t="s">
        <v>3</v>
      </c>
      <c r="H330" s="6" t="n">
        <v>138691</v>
      </c>
    </row>
    <row r="331" customFormat="false" ht="15" hidden="false" customHeight="false" outlineLevel="0" collapsed="false">
      <c r="A331" s="11" t="n">
        <v>45939</v>
      </c>
      <c r="B331" s="11" t="n">
        <v>45953</v>
      </c>
      <c r="C331" s="11" t="n">
        <v>45946</v>
      </c>
      <c r="D331" s="5" t="s">
        <v>27</v>
      </c>
      <c r="E331" s="5" t="s">
        <v>20</v>
      </c>
      <c r="F331" s="5" t="s">
        <v>20</v>
      </c>
      <c r="G331" s="5" t="s">
        <v>40</v>
      </c>
      <c r="H331" s="6" t="n">
        <v>160000</v>
      </c>
    </row>
    <row r="332" customFormat="false" ht="15" hidden="false" customHeight="false" outlineLevel="0" collapsed="false">
      <c r="A332" s="11" t="n">
        <v>45940</v>
      </c>
      <c r="B332" s="11" t="n">
        <v>45960</v>
      </c>
      <c r="C332" s="11" t="n">
        <v>45953</v>
      </c>
      <c r="D332" s="5" t="s">
        <v>27</v>
      </c>
      <c r="E332" s="5" t="s">
        <v>20</v>
      </c>
      <c r="F332" s="5" t="s">
        <v>20</v>
      </c>
      <c r="G332" s="5" t="s">
        <v>3</v>
      </c>
      <c r="H332" s="6" t="n">
        <v>308610</v>
      </c>
    </row>
    <row r="333" customFormat="false" ht="15" hidden="false" customHeight="false" outlineLevel="0" collapsed="false">
      <c r="A333" s="11" t="n">
        <v>45943</v>
      </c>
      <c r="B333" s="11" t="n">
        <v>45960</v>
      </c>
      <c r="C333" s="11" t="n">
        <v>45953</v>
      </c>
      <c r="D333" s="5" t="s">
        <v>27</v>
      </c>
      <c r="E333" s="5" t="s">
        <v>20</v>
      </c>
      <c r="F333" s="5" t="s">
        <v>20</v>
      </c>
      <c r="G333" s="5" t="s">
        <v>3</v>
      </c>
      <c r="H333" s="6" t="n">
        <v>1454480</v>
      </c>
    </row>
    <row r="334" customFormat="false" ht="15" hidden="false" customHeight="false" outlineLevel="0" collapsed="false">
      <c r="A334" s="11" t="n">
        <v>45943</v>
      </c>
      <c r="B334" s="11" t="n">
        <v>45960</v>
      </c>
      <c r="C334" s="11" t="n">
        <v>45953</v>
      </c>
      <c r="D334" s="5" t="s">
        <v>27</v>
      </c>
      <c r="E334" s="5" t="s">
        <v>21</v>
      </c>
      <c r="F334" s="5" t="s">
        <v>20</v>
      </c>
      <c r="G334" s="5" t="s">
        <v>3</v>
      </c>
      <c r="H334" s="6" t="n">
        <v>548640</v>
      </c>
    </row>
    <row r="335" customFormat="false" ht="15" hidden="false" customHeight="false" outlineLevel="0" collapsed="false">
      <c r="A335" s="11" t="n">
        <v>45943</v>
      </c>
      <c r="B335" s="11" t="n">
        <v>45960</v>
      </c>
      <c r="C335" s="11" t="n">
        <v>45953</v>
      </c>
      <c r="D335" s="5" t="s">
        <v>27</v>
      </c>
      <c r="E335" s="5" t="s">
        <v>20</v>
      </c>
      <c r="F335" s="5" t="s">
        <v>20</v>
      </c>
      <c r="G335" s="5" t="s">
        <v>40</v>
      </c>
      <c r="H335" s="6" t="n">
        <v>110000</v>
      </c>
    </row>
    <row r="336" customFormat="false" ht="15" hidden="false" customHeight="false" outlineLevel="0" collapsed="false">
      <c r="A336" s="11" t="n">
        <v>45953</v>
      </c>
      <c r="B336" s="11" t="n">
        <v>45967</v>
      </c>
      <c r="C336" s="11" t="n">
        <v>45960</v>
      </c>
      <c r="D336" s="5" t="s">
        <v>27</v>
      </c>
      <c r="E336" s="5" t="s">
        <v>20</v>
      </c>
      <c r="F336" s="5" t="s">
        <v>20</v>
      </c>
      <c r="G336" s="5" t="s">
        <v>3</v>
      </c>
      <c r="H336" s="6" t="n">
        <v>397000</v>
      </c>
    </row>
    <row r="337" customFormat="false" ht="15" hidden="false" customHeight="false" outlineLevel="0" collapsed="false">
      <c r="A337" s="11" t="n">
        <v>45958</v>
      </c>
      <c r="B337" s="11" t="n">
        <v>45974</v>
      </c>
      <c r="C337" s="11" t="n">
        <v>45967</v>
      </c>
      <c r="D337" s="5" t="s">
        <v>27</v>
      </c>
      <c r="E337" s="5" t="s">
        <v>20</v>
      </c>
      <c r="F337" s="5" t="s">
        <v>20</v>
      </c>
      <c r="G337" s="5" t="s">
        <v>3</v>
      </c>
      <c r="H337" s="6" t="n">
        <v>262913</v>
      </c>
    </row>
    <row r="338" customFormat="false" ht="15" hidden="false" customHeight="false" outlineLevel="0" collapsed="false">
      <c r="A338" s="11" t="n">
        <v>45973</v>
      </c>
      <c r="B338" s="11" t="n">
        <v>45988</v>
      </c>
      <c r="C338" s="11" t="n">
        <v>45981</v>
      </c>
      <c r="D338" s="5" t="s">
        <v>27</v>
      </c>
      <c r="E338" s="5" t="s">
        <v>20</v>
      </c>
      <c r="F338" s="5" t="s">
        <v>20</v>
      </c>
      <c r="G338" s="5" t="s">
        <v>3</v>
      </c>
      <c r="H338" s="6" t="n">
        <v>355000</v>
      </c>
    </row>
    <row r="339" customFormat="false" ht="15" hidden="false" customHeight="false" outlineLevel="0" collapsed="false">
      <c r="A339" s="11" t="n">
        <v>45995</v>
      </c>
      <c r="B339" s="11" t="n">
        <v>46009</v>
      </c>
      <c r="C339" s="11" t="n">
        <v>46002</v>
      </c>
      <c r="D339" s="5" t="s">
        <v>27</v>
      </c>
      <c r="E339" s="5" t="s">
        <v>20</v>
      </c>
      <c r="F339" s="5" t="s">
        <v>20</v>
      </c>
      <c r="G339" s="5" t="s">
        <v>3</v>
      </c>
      <c r="H339" s="6" t="n">
        <v>392500</v>
      </c>
    </row>
    <row r="340" customFormat="false" ht="15" hidden="false" customHeight="false" outlineLevel="0" collapsed="false">
      <c r="A340" s="11" t="n">
        <v>46008</v>
      </c>
      <c r="B340" s="11" t="n">
        <v>46023</v>
      </c>
      <c r="C340" s="11" t="n">
        <v>46016</v>
      </c>
      <c r="D340" s="5" t="s">
        <v>27</v>
      </c>
      <c r="E340" s="5" t="s">
        <v>20</v>
      </c>
      <c r="F340" s="5" t="s">
        <v>20</v>
      </c>
      <c r="G340" s="5" t="s">
        <v>3</v>
      </c>
      <c r="H340" s="6" t="n">
        <v>177055</v>
      </c>
    </row>
    <row r="341" customFormat="false" ht="15" hidden="false" customHeight="false" outlineLevel="0" collapsed="false">
      <c r="A341" s="11" t="n">
        <v>46035</v>
      </c>
      <c r="B341" s="11" t="n">
        <v>46051</v>
      </c>
      <c r="C341" s="11" t="n">
        <v>46044</v>
      </c>
      <c r="D341" s="5" t="s">
        <v>27</v>
      </c>
      <c r="E341" s="5" t="s">
        <v>20</v>
      </c>
      <c r="F341" s="5" t="s">
        <v>20</v>
      </c>
      <c r="G341" s="5" t="s">
        <v>40</v>
      </c>
      <c r="H341" s="6" t="n">
        <v>152404</v>
      </c>
    </row>
    <row r="342" customFormat="false" ht="15" hidden="false" customHeight="false" outlineLevel="0" collapsed="false">
      <c r="A342" s="11" t="n">
        <v>46104</v>
      </c>
      <c r="B342" s="11" t="n">
        <v>46121</v>
      </c>
      <c r="C342" s="11" t="n">
        <v>46114</v>
      </c>
      <c r="D342" s="5" t="s">
        <v>27</v>
      </c>
      <c r="E342" s="5" t="s">
        <v>20</v>
      </c>
      <c r="F342" s="5" t="s">
        <v>20</v>
      </c>
      <c r="G342" s="5" t="s">
        <v>3</v>
      </c>
      <c r="H342" s="6" t="n">
        <v>102000</v>
      </c>
    </row>
    <row r="343" customFormat="false" ht="15" hidden="false" customHeight="false" outlineLevel="0" collapsed="false">
      <c r="A343" s="11" t="n">
        <v>46104</v>
      </c>
      <c r="B343" s="11" t="n">
        <v>46121</v>
      </c>
      <c r="C343" s="11" t="n">
        <v>46114</v>
      </c>
      <c r="D343" s="5" t="s">
        <v>27</v>
      </c>
      <c r="E343" s="5" t="s">
        <v>20</v>
      </c>
      <c r="F343" s="5" t="s">
        <v>20</v>
      </c>
      <c r="G343" s="5" t="s">
        <v>40</v>
      </c>
      <c r="H343" s="6" t="n">
        <v>161120</v>
      </c>
    </row>
    <row r="344" customFormat="false" ht="15" hidden="false" customHeight="false" outlineLevel="0" collapsed="false">
      <c r="A344" s="11" t="n">
        <v>46126</v>
      </c>
      <c r="B344" s="11" t="n">
        <v>46142</v>
      </c>
      <c r="C344" s="11" t="n">
        <v>46135</v>
      </c>
      <c r="D344" s="5" t="s">
        <v>27</v>
      </c>
      <c r="E344" s="5" t="s">
        <v>20</v>
      </c>
      <c r="F344" s="5" t="s">
        <v>20</v>
      </c>
      <c r="G344" s="5" t="s">
        <v>3</v>
      </c>
      <c r="H344" s="6" t="n">
        <v>65000</v>
      </c>
    </row>
    <row r="345" customFormat="false" ht="15" hidden="false" customHeight="false" outlineLevel="0" collapsed="false">
      <c r="A345" s="11" t="n">
        <v>46126</v>
      </c>
      <c r="B345" s="11" t="n">
        <v>46142</v>
      </c>
      <c r="C345" s="11" t="n">
        <v>46135</v>
      </c>
      <c r="D345" s="5" t="s">
        <v>27</v>
      </c>
      <c r="E345" s="5" t="s">
        <v>21</v>
      </c>
      <c r="F345" s="5" t="s">
        <v>20</v>
      </c>
      <c r="G345" s="5" t="s">
        <v>3</v>
      </c>
      <c r="H345" s="6" t="n">
        <v>139600</v>
      </c>
    </row>
    <row r="346" customFormat="false" ht="15" hidden="false" customHeight="false" outlineLevel="0" collapsed="false">
      <c r="A346" s="11" t="n">
        <v>46126</v>
      </c>
      <c r="B346" s="11" t="n">
        <v>46142</v>
      </c>
      <c r="C346" s="11" t="n">
        <v>46135</v>
      </c>
      <c r="D346" s="5" t="s">
        <v>27</v>
      </c>
      <c r="E346" s="5" t="s">
        <v>22</v>
      </c>
      <c r="F346" s="5" t="s">
        <v>20</v>
      </c>
      <c r="G346" s="5" t="s">
        <v>3</v>
      </c>
      <c r="H346" s="6" t="n">
        <v>112000</v>
      </c>
    </row>
    <row r="347" customFormat="false" ht="15" hidden="false" customHeight="false" outlineLevel="0" collapsed="false">
      <c r="A347" s="11" t="n">
        <v>46153</v>
      </c>
      <c r="B347" s="11" t="n">
        <v>46170</v>
      </c>
      <c r="C347" s="11" t="n">
        <v>46163</v>
      </c>
      <c r="D347" s="5" t="s">
        <v>27</v>
      </c>
      <c r="E347" s="5" t="s">
        <v>20</v>
      </c>
      <c r="F347" s="5" t="s">
        <v>20</v>
      </c>
      <c r="G347" s="5" t="s">
        <v>3</v>
      </c>
      <c r="H347" s="6" t="n">
        <v>220000</v>
      </c>
    </row>
    <row r="348" customFormat="false" ht="15" hidden="false" customHeight="false" outlineLevel="0" collapsed="false">
      <c r="A348" s="11" t="n">
        <v>46153</v>
      </c>
      <c r="B348" s="11" t="n">
        <v>46170</v>
      </c>
      <c r="C348" s="11" t="n">
        <v>46163</v>
      </c>
      <c r="D348" s="5" t="s">
        <v>27</v>
      </c>
      <c r="E348" s="5" t="s">
        <v>21</v>
      </c>
      <c r="F348" s="5" t="s">
        <v>20</v>
      </c>
      <c r="G348" s="5" t="s">
        <v>3</v>
      </c>
      <c r="H348" s="6" t="n">
        <v>160000</v>
      </c>
    </row>
    <row r="349" customFormat="false" ht="15" hidden="false" customHeight="false" outlineLevel="0" collapsed="false">
      <c r="A349" s="11" t="n">
        <v>46164</v>
      </c>
      <c r="B349" s="11" t="n">
        <v>46184</v>
      </c>
      <c r="C349" s="11" t="n">
        <v>46177</v>
      </c>
      <c r="D349" s="5" t="s">
        <v>27</v>
      </c>
      <c r="E349" s="5" t="s">
        <v>20</v>
      </c>
      <c r="F349" s="5" t="s">
        <v>20</v>
      </c>
      <c r="G349" s="5" t="s">
        <v>3</v>
      </c>
      <c r="H349" s="6" t="n">
        <v>268700</v>
      </c>
    </row>
    <row r="350" customFormat="false" ht="15" hidden="false" customHeight="false" outlineLevel="0" collapsed="false">
      <c r="A350" s="11" t="n">
        <v>46164</v>
      </c>
      <c r="B350" s="11" t="n">
        <v>46184</v>
      </c>
      <c r="C350" s="11" t="n">
        <v>46177</v>
      </c>
      <c r="D350" s="5" t="s">
        <v>27</v>
      </c>
      <c r="E350" s="5" t="s">
        <v>21</v>
      </c>
      <c r="F350" s="5" t="s">
        <v>20</v>
      </c>
      <c r="G350" s="5" t="s">
        <v>3</v>
      </c>
      <c r="H350" s="6" t="n">
        <v>225000</v>
      </c>
    </row>
    <row r="351" customFormat="false" ht="15" hidden="false" customHeight="false" outlineLevel="0" collapsed="false">
      <c r="A351" s="11" t="n">
        <v>46191</v>
      </c>
      <c r="B351" s="11" t="n">
        <v>46205</v>
      </c>
      <c r="C351" s="11" t="n">
        <v>46198</v>
      </c>
      <c r="D351" s="5" t="s">
        <v>27</v>
      </c>
      <c r="E351" s="5" t="s">
        <v>21</v>
      </c>
      <c r="F351" s="5" t="s">
        <v>20</v>
      </c>
      <c r="G351" s="5" t="s">
        <v>3</v>
      </c>
      <c r="H351" s="6" t="n">
        <v>285775</v>
      </c>
    </row>
    <row r="352" customFormat="false" ht="15" hidden="false" customHeight="false" outlineLevel="0" collapsed="false">
      <c r="A352" s="11" t="n">
        <v>46196</v>
      </c>
      <c r="B352" s="11" t="n">
        <v>46212</v>
      </c>
      <c r="C352" s="11" t="n">
        <v>46205</v>
      </c>
      <c r="D352" s="5" t="s">
        <v>27</v>
      </c>
      <c r="E352" s="5" t="s">
        <v>20</v>
      </c>
      <c r="F352" s="5" t="s">
        <v>20</v>
      </c>
      <c r="G352" s="5" t="s">
        <v>3</v>
      </c>
      <c r="H352" s="6" t="n">
        <v>30000</v>
      </c>
    </row>
    <row r="353" customFormat="false" ht="15" hidden="false" customHeight="false" outlineLevel="0" collapsed="false">
      <c r="A353" s="11" t="n">
        <v>46196</v>
      </c>
      <c r="B353" s="11" t="n">
        <v>46212</v>
      </c>
      <c r="C353" s="11" t="n">
        <v>46205</v>
      </c>
      <c r="D353" s="5" t="s">
        <v>27</v>
      </c>
      <c r="E353" s="5" t="s">
        <v>21</v>
      </c>
      <c r="F353" s="5" t="s">
        <v>20</v>
      </c>
      <c r="G353" s="5" t="s">
        <v>3</v>
      </c>
      <c r="H353" s="6" t="n">
        <v>70000</v>
      </c>
    </row>
    <row r="354" customFormat="false" ht="15" hidden="false" customHeight="false" outlineLevel="0" collapsed="false">
      <c r="A354" s="11" t="n">
        <v>46220</v>
      </c>
      <c r="B354" s="11" t="n">
        <v>46240</v>
      </c>
      <c r="C354" s="11" t="n">
        <v>46233</v>
      </c>
      <c r="D354" s="5" t="s">
        <v>27</v>
      </c>
      <c r="E354" s="5" t="s">
        <v>21</v>
      </c>
      <c r="F354" s="5" t="s">
        <v>20</v>
      </c>
      <c r="G354" s="5" t="s">
        <v>40</v>
      </c>
      <c r="H354" s="6" t="n">
        <v>256634</v>
      </c>
    </row>
    <row r="355" customFormat="false" ht="15" hidden="false" customHeight="false" outlineLevel="0" collapsed="false">
      <c r="A355" s="11" t="n">
        <v>46239</v>
      </c>
      <c r="B355" s="11" t="n">
        <v>46254</v>
      </c>
      <c r="C355" s="11" t="n">
        <v>46247</v>
      </c>
      <c r="D355" s="5" t="s">
        <v>27</v>
      </c>
      <c r="E355" s="5" t="s">
        <v>21</v>
      </c>
      <c r="F355" s="5" t="s">
        <v>20</v>
      </c>
      <c r="G355" s="5" t="s">
        <v>3</v>
      </c>
      <c r="H355" s="6" t="n">
        <v>30000</v>
      </c>
    </row>
    <row r="356" customFormat="false" ht="15" hidden="false" customHeight="false" outlineLevel="0" collapsed="false">
      <c r="A356" s="11" t="n">
        <v>46239</v>
      </c>
      <c r="B356" s="11" t="n">
        <v>46254</v>
      </c>
      <c r="C356" s="11" t="n">
        <v>46247</v>
      </c>
      <c r="D356" s="5" t="s">
        <v>27</v>
      </c>
      <c r="E356" s="5" t="s">
        <v>22</v>
      </c>
      <c r="F356" s="5" t="s">
        <v>20</v>
      </c>
      <c r="G356" s="5" t="s">
        <v>3</v>
      </c>
      <c r="H356" s="6" t="n">
        <v>90000</v>
      </c>
    </row>
    <row r="357" customFormat="false" ht="15" hidden="false" customHeight="false" outlineLevel="0" collapsed="false">
      <c r="A357" s="11" t="n">
        <v>46241</v>
      </c>
      <c r="B357" s="11" t="n">
        <v>46261</v>
      </c>
      <c r="C357" s="11" t="n">
        <v>46254</v>
      </c>
      <c r="D357" s="5" t="s">
        <v>27</v>
      </c>
      <c r="E357" s="5" t="s">
        <v>21</v>
      </c>
      <c r="F357" s="5" t="s">
        <v>20</v>
      </c>
      <c r="G357" s="5" t="s">
        <v>3</v>
      </c>
      <c r="H357" s="6" t="n">
        <v>29808</v>
      </c>
    </row>
    <row r="358" customFormat="false" ht="15" hidden="false" customHeight="false" outlineLevel="0" collapsed="false">
      <c r="A358" s="11" t="n">
        <v>46241</v>
      </c>
      <c r="B358" s="11" t="n">
        <v>46261</v>
      </c>
      <c r="C358" s="11" t="n">
        <v>46254</v>
      </c>
      <c r="D358" s="5" t="s">
        <v>27</v>
      </c>
      <c r="E358" s="5" t="s">
        <v>22</v>
      </c>
      <c r="F358" s="5" t="s">
        <v>20</v>
      </c>
      <c r="G358" s="5" t="s">
        <v>3</v>
      </c>
      <c r="H358" s="6" t="n">
        <v>256289</v>
      </c>
    </row>
    <row r="359" customFormat="false" ht="15" hidden="false" customHeight="false" outlineLevel="0" collapsed="false">
      <c r="A359" s="11" t="n">
        <v>46274</v>
      </c>
      <c r="B359" s="11" t="n">
        <v>46289</v>
      </c>
      <c r="C359" s="11" t="n">
        <v>46282</v>
      </c>
      <c r="D359" s="5" t="s">
        <v>27</v>
      </c>
      <c r="E359" s="5" t="s">
        <v>21</v>
      </c>
      <c r="F359" s="5" t="s">
        <v>21</v>
      </c>
      <c r="G359" s="5" t="s">
        <v>3</v>
      </c>
      <c r="H359" s="6" t="n">
        <v>182880</v>
      </c>
    </row>
    <row r="360" customFormat="false" ht="15" hidden="false" customHeight="false" outlineLevel="0" collapsed="false">
      <c r="A360" s="11" t="n">
        <v>46276</v>
      </c>
      <c r="B360" s="11" t="n">
        <v>46296</v>
      </c>
      <c r="C360" s="11" t="n">
        <v>46289</v>
      </c>
      <c r="D360" s="5" t="s">
        <v>27</v>
      </c>
      <c r="E360" s="5" t="s">
        <v>21</v>
      </c>
      <c r="F360" s="5" t="s">
        <v>21</v>
      </c>
      <c r="G360" s="5" t="s">
        <v>3</v>
      </c>
      <c r="H360" s="6" t="n">
        <v>264000</v>
      </c>
    </row>
    <row r="361" customFormat="false" ht="15" hidden="false" customHeight="false" outlineLevel="0" collapsed="false">
      <c r="A361" s="11" t="n">
        <v>46288</v>
      </c>
      <c r="B361" s="11" t="n">
        <v>46303</v>
      </c>
      <c r="C361" s="11" t="n">
        <v>46296</v>
      </c>
      <c r="D361" s="5" t="s">
        <v>27</v>
      </c>
      <c r="E361" s="5" t="s">
        <v>21</v>
      </c>
      <c r="F361" s="5" t="s">
        <v>21</v>
      </c>
      <c r="G361" s="5" t="s">
        <v>3</v>
      </c>
      <c r="H361" s="6" t="n">
        <v>100000</v>
      </c>
    </row>
    <row r="362" customFormat="false" ht="15" hidden="false" customHeight="false" outlineLevel="0" collapsed="false">
      <c r="A362" s="11" t="n">
        <v>46297</v>
      </c>
      <c r="B362" s="11" t="n">
        <v>46317</v>
      </c>
      <c r="C362" s="11" t="n">
        <v>46310</v>
      </c>
      <c r="D362" s="5" t="s">
        <v>27</v>
      </c>
      <c r="E362" s="5" t="s">
        <v>21</v>
      </c>
      <c r="F362" s="5" t="s">
        <v>21</v>
      </c>
      <c r="G362" s="5" t="s">
        <v>3</v>
      </c>
      <c r="H362" s="6" t="n">
        <v>173800</v>
      </c>
    </row>
    <row r="363" customFormat="false" ht="15" hidden="false" customHeight="false" outlineLevel="0" collapsed="false">
      <c r="A363" s="11" t="n">
        <v>46297</v>
      </c>
      <c r="B363" s="11" t="n">
        <v>46317</v>
      </c>
      <c r="C363" s="11" t="n">
        <v>46310</v>
      </c>
      <c r="D363" s="5" t="s">
        <v>27</v>
      </c>
      <c r="E363" s="5" t="s">
        <v>22</v>
      </c>
      <c r="F363" s="5" t="s">
        <v>21</v>
      </c>
      <c r="G363" s="5" t="s">
        <v>3</v>
      </c>
      <c r="H363" s="6" t="n">
        <v>22400</v>
      </c>
    </row>
    <row r="364" customFormat="false" ht="15" hidden="false" customHeight="false" outlineLevel="0" collapsed="false">
      <c r="A364" s="11" t="n">
        <v>46297</v>
      </c>
      <c r="B364" s="11" t="n">
        <v>46317</v>
      </c>
      <c r="C364" s="11" t="n">
        <v>46310</v>
      </c>
      <c r="D364" s="5" t="s">
        <v>27</v>
      </c>
      <c r="E364" s="5" t="s">
        <v>23</v>
      </c>
      <c r="F364" s="5" t="s">
        <v>21</v>
      </c>
      <c r="G364" s="5" t="s">
        <v>3</v>
      </c>
      <c r="H364" s="6" t="n">
        <v>22400</v>
      </c>
    </row>
    <row r="365" customFormat="false" ht="15" hidden="false" customHeight="false" outlineLevel="0" collapsed="false">
      <c r="A365" s="11" t="n">
        <v>46300</v>
      </c>
      <c r="B365" s="11" t="n">
        <v>46317</v>
      </c>
      <c r="C365" s="11" t="n">
        <v>46310</v>
      </c>
      <c r="D365" s="5" t="s">
        <v>27</v>
      </c>
      <c r="E365" s="5" t="s">
        <v>21</v>
      </c>
      <c r="F365" s="5" t="s">
        <v>21</v>
      </c>
      <c r="G365" s="5" t="s">
        <v>3</v>
      </c>
      <c r="H365" s="6" t="n">
        <v>129540</v>
      </c>
    </row>
  </sheetData>
  <autoFilter ref="A4:H3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9"/>
  </cols>
  <sheetData>
    <row r="1" customFormat="false" ht="16.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J3" s="10" t="s">
        <v>2</v>
      </c>
    </row>
    <row r="4" customFormat="false" ht="30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</v>
      </c>
      <c r="E4" s="4" t="s">
        <v>48</v>
      </c>
      <c r="F4" s="4" t="s">
        <v>49</v>
      </c>
      <c r="G4" s="4" t="s">
        <v>50</v>
      </c>
      <c r="H4" s="4" t="s">
        <v>51</v>
      </c>
      <c r="J4" s="4" t="s">
        <v>52</v>
      </c>
      <c r="K4" s="4" t="s">
        <v>3</v>
      </c>
      <c r="L4" s="4" t="s">
        <v>40</v>
      </c>
      <c r="M4" s="4" t="s">
        <v>24</v>
      </c>
      <c r="N4" s="4" t="s">
        <v>53</v>
      </c>
    </row>
    <row r="5" customFormat="false" ht="15" hidden="false" customHeight="false" outlineLevel="0" collapsed="false">
      <c r="A5" s="11" t="n">
        <v>41578</v>
      </c>
      <c r="B5" s="11" t="n">
        <v>41592</v>
      </c>
      <c r="C5" s="11" t="n">
        <v>41585</v>
      </c>
      <c r="D5" s="5" t="s">
        <v>28</v>
      </c>
      <c r="E5" s="5" t="s">
        <v>8</v>
      </c>
      <c r="F5" s="5" t="s">
        <v>8</v>
      </c>
      <c r="G5" s="5" t="s">
        <v>3</v>
      </c>
      <c r="H5" s="6" t="n">
        <v>123040</v>
      </c>
      <c r="J5" s="5" t="s">
        <v>8</v>
      </c>
      <c r="K5" s="6" t="n">
        <f aca="false">SUMIFS($H$5:$H$63,$E$5:$E$63,J5,$G$5:$G$63,"Corn")</f>
        <v>223040</v>
      </c>
      <c r="L5" s="6" t="n">
        <f aca="false">SUMIFS($H$5:$H$63,$E$5:$E$63,J5,$G$5:$G$63,"Soybean")</f>
        <v>0</v>
      </c>
      <c r="M5" s="6" t="n">
        <f aca="false">K5+L5</f>
        <v>223040</v>
      </c>
      <c r="N5" s="6" t="n">
        <f aca="false">COUNTIFS($E$5:$E$63,J5)</f>
        <v>2</v>
      </c>
    </row>
    <row r="6" customFormat="false" ht="15" hidden="false" customHeight="false" outlineLevel="0" collapsed="false">
      <c r="A6" s="11" t="n">
        <v>41625</v>
      </c>
      <c r="B6" s="11" t="n">
        <v>41641</v>
      </c>
      <c r="C6" s="11" t="n">
        <v>41634</v>
      </c>
      <c r="D6" s="5" t="s">
        <v>28</v>
      </c>
      <c r="E6" s="5" t="s">
        <v>9</v>
      </c>
      <c r="F6" s="5" t="s">
        <v>8</v>
      </c>
      <c r="G6" s="5" t="s">
        <v>3</v>
      </c>
      <c r="H6" s="6" t="n">
        <v>278384</v>
      </c>
      <c r="J6" s="5" t="s">
        <v>9</v>
      </c>
      <c r="K6" s="6" t="n">
        <f aca="false">SUMIFS($H$5:$H$63,$E$5:$E$63,J6,$G$5:$G$63,"Corn")</f>
        <v>458384</v>
      </c>
      <c r="L6" s="6" t="n">
        <f aca="false">SUMIFS($H$5:$H$63,$E$5:$E$63,J6,$G$5:$G$63,"Soybean")</f>
        <v>0</v>
      </c>
      <c r="M6" s="6" t="n">
        <f aca="false">K6+L6</f>
        <v>458384</v>
      </c>
      <c r="N6" s="6" t="n">
        <f aca="false">COUNTIFS($E$5:$E$63,J6)</f>
        <v>2</v>
      </c>
    </row>
    <row r="7" customFormat="false" ht="15" hidden="false" customHeight="false" outlineLevel="0" collapsed="false">
      <c r="A7" s="11" t="n">
        <v>41628</v>
      </c>
      <c r="B7" s="11" t="n">
        <v>41648</v>
      </c>
      <c r="C7" s="11" t="n">
        <v>41641</v>
      </c>
      <c r="D7" s="5" t="s">
        <v>28</v>
      </c>
      <c r="E7" s="5" t="s">
        <v>9</v>
      </c>
      <c r="F7" s="5" t="s">
        <v>8</v>
      </c>
      <c r="G7" s="5" t="s">
        <v>3</v>
      </c>
      <c r="H7" s="6" t="n">
        <v>180000</v>
      </c>
      <c r="J7" s="5" t="s">
        <v>10</v>
      </c>
      <c r="K7" s="6" t="n">
        <f aca="false">SUMIFS($H$5:$H$63,$E$5:$E$63,J7,$G$5:$G$63,"Corn")</f>
        <v>1146884</v>
      </c>
      <c r="L7" s="6" t="n">
        <f aca="false">SUMIFS($H$5:$H$63,$E$5:$E$63,J7,$G$5:$G$63,"Soybean")</f>
        <v>0</v>
      </c>
      <c r="M7" s="6" t="n">
        <f aca="false">K7+L7</f>
        <v>1146884</v>
      </c>
      <c r="N7" s="6" t="n">
        <f aca="false">COUNTIFS($E$5:$E$63,J7)</f>
        <v>9</v>
      </c>
    </row>
    <row r="8" customFormat="false" ht="15" hidden="false" customHeight="false" outlineLevel="0" collapsed="false">
      <c r="A8" s="11" t="n">
        <v>41663</v>
      </c>
      <c r="B8" s="11" t="n">
        <v>41683</v>
      </c>
      <c r="C8" s="11" t="n">
        <v>41676</v>
      </c>
      <c r="D8" s="5" t="s">
        <v>28</v>
      </c>
      <c r="E8" s="5" t="s">
        <v>8</v>
      </c>
      <c r="F8" s="5" t="s">
        <v>8</v>
      </c>
      <c r="G8" s="5" t="s">
        <v>3</v>
      </c>
      <c r="H8" s="6" t="n">
        <v>100000</v>
      </c>
      <c r="J8" s="5" t="s">
        <v>11</v>
      </c>
      <c r="K8" s="6" t="n">
        <f aca="false">SUMIFS($H$5:$H$63,$E$5:$E$63,J8,$G$5:$G$63,"Corn")</f>
        <v>1139704</v>
      </c>
      <c r="L8" s="6" t="n">
        <f aca="false">SUMIFS($H$5:$H$63,$E$5:$E$63,J8,$G$5:$G$63,"Soybean")</f>
        <v>0</v>
      </c>
      <c r="M8" s="6" t="n">
        <f aca="false">K8+L8</f>
        <v>1139704</v>
      </c>
      <c r="N8" s="6" t="n">
        <f aca="false">COUNTIFS($E$5:$E$63,J8)</f>
        <v>10</v>
      </c>
    </row>
    <row r="9" customFormat="false" ht="15" hidden="false" customHeight="false" outlineLevel="0" collapsed="false">
      <c r="A9" s="11" t="n">
        <v>42409</v>
      </c>
      <c r="B9" s="11" t="n">
        <v>42425</v>
      </c>
      <c r="C9" s="11" t="n">
        <v>42418</v>
      </c>
      <c r="D9" s="5" t="s">
        <v>28</v>
      </c>
      <c r="E9" s="5" t="s">
        <v>11</v>
      </c>
      <c r="F9" s="5" t="s">
        <v>10</v>
      </c>
      <c r="G9" s="5" t="s">
        <v>3</v>
      </c>
      <c r="H9" s="6" t="n">
        <v>243000</v>
      </c>
      <c r="J9" s="5" t="s">
        <v>12</v>
      </c>
      <c r="K9" s="6" t="n">
        <f aca="false">SUMIFS($H$5:$H$63,$E$5:$E$63,J9,$G$5:$G$63,"Corn")</f>
        <v>981456</v>
      </c>
      <c r="L9" s="6" t="n">
        <f aca="false">SUMIFS($H$5:$H$63,$E$5:$E$63,J9,$G$5:$G$63,"Soybean")</f>
        <v>0</v>
      </c>
      <c r="M9" s="6" t="n">
        <f aca="false">K9+L9</f>
        <v>981456</v>
      </c>
      <c r="N9" s="6" t="n">
        <f aca="false">COUNTIFS($E$5:$E$63,J9)</f>
        <v>7</v>
      </c>
    </row>
    <row r="10" customFormat="false" ht="15" hidden="false" customHeight="false" outlineLevel="0" collapsed="false">
      <c r="A10" s="11" t="n">
        <v>42419</v>
      </c>
      <c r="B10" s="11" t="n">
        <v>42439</v>
      </c>
      <c r="C10" s="11" t="n">
        <v>42432</v>
      </c>
      <c r="D10" s="5" t="s">
        <v>28</v>
      </c>
      <c r="E10" s="5" t="s">
        <v>10</v>
      </c>
      <c r="F10" s="5" t="s">
        <v>10</v>
      </c>
      <c r="G10" s="5" t="s">
        <v>3</v>
      </c>
      <c r="H10" s="6" t="n">
        <v>101600</v>
      </c>
      <c r="J10" s="5" t="s">
        <v>13</v>
      </c>
      <c r="K10" s="6" t="n">
        <f aca="false">SUMIFS($H$5:$H$63,$E$5:$E$63,J10,$G$5:$G$63,"Corn")</f>
        <v>561000</v>
      </c>
      <c r="L10" s="6" t="n">
        <f aca="false">SUMIFS($H$5:$H$63,$E$5:$E$63,J10,$G$5:$G$63,"Soybean")</f>
        <v>0</v>
      </c>
      <c r="M10" s="6" t="n">
        <f aca="false">K10+L10</f>
        <v>561000</v>
      </c>
      <c r="N10" s="6" t="n">
        <f aca="false">COUNTIFS($E$5:$E$63,J10)</f>
        <v>3</v>
      </c>
    </row>
    <row r="11" customFormat="false" ht="15" hidden="false" customHeight="false" outlineLevel="0" collapsed="false">
      <c r="A11" s="11" t="n">
        <v>42440</v>
      </c>
      <c r="B11" s="11" t="n">
        <v>42460</v>
      </c>
      <c r="C11" s="11" t="n">
        <v>42453</v>
      </c>
      <c r="D11" s="5" t="s">
        <v>28</v>
      </c>
      <c r="E11" s="5" t="s">
        <v>10</v>
      </c>
      <c r="F11" s="5" t="s">
        <v>10</v>
      </c>
      <c r="G11" s="5" t="s">
        <v>3</v>
      </c>
      <c r="H11" s="6" t="n">
        <v>170800</v>
      </c>
      <c r="J11" s="5" t="s">
        <v>14</v>
      </c>
      <c r="K11" s="6" t="n">
        <f aca="false">SUMIFS($H$5:$H$63,$E$5:$E$63,J11,$G$5:$G$63,"Corn")</f>
        <v>347688</v>
      </c>
      <c r="L11" s="6" t="n">
        <f aca="false">SUMIFS($H$5:$H$63,$E$5:$E$63,J11,$G$5:$G$63,"Soybean")</f>
        <v>0</v>
      </c>
      <c r="M11" s="6" t="n">
        <f aca="false">K11+L11</f>
        <v>347688</v>
      </c>
      <c r="N11" s="6" t="n">
        <f aca="false">COUNTIFS($E$5:$E$63,J11)</f>
        <v>2</v>
      </c>
    </row>
    <row r="12" customFormat="false" ht="15" hidden="false" customHeight="false" outlineLevel="0" collapsed="false">
      <c r="A12" s="11" t="n">
        <v>42467</v>
      </c>
      <c r="B12" s="11" t="n">
        <v>42481</v>
      </c>
      <c r="C12" s="11" t="n">
        <v>42474</v>
      </c>
      <c r="D12" s="5" t="s">
        <v>28</v>
      </c>
      <c r="E12" s="5" t="s">
        <v>10</v>
      </c>
      <c r="F12" s="5" t="s">
        <v>10</v>
      </c>
      <c r="G12" s="5" t="s">
        <v>3</v>
      </c>
      <c r="H12" s="6" t="n">
        <v>145544</v>
      </c>
      <c r="J12" s="5" t="s">
        <v>15</v>
      </c>
      <c r="K12" s="6" t="n">
        <f aca="false">SUMIFS($H$5:$H$63,$E$5:$E$63,J12,$G$5:$G$63,"Corn")</f>
        <v>777052</v>
      </c>
      <c r="L12" s="6" t="n">
        <f aca="false">SUMIFS($H$5:$H$63,$E$5:$E$63,J12,$G$5:$G$63,"Soybean")</f>
        <v>0</v>
      </c>
      <c r="M12" s="6" t="n">
        <f aca="false">K12+L12</f>
        <v>777052</v>
      </c>
      <c r="N12" s="6" t="n">
        <f aca="false">COUNTIFS($E$5:$E$63,J12)</f>
        <v>7</v>
      </c>
    </row>
    <row r="13" customFormat="false" ht="15" hidden="false" customHeight="false" outlineLevel="0" collapsed="false">
      <c r="A13" s="11" t="n">
        <v>42473</v>
      </c>
      <c r="B13" s="11" t="n">
        <v>42488</v>
      </c>
      <c r="C13" s="11" t="n">
        <v>42481</v>
      </c>
      <c r="D13" s="5" t="s">
        <v>28</v>
      </c>
      <c r="E13" s="5" t="s">
        <v>10</v>
      </c>
      <c r="F13" s="5" t="s">
        <v>10</v>
      </c>
      <c r="G13" s="5" t="s">
        <v>3</v>
      </c>
      <c r="H13" s="6" t="n">
        <v>110800</v>
      </c>
      <c r="J13" s="5" t="s">
        <v>16</v>
      </c>
      <c r="K13" s="6" t="n">
        <f aca="false">SUMIFS($H$5:$H$63,$E$5:$E$63,J13,$G$5:$G$63,"Corn")</f>
        <v>303000</v>
      </c>
      <c r="L13" s="6" t="n">
        <f aca="false">SUMIFS($H$5:$H$63,$E$5:$E$63,J13,$G$5:$G$63,"Soybean")</f>
        <v>0</v>
      </c>
      <c r="M13" s="6" t="n">
        <f aca="false">K13+L13</f>
        <v>303000</v>
      </c>
      <c r="N13" s="6" t="n">
        <f aca="false">COUNTIFS($E$5:$E$63,J13)</f>
        <v>2</v>
      </c>
    </row>
    <row r="14" customFormat="false" ht="15" hidden="false" customHeight="false" outlineLevel="0" collapsed="false">
      <c r="A14" s="11" t="n">
        <v>42481</v>
      </c>
      <c r="B14" s="11" t="n">
        <v>42495</v>
      </c>
      <c r="C14" s="11" t="n">
        <v>42488</v>
      </c>
      <c r="D14" s="5" t="s">
        <v>28</v>
      </c>
      <c r="E14" s="5" t="s">
        <v>10</v>
      </c>
      <c r="F14" s="5" t="s">
        <v>10</v>
      </c>
      <c r="G14" s="5" t="s">
        <v>3</v>
      </c>
      <c r="H14" s="6" t="n">
        <v>180000</v>
      </c>
      <c r="J14" s="5" t="s">
        <v>17</v>
      </c>
      <c r="K14" s="6" t="n">
        <f aca="false">SUMIFS($H$5:$H$63,$E$5:$E$63,J14,$G$5:$G$63,"Corn")</f>
        <v>341300</v>
      </c>
      <c r="L14" s="6" t="n">
        <f aca="false">SUMIFS($H$5:$H$63,$E$5:$E$63,J14,$G$5:$G$63,"Soybean")</f>
        <v>0</v>
      </c>
      <c r="M14" s="6" t="n">
        <f aca="false">K14+L14</f>
        <v>341300</v>
      </c>
      <c r="N14" s="6" t="n">
        <f aca="false">COUNTIFS($E$5:$E$63,J14)</f>
        <v>4</v>
      </c>
    </row>
    <row r="15" customFormat="false" ht="15" hidden="false" customHeight="false" outlineLevel="0" collapsed="false">
      <c r="A15" s="11" t="n">
        <v>42481</v>
      </c>
      <c r="B15" s="11" t="n">
        <v>42495</v>
      </c>
      <c r="C15" s="11" t="n">
        <v>42488</v>
      </c>
      <c r="D15" s="5" t="s">
        <v>28</v>
      </c>
      <c r="E15" s="5" t="s">
        <v>11</v>
      </c>
      <c r="F15" s="5" t="s">
        <v>10</v>
      </c>
      <c r="G15" s="5" t="s">
        <v>3</v>
      </c>
      <c r="H15" s="6" t="n">
        <v>60000</v>
      </c>
      <c r="J15" s="5" t="s">
        <v>18</v>
      </c>
      <c r="K15" s="6" t="n">
        <f aca="false">SUMIFS($H$5:$H$63,$E$5:$E$63,J15,$G$5:$G$63,"Corn")</f>
        <v>294000</v>
      </c>
      <c r="L15" s="6" t="n">
        <f aca="false">SUMIFS($H$5:$H$63,$E$5:$E$63,J15,$G$5:$G$63,"Soybean")</f>
        <v>0</v>
      </c>
      <c r="M15" s="6" t="n">
        <f aca="false">K15+L15</f>
        <v>294000</v>
      </c>
      <c r="N15" s="6" t="n">
        <f aca="false">COUNTIFS($E$5:$E$63,J15)</f>
        <v>2</v>
      </c>
    </row>
    <row r="16" customFormat="false" ht="15" hidden="false" customHeight="false" outlineLevel="0" collapsed="false">
      <c r="A16" s="11" t="n">
        <v>42488</v>
      </c>
      <c r="B16" s="11" t="n">
        <v>42502</v>
      </c>
      <c r="C16" s="11" t="n">
        <v>42495</v>
      </c>
      <c r="D16" s="5" t="s">
        <v>28</v>
      </c>
      <c r="E16" s="5" t="s">
        <v>10</v>
      </c>
      <c r="F16" s="5" t="s">
        <v>10</v>
      </c>
      <c r="G16" s="5" t="s">
        <v>3</v>
      </c>
      <c r="H16" s="6" t="n">
        <v>100640</v>
      </c>
      <c r="J16" s="5" t="s">
        <v>19</v>
      </c>
      <c r="K16" s="6" t="n">
        <f aca="false">SUMIFS($H$5:$H$63,$E$5:$E$63,J16,$G$5:$G$63,"Corn")</f>
        <v>752600</v>
      </c>
      <c r="L16" s="6" t="n">
        <f aca="false">SUMIFS($H$5:$H$63,$E$5:$E$63,J16,$G$5:$G$63,"Soybean")</f>
        <v>0</v>
      </c>
      <c r="M16" s="6" t="n">
        <f aca="false">K16+L16</f>
        <v>752600</v>
      </c>
      <c r="N16" s="6" t="n">
        <f aca="false">COUNTIFS($E$5:$E$63,J16)</f>
        <v>5</v>
      </c>
    </row>
    <row r="17" customFormat="false" ht="15" hidden="false" customHeight="false" outlineLevel="0" collapsed="false">
      <c r="A17" s="11" t="n">
        <v>42494</v>
      </c>
      <c r="B17" s="11" t="n">
        <v>42509</v>
      </c>
      <c r="C17" s="11" t="n">
        <v>42502</v>
      </c>
      <c r="D17" s="5" t="s">
        <v>28</v>
      </c>
      <c r="E17" s="5" t="s">
        <v>10</v>
      </c>
      <c r="F17" s="5" t="s">
        <v>10</v>
      </c>
      <c r="G17" s="5" t="s">
        <v>3</v>
      </c>
      <c r="H17" s="6" t="n">
        <v>107500</v>
      </c>
      <c r="J17" s="5" t="s">
        <v>20</v>
      </c>
      <c r="K17" s="6" t="n">
        <f aca="false">SUMIFS($H$5:$H$63,$E$5:$E$63,J17,$G$5:$G$63,"Corn")</f>
        <v>380000</v>
      </c>
      <c r="L17" s="6" t="n">
        <f aca="false">SUMIFS($H$5:$H$63,$E$5:$E$63,J17,$G$5:$G$63,"Soybean")</f>
        <v>0</v>
      </c>
      <c r="M17" s="6" t="n">
        <f aca="false">K17+L17</f>
        <v>380000</v>
      </c>
      <c r="N17" s="6" t="n">
        <f aca="false">COUNTIFS($E$5:$E$63,J17)</f>
        <v>2</v>
      </c>
    </row>
    <row r="18" customFormat="false" ht="15" hidden="false" customHeight="false" outlineLevel="0" collapsed="false">
      <c r="A18" s="11" t="n">
        <v>42499</v>
      </c>
      <c r="B18" s="11" t="n">
        <v>42516</v>
      </c>
      <c r="C18" s="11" t="n">
        <v>42509</v>
      </c>
      <c r="D18" s="5" t="s">
        <v>28</v>
      </c>
      <c r="E18" s="5" t="s">
        <v>10</v>
      </c>
      <c r="F18" s="5" t="s">
        <v>10</v>
      </c>
      <c r="G18" s="5" t="s">
        <v>3</v>
      </c>
      <c r="H18" s="6" t="n">
        <v>170000</v>
      </c>
      <c r="J18" s="5" t="s">
        <v>21</v>
      </c>
      <c r="K18" s="6" t="n">
        <f aca="false">SUMIFS($H$5:$H$63,$E$5:$E$63,J18,$G$5:$G$63,"Corn")</f>
        <v>154000</v>
      </c>
      <c r="L18" s="6" t="n">
        <f aca="false">SUMIFS($H$5:$H$63,$E$5:$E$63,J18,$G$5:$G$63,"Soybean")</f>
        <v>0</v>
      </c>
      <c r="M18" s="6" t="n">
        <f aca="false">K18+L18</f>
        <v>154000</v>
      </c>
      <c r="N18" s="6" t="n">
        <f aca="false">COUNTIFS($E$5:$E$63,J18)</f>
        <v>1</v>
      </c>
    </row>
    <row r="19" customFormat="false" ht="15" hidden="false" customHeight="false" outlineLevel="0" collapsed="false">
      <c r="A19" s="11" t="n">
        <v>42535</v>
      </c>
      <c r="B19" s="11" t="n">
        <v>42551</v>
      </c>
      <c r="C19" s="11" t="n">
        <v>42544</v>
      </c>
      <c r="D19" s="5" t="s">
        <v>28</v>
      </c>
      <c r="E19" s="5" t="s">
        <v>10</v>
      </c>
      <c r="F19" s="5" t="s">
        <v>10</v>
      </c>
      <c r="G19" s="5" t="s">
        <v>3</v>
      </c>
      <c r="H19" s="6" t="n">
        <v>60000</v>
      </c>
      <c r="J19" s="5" t="s">
        <v>22</v>
      </c>
      <c r="K19" s="6" t="n">
        <f aca="false">SUMIFS($H$5:$H$63,$E$5:$E$63,J19,$G$5:$G$63,"Corn")</f>
        <v>24000</v>
      </c>
      <c r="L19" s="6" t="n">
        <f aca="false">SUMIFS($H$5:$H$63,$E$5:$E$63,J19,$G$5:$G$63,"Soybean")</f>
        <v>0</v>
      </c>
      <c r="M19" s="6" t="n">
        <f aca="false">K19+L19</f>
        <v>24000</v>
      </c>
      <c r="N19" s="6" t="n">
        <f aca="false">COUNTIFS($E$5:$E$63,J19)</f>
        <v>1</v>
      </c>
    </row>
    <row r="20" customFormat="false" ht="15" hidden="false" customHeight="false" outlineLevel="0" collapsed="false">
      <c r="A20" s="11" t="n">
        <v>42535</v>
      </c>
      <c r="B20" s="11" t="n">
        <v>42551</v>
      </c>
      <c r="C20" s="11" t="n">
        <v>42544</v>
      </c>
      <c r="D20" s="5" t="s">
        <v>28</v>
      </c>
      <c r="E20" s="5" t="s">
        <v>11</v>
      </c>
      <c r="F20" s="5" t="s">
        <v>10</v>
      </c>
      <c r="G20" s="5" t="s">
        <v>3</v>
      </c>
      <c r="H20" s="6" t="n">
        <v>76000</v>
      </c>
      <c r="J20" s="8" t="s">
        <v>24</v>
      </c>
      <c r="K20" s="9" t="n">
        <f aca="false">SUM(K5:K19)</f>
        <v>7884108</v>
      </c>
      <c r="L20" s="9" t="n">
        <f aca="false">SUM(L5:L19)</f>
        <v>0</v>
      </c>
      <c r="M20" s="9" t="n">
        <f aca="false">SUM(M5:M19)</f>
        <v>7884108</v>
      </c>
      <c r="N20" s="9" t="n">
        <f aca="false">SUM(N5:N19)</f>
        <v>59</v>
      </c>
    </row>
    <row r="21" customFormat="false" ht="15" hidden="false" customHeight="false" outlineLevel="0" collapsed="false">
      <c r="A21" s="11" t="n">
        <v>42723</v>
      </c>
      <c r="B21" s="11" t="n">
        <v>42740</v>
      </c>
      <c r="C21" s="11" t="n">
        <v>42733</v>
      </c>
      <c r="D21" s="5" t="s">
        <v>28</v>
      </c>
      <c r="E21" s="5" t="s">
        <v>11</v>
      </c>
      <c r="F21" s="5" t="s">
        <v>11</v>
      </c>
      <c r="G21" s="5" t="s">
        <v>3</v>
      </c>
      <c r="H21" s="6" t="n">
        <v>128000</v>
      </c>
    </row>
    <row r="22" customFormat="false" ht="15" hidden="false" customHeight="false" outlineLevel="0" collapsed="false">
      <c r="A22" s="11" t="n">
        <v>42747</v>
      </c>
      <c r="B22" s="11" t="n">
        <v>42761</v>
      </c>
      <c r="C22" s="11" t="n">
        <v>42754</v>
      </c>
      <c r="D22" s="5" t="s">
        <v>28</v>
      </c>
      <c r="E22" s="5" t="s">
        <v>11</v>
      </c>
      <c r="F22" s="5" t="s">
        <v>11</v>
      </c>
      <c r="G22" s="5" t="s">
        <v>3</v>
      </c>
      <c r="H22" s="6" t="n">
        <v>110000</v>
      </c>
    </row>
    <row r="23" customFormat="false" ht="15" hidden="false" customHeight="false" outlineLevel="0" collapsed="false">
      <c r="A23" s="11" t="n">
        <v>42768</v>
      </c>
      <c r="B23" s="11" t="n">
        <v>42782</v>
      </c>
      <c r="C23" s="11" t="n">
        <v>42775</v>
      </c>
      <c r="D23" s="5" t="s">
        <v>28</v>
      </c>
      <c r="E23" s="5" t="s">
        <v>11</v>
      </c>
      <c r="F23" s="5" t="s">
        <v>11</v>
      </c>
      <c r="G23" s="5" t="s">
        <v>3</v>
      </c>
      <c r="H23" s="6" t="n">
        <v>110000</v>
      </c>
      <c r="J23" s="10" t="s">
        <v>42</v>
      </c>
    </row>
    <row r="24" customFormat="false" ht="15" hidden="false" customHeight="false" outlineLevel="0" collapsed="false">
      <c r="A24" s="11" t="n">
        <v>42773</v>
      </c>
      <c r="B24" s="11" t="n">
        <v>42789</v>
      </c>
      <c r="C24" s="11" t="n">
        <v>42782</v>
      </c>
      <c r="D24" s="5" t="s">
        <v>28</v>
      </c>
      <c r="E24" s="5" t="s">
        <v>11</v>
      </c>
      <c r="F24" s="5" t="s">
        <v>11</v>
      </c>
      <c r="G24" s="5" t="s">
        <v>3</v>
      </c>
      <c r="H24" s="6" t="n">
        <v>128000</v>
      </c>
      <c r="J24" s="4" t="s">
        <v>54</v>
      </c>
      <c r="K24" s="4" t="s">
        <v>3</v>
      </c>
      <c r="L24" s="4" t="s">
        <v>40</v>
      </c>
      <c r="M24" s="4" t="s">
        <v>24</v>
      </c>
      <c r="N24" s="4" t="s">
        <v>53</v>
      </c>
    </row>
    <row r="25" customFormat="false" ht="15" hidden="false" customHeight="false" outlineLevel="0" collapsed="false">
      <c r="A25" s="11" t="n">
        <v>42780</v>
      </c>
      <c r="B25" s="11" t="n">
        <v>42796</v>
      </c>
      <c r="C25" s="11" t="n">
        <v>42789</v>
      </c>
      <c r="D25" s="5" t="s">
        <v>28</v>
      </c>
      <c r="E25" s="5" t="s">
        <v>12</v>
      </c>
      <c r="F25" s="5" t="s">
        <v>11</v>
      </c>
      <c r="G25" s="5" t="s">
        <v>3</v>
      </c>
      <c r="H25" s="6" t="n">
        <v>229000</v>
      </c>
      <c r="J25" s="5" t="s">
        <v>8</v>
      </c>
      <c r="K25" s="6" t="n">
        <f aca="false">SUMIFS($H$5:$H$63,$F$5:$F$63,J25,$G$5:$G$63,"Corn")</f>
        <v>681424</v>
      </c>
      <c r="L25" s="6" t="n">
        <f aca="false">SUMIFS($H$5:$H$63,$F$5:$F$63,J25,$G$5:$G$63,"Soybean")</f>
        <v>0</v>
      </c>
      <c r="M25" s="6" t="n">
        <f aca="false">K25+L25</f>
        <v>681424</v>
      </c>
      <c r="N25" s="6" t="n">
        <f aca="false">COUNTIFS($F$5:$F$63,J25)</f>
        <v>4</v>
      </c>
    </row>
    <row r="26" customFormat="false" ht="15" hidden="false" customHeight="false" outlineLevel="0" collapsed="false">
      <c r="A26" s="11" t="n">
        <v>42783</v>
      </c>
      <c r="B26" s="11" t="n">
        <v>42803</v>
      </c>
      <c r="C26" s="11" t="n">
        <v>42796</v>
      </c>
      <c r="D26" s="5" t="s">
        <v>28</v>
      </c>
      <c r="E26" s="5" t="s">
        <v>11</v>
      </c>
      <c r="F26" s="5" t="s">
        <v>11</v>
      </c>
      <c r="G26" s="5" t="s">
        <v>3</v>
      </c>
      <c r="H26" s="6" t="n">
        <v>60000</v>
      </c>
      <c r="J26" s="5" t="s">
        <v>10</v>
      </c>
      <c r="K26" s="6" t="n">
        <f aca="false">SUMIFS($H$5:$H$63,$F$5:$F$63,J26,$G$5:$G$63,"Corn")</f>
        <v>1525884</v>
      </c>
      <c r="L26" s="6" t="n">
        <f aca="false">SUMIFS($H$5:$H$63,$F$5:$F$63,J26,$G$5:$G$63,"Soybean")</f>
        <v>0</v>
      </c>
      <c r="M26" s="6" t="n">
        <f aca="false">K26+L26</f>
        <v>1525884</v>
      </c>
      <c r="N26" s="6" t="n">
        <f aca="false">COUNTIFS($F$5:$F$63,J26)</f>
        <v>12</v>
      </c>
    </row>
    <row r="27" customFormat="false" ht="15" hidden="false" customHeight="false" outlineLevel="0" collapsed="false">
      <c r="A27" s="11" t="n">
        <v>42783</v>
      </c>
      <c r="B27" s="11" t="n">
        <v>42803</v>
      </c>
      <c r="C27" s="11" t="n">
        <v>42796</v>
      </c>
      <c r="D27" s="5" t="s">
        <v>28</v>
      </c>
      <c r="E27" s="5" t="s">
        <v>12</v>
      </c>
      <c r="F27" s="5" t="s">
        <v>11</v>
      </c>
      <c r="G27" s="5" t="s">
        <v>3</v>
      </c>
      <c r="H27" s="6" t="n">
        <v>134112</v>
      </c>
      <c r="J27" s="5" t="s">
        <v>11</v>
      </c>
      <c r="K27" s="6" t="n">
        <f aca="false">SUMIFS($H$5:$H$63,$F$5:$F$63,J27,$G$5:$G$63,"Corn")</f>
        <v>1288408</v>
      </c>
      <c r="L27" s="6" t="n">
        <f aca="false">SUMIFS($H$5:$H$63,$F$5:$F$63,J27,$G$5:$G$63,"Soybean")</f>
        <v>0</v>
      </c>
      <c r="M27" s="6" t="n">
        <f aca="false">K27+L27</f>
        <v>1288408</v>
      </c>
      <c r="N27" s="6" t="n">
        <f aca="false">COUNTIFS($F$5:$F$63,J27)</f>
        <v>10</v>
      </c>
    </row>
    <row r="28" customFormat="false" ht="15" hidden="false" customHeight="false" outlineLevel="0" collapsed="false">
      <c r="A28" s="11" t="n">
        <v>42787</v>
      </c>
      <c r="B28" s="11" t="n">
        <v>42803</v>
      </c>
      <c r="C28" s="11" t="n">
        <v>42796</v>
      </c>
      <c r="D28" s="5" t="s">
        <v>28</v>
      </c>
      <c r="E28" s="5" t="s">
        <v>11</v>
      </c>
      <c r="F28" s="5" t="s">
        <v>11</v>
      </c>
      <c r="G28" s="5" t="s">
        <v>3</v>
      </c>
      <c r="H28" s="6" t="n">
        <v>104704</v>
      </c>
      <c r="J28" s="5" t="s">
        <v>12</v>
      </c>
      <c r="K28" s="6" t="n">
        <f aca="false">SUMIFS($H$5:$H$63,$F$5:$F$63,J28,$G$5:$G$63,"Corn")</f>
        <v>659752</v>
      </c>
      <c r="L28" s="6" t="n">
        <f aca="false">SUMIFS($H$5:$H$63,$F$5:$F$63,J28,$G$5:$G$63,"Soybean")</f>
        <v>0</v>
      </c>
      <c r="M28" s="6" t="n">
        <f aca="false">K28+L28</f>
        <v>659752</v>
      </c>
      <c r="N28" s="6" t="n">
        <f aca="false">COUNTIFS($F$5:$F$63,J28)</f>
        <v>5</v>
      </c>
    </row>
    <row r="29" customFormat="false" ht="15" hidden="false" customHeight="false" outlineLevel="0" collapsed="false">
      <c r="A29" s="11" t="n">
        <v>42787</v>
      </c>
      <c r="B29" s="11" t="n">
        <v>42803</v>
      </c>
      <c r="C29" s="11" t="n">
        <v>42796</v>
      </c>
      <c r="D29" s="5" t="s">
        <v>28</v>
      </c>
      <c r="E29" s="5" t="s">
        <v>12</v>
      </c>
      <c r="F29" s="5" t="s">
        <v>11</v>
      </c>
      <c r="G29" s="5" t="s">
        <v>3</v>
      </c>
      <c r="H29" s="6" t="n">
        <v>164592</v>
      </c>
      <c r="J29" s="5" t="s">
        <v>13</v>
      </c>
      <c r="K29" s="6" t="n">
        <f aca="false">SUMIFS($H$5:$H$63,$F$5:$F$63,J29,$G$5:$G$63,"Corn")</f>
        <v>355000</v>
      </c>
      <c r="L29" s="6" t="n">
        <f aca="false">SUMIFS($H$5:$H$63,$F$5:$F$63,J29,$G$5:$G$63,"Soybean")</f>
        <v>0</v>
      </c>
      <c r="M29" s="6" t="n">
        <f aca="false">K29+L29</f>
        <v>355000</v>
      </c>
      <c r="N29" s="6" t="n">
        <f aca="false">COUNTIFS($F$5:$F$63,J29)</f>
        <v>2</v>
      </c>
    </row>
    <row r="30" customFormat="false" ht="15" hidden="false" customHeight="false" outlineLevel="0" collapsed="false">
      <c r="A30" s="11" t="n">
        <v>42803</v>
      </c>
      <c r="B30" s="11" t="n">
        <v>42817</v>
      </c>
      <c r="C30" s="11" t="n">
        <v>42810</v>
      </c>
      <c r="D30" s="5" t="s">
        <v>28</v>
      </c>
      <c r="E30" s="5" t="s">
        <v>11</v>
      </c>
      <c r="F30" s="5" t="s">
        <v>11</v>
      </c>
      <c r="G30" s="5" t="s">
        <v>3</v>
      </c>
      <c r="H30" s="6" t="n">
        <v>120000</v>
      </c>
      <c r="J30" s="5" t="s">
        <v>14</v>
      </c>
      <c r="K30" s="6" t="n">
        <f aca="false">SUMIFS($H$5:$H$63,$F$5:$F$63,J30,$G$5:$G$63,"Corn")</f>
        <v>558940</v>
      </c>
      <c r="L30" s="6" t="n">
        <f aca="false">SUMIFS($H$5:$H$63,$F$5:$F$63,J30,$G$5:$G$63,"Soybean")</f>
        <v>0</v>
      </c>
      <c r="M30" s="6" t="n">
        <f aca="false">K30+L30</f>
        <v>558940</v>
      </c>
      <c r="N30" s="6" t="n">
        <f aca="false">COUNTIFS($F$5:$F$63,J30)</f>
        <v>4</v>
      </c>
    </row>
    <row r="31" customFormat="false" ht="15" hidden="false" customHeight="false" outlineLevel="0" collapsed="false">
      <c r="A31" s="11" t="n">
        <v>43137</v>
      </c>
      <c r="B31" s="11" t="n">
        <v>43153</v>
      </c>
      <c r="C31" s="11" t="n">
        <v>43146</v>
      </c>
      <c r="D31" s="5" t="s">
        <v>28</v>
      </c>
      <c r="E31" s="5" t="s">
        <v>12</v>
      </c>
      <c r="F31" s="5" t="s">
        <v>12</v>
      </c>
      <c r="G31" s="5" t="s">
        <v>3</v>
      </c>
      <c r="H31" s="6" t="n">
        <v>120000</v>
      </c>
      <c r="J31" s="5" t="s">
        <v>15</v>
      </c>
      <c r="K31" s="6" t="n">
        <f aca="false">SUMIFS($H$5:$H$63,$F$5:$F$63,J31,$G$5:$G$63,"Corn")</f>
        <v>740800</v>
      </c>
      <c r="L31" s="6" t="n">
        <f aca="false">SUMIFS($H$5:$H$63,$F$5:$F$63,J31,$G$5:$G$63,"Soybean")</f>
        <v>0</v>
      </c>
      <c r="M31" s="6" t="n">
        <f aca="false">K31+L31</f>
        <v>740800</v>
      </c>
      <c r="N31" s="6" t="n">
        <f aca="false">COUNTIFS($F$5:$F$63,J31)</f>
        <v>6</v>
      </c>
    </row>
    <row r="32" customFormat="false" ht="15" hidden="false" customHeight="false" outlineLevel="0" collapsed="false">
      <c r="A32" s="11" t="n">
        <v>43147</v>
      </c>
      <c r="B32" s="11" t="n">
        <v>43167</v>
      </c>
      <c r="C32" s="11" t="n">
        <v>43160</v>
      </c>
      <c r="D32" s="5" t="s">
        <v>28</v>
      </c>
      <c r="E32" s="5" t="s">
        <v>12</v>
      </c>
      <c r="F32" s="5" t="s">
        <v>12</v>
      </c>
      <c r="G32" s="5" t="s">
        <v>3</v>
      </c>
      <c r="H32" s="6" t="n">
        <v>116000</v>
      </c>
      <c r="J32" s="5" t="s">
        <v>16</v>
      </c>
      <c r="K32" s="6" t="n">
        <f aca="false">SUMIFS($H$5:$H$63,$F$5:$F$63,J32,$G$5:$G$63,"Corn")</f>
        <v>128000</v>
      </c>
      <c r="L32" s="6" t="n">
        <f aca="false">SUMIFS($H$5:$H$63,$F$5:$F$63,J32,$G$5:$G$63,"Soybean")</f>
        <v>0</v>
      </c>
      <c r="M32" s="6" t="n">
        <f aca="false">K32+L32</f>
        <v>128000</v>
      </c>
      <c r="N32" s="6" t="n">
        <f aca="false">COUNTIFS($F$5:$F$63,J32)</f>
        <v>1</v>
      </c>
    </row>
    <row r="33" customFormat="false" ht="15" hidden="false" customHeight="false" outlineLevel="0" collapsed="false">
      <c r="A33" s="11" t="n">
        <v>43167</v>
      </c>
      <c r="B33" s="11" t="n">
        <v>43181</v>
      </c>
      <c r="C33" s="11" t="n">
        <v>43174</v>
      </c>
      <c r="D33" s="5" t="s">
        <v>28</v>
      </c>
      <c r="E33" s="5" t="s">
        <v>12</v>
      </c>
      <c r="F33" s="5" t="s">
        <v>12</v>
      </c>
      <c r="G33" s="5" t="s">
        <v>3</v>
      </c>
      <c r="H33" s="6" t="n">
        <v>110000</v>
      </c>
      <c r="J33" s="5" t="s">
        <v>17</v>
      </c>
      <c r="K33" s="6" t="n">
        <f aca="false">SUMIFS($H$5:$H$63,$F$5:$F$63,J33,$G$5:$G$63,"Corn")</f>
        <v>511300</v>
      </c>
      <c r="L33" s="6" t="n">
        <f aca="false">SUMIFS($H$5:$H$63,$F$5:$F$63,J33,$G$5:$G$63,"Soybean")</f>
        <v>0</v>
      </c>
      <c r="M33" s="6" t="n">
        <f aca="false">K33+L33</f>
        <v>511300</v>
      </c>
      <c r="N33" s="6" t="n">
        <f aca="false">COUNTIFS($F$5:$F$63,J33)</f>
        <v>5</v>
      </c>
    </row>
    <row r="34" customFormat="false" ht="15" hidden="false" customHeight="false" outlineLevel="0" collapsed="false">
      <c r="A34" s="11" t="n">
        <v>43171</v>
      </c>
      <c r="B34" s="11" t="n">
        <v>43188</v>
      </c>
      <c r="C34" s="11" t="n">
        <v>43181</v>
      </c>
      <c r="D34" s="5" t="s">
        <v>28</v>
      </c>
      <c r="E34" s="5" t="s">
        <v>12</v>
      </c>
      <c r="F34" s="5" t="s">
        <v>12</v>
      </c>
      <c r="G34" s="5" t="s">
        <v>3</v>
      </c>
      <c r="H34" s="6" t="n">
        <v>107752</v>
      </c>
      <c r="J34" s="5" t="s">
        <v>18</v>
      </c>
      <c r="K34" s="6" t="n">
        <f aca="false">SUMIFS($H$5:$H$63,$F$5:$F$63,J34,$G$5:$G$63,"Corn")</f>
        <v>279000</v>
      </c>
      <c r="L34" s="6" t="n">
        <f aca="false">SUMIFS($H$5:$H$63,$F$5:$F$63,J34,$G$5:$G$63,"Soybean")</f>
        <v>0</v>
      </c>
      <c r="M34" s="6" t="n">
        <f aca="false">K34+L34</f>
        <v>279000</v>
      </c>
      <c r="N34" s="6" t="n">
        <f aca="false">COUNTIFS($F$5:$F$63,J34)</f>
        <v>2</v>
      </c>
    </row>
    <row r="35" customFormat="false" ht="15" hidden="false" customHeight="false" outlineLevel="0" collapsed="false">
      <c r="A35" s="11" t="n">
        <v>43178</v>
      </c>
      <c r="B35" s="11" t="n">
        <v>43195</v>
      </c>
      <c r="C35" s="11" t="n">
        <v>43188</v>
      </c>
      <c r="D35" s="5" t="s">
        <v>28</v>
      </c>
      <c r="E35" s="5" t="s">
        <v>13</v>
      </c>
      <c r="F35" s="5" t="s">
        <v>12</v>
      </c>
      <c r="G35" s="5" t="s">
        <v>3</v>
      </c>
      <c r="H35" s="6" t="n">
        <v>206000</v>
      </c>
      <c r="J35" s="5" t="s">
        <v>19</v>
      </c>
      <c r="K35" s="6" t="n">
        <f aca="false">SUMIFS($H$5:$H$63,$F$5:$F$63,J35,$G$5:$G$63,"Corn")</f>
        <v>597600</v>
      </c>
      <c r="L35" s="6" t="n">
        <f aca="false">SUMIFS($H$5:$H$63,$F$5:$F$63,J35,$G$5:$G$63,"Soybean")</f>
        <v>0</v>
      </c>
      <c r="M35" s="6" t="n">
        <f aca="false">K35+L35</f>
        <v>597600</v>
      </c>
      <c r="N35" s="6" t="n">
        <f aca="false">COUNTIFS($F$5:$F$63,J35)</f>
        <v>4</v>
      </c>
    </row>
    <row r="36" customFormat="false" ht="15" hidden="false" customHeight="false" outlineLevel="0" collapsed="false">
      <c r="A36" s="11" t="n">
        <v>43376</v>
      </c>
      <c r="B36" s="11" t="n">
        <v>43391</v>
      </c>
      <c r="C36" s="11" t="n">
        <v>43384</v>
      </c>
      <c r="D36" s="5" t="s">
        <v>28</v>
      </c>
      <c r="E36" s="5" t="s">
        <v>13</v>
      </c>
      <c r="F36" s="5" t="s">
        <v>13</v>
      </c>
      <c r="G36" s="5" t="s">
        <v>3</v>
      </c>
      <c r="H36" s="6" t="n">
        <v>230000</v>
      </c>
      <c r="J36" s="5" t="s">
        <v>20</v>
      </c>
      <c r="K36" s="6" t="n">
        <f aca="false">SUMIFS($H$5:$H$63,$F$5:$F$63,J36,$G$5:$G$63,"Corn")</f>
        <v>558000</v>
      </c>
      <c r="L36" s="6" t="n">
        <f aca="false">SUMIFS($H$5:$H$63,$F$5:$F$63,J36,$G$5:$G$63,"Soybean")</f>
        <v>0</v>
      </c>
      <c r="M36" s="6" t="n">
        <f aca="false">K36+L36</f>
        <v>558000</v>
      </c>
      <c r="N36" s="6" t="n">
        <f aca="false">COUNTIFS($F$5:$F$63,J36)</f>
        <v>4</v>
      </c>
    </row>
    <row r="37" customFormat="false" ht="15" hidden="false" customHeight="false" outlineLevel="0" collapsed="false">
      <c r="A37" s="11" t="n">
        <v>43448</v>
      </c>
      <c r="B37" s="11" t="n">
        <v>43468</v>
      </c>
      <c r="C37" s="11" t="n">
        <v>43461</v>
      </c>
      <c r="D37" s="5" t="s">
        <v>28</v>
      </c>
      <c r="E37" s="5" t="s">
        <v>13</v>
      </c>
      <c r="F37" s="5" t="s">
        <v>13</v>
      </c>
      <c r="G37" s="5" t="s">
        <v>3</v>
      </c>
      <c r="H37" s="6" t="n">
        <v>125000</v>
      </c>
      <c r="J37" s="8" t="s">
        <v>24</v>
      </c>
      <c r="K37" s="9" t="n">
        <f aca="false">SUM(K25:K36)</f>
        <v>7884108</v>
      </c>
      <c r="L37" s="9" t="n">
        <f aca="false">SUM(L25:L36)</f>
        <v>0</v>
      </c>
      <c r="M37" s="9" t="n">
        <f aca="false">SUM(M25:M36)</f>
        <v>7884108</v>
      </c>
      <c r="N37" s="9" t="n">
        <f aca="false">SUM(N25:N36)</f>
        <v>59</v>
      </c>
    </row>
    <row r="38" customFormat="false" ht="15" hidden="false" customHeight="false" outlineLevel="0" collapsed="false">
      <c r="A38" s="11" t="n">
        <v>43857</v>
      </c>
      <c r="B38" s="11" t="n">
        <v>43874</v>
      </c>
      <c r="C38" s="11" t="n">
        <v>43867</v>
      </c>
      <c r="D38" s="5" t="s">
        <v>28</v>
      </c>
      <c r="E38" s="5" t="s">
        <v>15</v>
      </c>
      <c r="F38" s="5" t="s">
        <v>14</v>
      </c>
      <c r="G38" s="5" t="s">
        <v>3</v>
      </c>
      <c r="H38" s="6" t="n">
        <v>111252</v>
      </c>
    </row>
    <row r="39" customFormat="false" ht="15" hidden="false" customHeight="false" outlineLevel="0" collapsed="false">
      <c r="A39" s="11" t="n">
        <v>43896</v>
      </c>
      <c r="B39" s="11" t="n">
        <v>43916</v>
      </c>
      <c r="C39" s="11" t="n">
        <v>43909</v>
      </c>
      <c r="D39" s="5" t="s">
        <v>28</v>
      </c>
      <c r="E39" s="5" t="s">
        <v>14</v>
      </c>
      <c r="F39" s="5" t="s">
        <v>14</v>
      </c>
      <c r="G39" s="5" t="s">
        <v>3</v>
      </c>
      <c r="H39" s="6" t="n">
        <v>234688</v>
      </c>
    </row>
    <row r="40" customFormat="false" ht="15" hidden="false" customHeight="false" outlineLevel="0" collapsed="false">
      <c r="A40" s="11" t="n">
        <v>43921</v>
      </c>
      <c r="B40" s="11" t="n">
        <v>43937</v>
      </c>
      <c r="C40" s="11" t="n">
        <v>43930</v>
      </c>
      <c r="D40" s="5" t="s">
        <v>28</v>
      </c>
      <c r="E40" s="5" t="s">
        <v>14</v>
      </c>
      <c r="F40" s="5" t="s">
        <v>14</v>
      </c>
      <c r="G40" s="5" t="s">
        <v>3</v>
      </c>
      <c r="H40" s="6" t="n">
        <v>113000</v>
      </c>
    </row>
    <row r="41" customFormat="false" ht="15" hidden="false" customHeight="false" outlineLevel="0" collapsed="false">
      <c r="A41" s="11" t="n">
        <v>44068</v>
      </c>
      <c r="B41" s="11" t="n">
        <v>44084</v>
      </c>
      <c r="C41" s="11" t="n">
        <v>44077</v>
      </c>
      <c r="D41" s="5" t="s">
        <v>28</v>
      </c>
      <c r="E41" s="5" t="s">
        <v>15</v>
      </c>
      <c r="F41" s="5" t="s">
        <v>14</v>
      </c>
      <c r="G41" s="5" t="s">
        <v>3</v>
      </c>
      <c r="H41" s="6" t="n">
        <v>100000</v>
      </c>
    </row>
    <row r="42" customFormat="false" ht="15" hidden="false" customHeight="false" outlineLevel="0" collapsed="false">
      <c r="A42" s="11" t="n">
        <v>44088</v>
      </c>
      <c r="B42" s="11" t="n">
        <v>44105</v>
      </c>
      <c r="C42" s="11" t="n">
        <v>44098</v>
      </c>
      <c r="D42" s="5" t="s">
        <v>28</v>
      </c>
      <c r="E42" s="5" t="s">
        <v>15</v>
      </c>
      <c r="F42" s="5" t="s">
        <v>15</v>
      </c>
      <c r="G42" s="5" t="s">
        <v>3</v>
      </c>
      <c r="H42" s="6" t="n">
        <v>106000</v>
      </c>
    </row>
    <row r="43" customFormat="false" ht="15" hidden="false" customHeight="false" outlineLevel="0" collapsed="false">
      <c r="A43" s="11" t="n">
        <v>44102</v>
      </c>
      <c r="B43" s="11" t="n">
        <v>44119</v>
      </c>
      <c r="C43" s="11" t="n">
        <v>44112</v>
      </c>
      <c r="D43" s="5" t="s">
        <v>28</v>
      </c>
      <c r="E43" s="5" t="s">
        <v>15</v>
      </c>
      <c r="F43" s="5" t="s">
        <v>15</v>
      </c>
      <c r="G43" s="5" t="s">
        <v>3</v>
      </c>
      <c r="H43" s="6" t="n">
        <v>110800</v>
      </c>
    </row>
    <row r="44" customFormat="false" ht="15" hidden="false" customHeight="false" outlineLevel="0" collapsed="false">
      <c r="A44" s="11" t="n">
        <v>44215</v>
      </c>
      <c r="B44" s="11" t="n">
        <v>44231</v>
      </c>
      <c r="C44" s="11" t="n">
        <v>44224</v>
      </c>
      <c r="D44" s="5" t="s">
        <v>28</v>
      </c>
      <c r="E44" s="5" t="s">
        <v>15</v>
      </c>
      <c r="F44" s="5" t="s">
        <v>15</v>
      </c>
      <c r="G44" s="5" t="s">
        <v>3</v>
      </c>
      <c r="H44" s="6" t="n">
        <v>128000</v>
      </c>
    </row>
    <row r="45" customFormat="false" ht="15" hidden="false" customHeight="false" outlineLevel="0" collapsed="false">
      <c r="A45" s="11" t="n">
        <v>44228</v>
      </c>
      <c r="B45" s="11" t="n">
        <v>44245</v>
      </c>
      <c r="C45" s="11" t="n">
        <v>44238</v>
      </c>
      <c r="D45" s="5" t="s">
        <v>28</v>
      </c>
      <c r="E45" s="5" t="s">
        <v>15</v>
      </c>
      <c r="F45" s="5" t="s">
        <v>15</v>
      </c>
      <c r="G45" s="5" t="s">
        <v>3</v>
      </c>
      <c r="H45" s="6" t="n">
        <v>110000</v>
      </c>
    </row>
    <row r="46" customFormat="false" ht="15" hidden="false" customHeight="false" outlineLevel="0" collapsed="false">
      <c r="A46" s="11" t="n">
        <v>44257</v>
      </c>
      <c r="B46" s="11" t="n">
        <v>44273</v>
      </c>
      <c r="C46" s="11" t="n">
        <v>44266</v>
      </c>
      <c r="D46" s="5" t="s">
        <v>28</v>
      </c>
      <c r="E46" s="5" t="s">
        <v>16</v>
      </c>
      <c r="F46" s="5" t="s">
        <v>15</v>
      </c>
      <c r="G46" s="5" t="s">
        <v>3</v>
      </c>
      <c r="H46" s="6" t="n">
        <v>175000</v>
      </c>
    </row>
    <row r="47" customFormat="false" ht="15" hidden="false" customHeight="false" outlineLevel="0" collapsed="false">
      <c r="A47" s="11" t="n">
        <v>44280</v>
      </c>
      <c r="B47" s="11" t="n">
        <v>44294</v>
      </c>
      <c r="C47" s="11" t="n">
        <v>44287</v>
      </c>
      <c r="D47" s="5" t="s">
        <v>28</v>
      </c>
      <c r="E47" s="5" t="s">
        <v>15</v>
      </c>
      <c r="F47" s="5" t="s">
        <v>15</v>
      </c>
      <c r="G47" s="5" t="s">
        <v>3</v>
      </c>
      <c r="H47" s="6" t="n">
        <v>111000</v>
      </c>
    </row>
    <row r="48" customFormat="false" ht="15" hidden="false" customHeight="false" outlineLevel="0" collapsed="false">
      <c r="A48" s="11" t="n">
        <v>44603</v>
      </c>
      <c r="B48" s="11" t="n">
        <v>44623</v>
      </c>
      <c r="C48" s="11" t="n">
        <v>44616</v>
      </c>
      <c r="D48" s="5" t="s">
        <v>28</v>
      </c>
      <c r="E48" s="5" t="s">
        <v>16</v>
      </c>
      <c r="F48" s="5" t="s">
        <v>16</v>
      </c>
      <c r="G48" s="5" t="s">
        <v>3</v>
      </c>
      <c r="H48" s="6" t="n">
        <v>128000</v>
      </c>
    </row>
    <row r="49" customFormat="false" ht="15" hidden="false" customHeight="false" outlineLevel="0" collapsed="false">
      <c r="A49" s="11" t="n">
        <v>44922</v>
      </c>
      <c r="B49" s="11" t="n">
        <v>44938</v>
      </c>
      <c r="C49" s="11" t="n">
        <v>44931</v>
      </c>
      <c r="D49" s="5" t="s">
        <v>28</v>
      </c>
      <c r="E49" s="5" t="s">
        <v>17</v>
      </c>
      <c r="F49" s="5" t="s">
        <v>17</v>
      </c>
      <c r="G49" s="5" t="s">
        <v>3</v>
      </c>
      <c r="H49" s="6" t="n">
        <v>7500</v>
      </c>
    </row>
    <row r="50" customFormat="false" ht="15" hidden="false" customHeight="false" outlineLevel="0" collapsed="false">
      <c r="A50" s="11" t="n">
        <v>44922</v>
      </c>
      <c r="B50" s="11" t="n">
        <v>44938</v>
      </c>
      <c r="C50" s="11" t="n">
        <v>44931</v>
      </c>
      <c r="D50" s="5" t="s">
        <v>28</v>
      </c>
      <c r="E50" s="5" t="s">
        <v>18</v>
      </c>
      <c r="F50" s="5" t="s">
        <v>17</v>
      </c>
      <c r="G50" s="5" t="s">
        <v>3</v>
      </c>
      <c r="H50" s="6" t="n">
        <v>170000</v>
      </c>
    </row>
    <row r="51" customFormat="false" ht="15" hidden="false" customHeight="false" outlineLevel="0" collapsed="false">
      <c r="A51" s="11" t="n">
        <v>44956</v>
      </c>
      <c r="B51" s="11" t="n">
        <v>44973</v>
      </c>
      <c r="C51" s="11" t="n">
        <v>44966</v>
      </c>
      <c r="D51" s="5" t="s">
        <v>28</v>
      </c>
      <c r="E51" s="5" t="s">
        <v>17</v>
      </c>
      <c r="F51" s="5" t="s">
        <v>17</v>
      </c>
      <c r="G51" s="5" t="s">
        <v>3</v>
      </c>
      <c r="H51" s="6" t="n">
        <v>112000</v>
      </c>
    </row>
    <row r="52" customFormat="false" ht="15" hidden="false" customHeight="false" outlineLevel="0" collapsed="false">
      <c r="A52" s="11" t="n">
        <v>44963</v>
      </c>
      <c r="B52" s="11" t="n">
        <v>44980</v>
      </c>
      <c r="C52" s="11" t="n">
        <v>44973</v>
      </c>
      <c r="D52" s="5" t="s">
        <v>28</v>
      </c>
      <c r="E52" s="5" t="s">
        <v>17</v>
      </c>
      <c r="F52" s="5" t="s">
        <v>17</v>
      </c>
      <c r="G52" s="5" t="s">
        <v>3</v>
      </c>
      <c r="H52" s="6" t="n">
        <v>111800</v>
      </c>
    </row>
    <row r="53" customFormat="false" ht="15" hidden="false" customHeight="false" outlineLevel="0" collapsed="false">
      <c r="A53" s="11" t="n">
        <v>44991</v>
      </c>
      <c r="B53" s="11" t="n">
        <v>45008</v>
      </c>
      <c r="C53" s="11" t="n">
        <v>45001</v>
      </c>
      <c r="D53" s="5" t="s">
        <v>28</v>
      </c>
      <c r="E53" s="5" t="s">
        <v>17</v>
      </c>
      <c r="F53" s="5" t="s">
        <v>17</v>
      </c>
      <c r="G53" s="5" t="s">
        <v>3</v>
      </c>
      <c r="H53" s="6" t="n">
        <v>110000</v>
      </c>
    </row>
    <row r="54" customFormat="false" ht="15" hidden="false" customHeight="false" outlineLevel="0" collapsed="false">
      <c r="A54" s="11" t="n">
        <v>45245</v>
      </c>
      <c r="B54" s="11" t="n">
        <v>45260</v>
      </c>
      <c r="C54" s="11" t="n">
        <v>45253</v>
      </c>
      <c r="D54" s="5" t="s">
        <v>28</v>
      </c>
      <c r="E54" s="5" t="s">
        <v>18</v>
      </c>
      <c r="F54" s="5" t="s">
        <v>18</v>
      </c>
      <c r="G54" s="5" t="s">
        <v>3</v>
      </c>
      <c r="H54" s="6" t="n">
        <v>124000</v>
      </c>
    </row>
    <row r="55" customFormat="false" ht="15" hidden="false" customHeight="false" outlineLevel="0" collapsed="false">
      <c r="A55" s="11" t="n">
        <v>45342</v>
      </c>
      <c r="B55" s="11" t="n">
        <v>45358</v>
      </c>
      <c r="C55" s="11" t="n">
        <v>45351</v>
      </c>
      <c r="D55" s="5" t="s">
        <v>28</v>
      </c>
      <c r="E55" s="5" t="s">
        <v>19</v>
      </c>
      <c r="F55" s="5" t="s">
        <v>18</v>
      </c>
      <c r="G55" s="5" t="s">
        <v>3</v>
      </c>
      <c r="H55" s="6" t="n">
        <v>155000</v>
      </c>
    </row>
    <row r="56" customFormat="false" ht="15" hidden="false" customHeight="false" outlineLevel="0" collapsed="false">
      <c r="A56" s="11" t="n">
        <v>45589</v>
      </c>
      <c r="B56" s="11" t="n">
        <v>45603</v>
      </c>
      <c r="C56" s="11" t="n">
        <v>45596</v>
      </c>
      <c r="D56" s="5" t="s">
        <v>28</v>
      </c>
      <c r="E56" s="5" t="s">
        <v>19</v>
      </c>
      <c r="F56" s="5" t="s">
        <v>19</v>
      </c>
      <c r="G56" s="5" t="s">
        <v>3</v>
      </c>
      <c r="H56" s="6" t="n">
        <v>227600</v>
      </c>
    </row>
    <row r="57" customFormat="false" ht="15" hidden="false" customHeight="false" outlineLevel="0" collapsed="false">
      <c r="A57" s="11" t="n">
        <v>45593</v>
      </c>
      <c r="B57" s="11" t="n">
        <v>45610</v>
      </c>
      <c r="C57" s="11" t="n">
        <v>45603</v>
      </c>
      <c r="D57" s="5" t="s">
        <v>28</v>
      </c>
      <c r="E57" s="5" t="s">
        <v>19</v>
      </c>
      <c r="F57" s="5" t="s">
        <v>19</v>
      </c>
      <c r="G57" s="5" t="s">
        <v>3</v>
      </c>
      <c r="H57" s="6" t="n">
        <v>124000</v>
      </c>
    </row>
    <row r="58" customFormat="false" ht="15" hidden="false" customHeight="false" outlineLevel="0" collapsed="false">
      <c r="A58" s="11" t="n">
        <v>45726</v>
      </c>
      <c r="B58" s="11" t="n">
        <v>45743</v>
      </c>
      <c r="C58" s="11" t="n">
        <v>45736</v>
      </c>
      <c r="D58" s="5" t="s">
        <v>28</v>
      </c>
      <c r="E58" s="5" t="s">
        <v>19</v>
      </c>
      <c r="F58" s="5" t="s">
        <v>19</v>
      </c>
      <c r="G58" s="5" t="s">
        <v>3</v>
      </c>
      <c r="H58" s="6" t="n">
        <v>126000</v>
      </c>
    </row>
    <row r="59" customFormat="false" ht="15" hidden="false" customHeight="false" outlineLevel="0" collapsed="false">
      <c r="A59" s="11" t="n">
        <v>45761</v>
      </c>
      <c r="B59" s="11" t="n">
        <v>45778</v>
      </c>
      <c r="C59" s="11" t="n">
        <v>45771</v>
      </c>
      <c r="D59" s="5" t="s">
        <v>28</v>
      </c>
      <c r="E59" s="5" t="s">
        <v>19</v>
      </c>
      <c r="F59" s="5" t="s">
        <v>19</v>
      </c>
      <c r="G59" s="5" t="s">
        <v>3</v>
      </c>
      <c r="H59" s="6" t="n">
        <v>120000</v>
      </c>
    </row>
    <row r="60" customFormat="false" ht="15" hidden="false" customHeight="false" outlineLevel="0" collapsed="false">
      <c r="A60" s="11" t="n">
        <v>46037</v>
      </c>
      <c r="B60" s="11" t="n">
        <v>46051</v>
      </c>
      <c r="C60" s="11" t="n">
        <v>46044</v>
      </c>
      <c r="D60" s="5" t="s">
        <v>28</v>
      </c>
      <c r="E60" s="5" t="s">
        <v>20</v>
      </c>
      <c r="F60" s="5" t="s">
        <v>20</v>
      </c>
      <c r="G60" s="5" t="s">
        <v>3</v>
      </c>
      <c r="H60" s="6" t="n">
        <v>260000</v>
      </c>
    </row>
    <row r="61" customFormat="false" ht="15" hidden="false" customHeight="false" outlineLevel="0" collapsed="false">
      <c r="A61" s="11" t="n">
        <v>46038</v>
      </c>
      <c r="B61" s="11" t="n">
        <v>46058</v>
      </c>
      <c r="C61" s="11" t="n">
        <v>46051</v>
      </c>
      <c r="D61" s="5" t="s">
        <v>28</v>
      </c>
      <c r="E61" s="5" t="s">
        <v>20</v>
      </c>
      <c r="F61" s="5" t="s">
        <v>20</v>
      </c>
      <c r="G61" s="5" t="s">
        <v>3</v>
      </c>
      <c r="H61" s="6" t="n">
        <v>120000</v>
      </c>
    </row>
    <row r="62" customFormat="false" ht="15" hidden="false" customHeight="false" outlineLevel="0" collapsed="false">
      <c r="A62" s="11" t="n">
        <v>46079</v>
      </c>
      <c r="B62" s="11" t="n">
        <v>46093</v>
      </c>
      <c r="C62" s="11" t="n">
        <v>46086</v>
      </c>
      <c r="D62" s="5" t="s">
        <v>28</v>
      </c>
      <c r="E62" s="5" t="s">
        <v>21</v>
      </c>
      <c r="F62" s="5" t="s">
        <v>20</v>
      </c>
      <c r="G62" s="5" t="s">
        <v>3</v>
      </c>
      <c r="H62" s="6" t="n">
        <v>154000</v>
      </c>
    </row>
    <row r="63" customFormat="false" ht="15" hidden="false" customHeight="false" outlineLevel="0" collapsed="false">
      <c r="A63" s="11" t="n">
        <v>46079</v>
      </c>
      <c r="B63" s="11" t="n">
        <v>46093</v>
      </c>
      <c r="C63" s="11" t="n">
        <v>46086</v>
      </c>
      <c r="D63" s="5" t="s">
        <v>28</v>
      </c>
      <c r="E63" s="5" t="s">
        <v>22</v>
      </c>
      <c r="F63" s="5" t="s">
        <v>20</v>
      </c>
      <c r="G63" s="5" t="s">
        <v>3</v>
      </c>
      <c r="H63" s="6" t="n">
        <v>24000</v>
      </c>
    </row>
  </sheetData>
  <autoFilter ref="A4:H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9"/>
  </cols>
  <sheetData>
    <row r="1" customFormat="false" ht="16.1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J3" s="10" t="s">
        <v>2</v>
      </c>
    </row>
    <row r="4" customFormat="false" ht="30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</v>
      </c>
      <c r="E4" s="4" t="s">
        <v>48</v>
      </c>
      <c r="F4" s="4" t="s">
        <v>49</v>
      </c>
      <c r="G4" s="4" t="s">
        <v>50</v>
      </c>
      <c r="H4" s="4" t="s">
        <v>51</v>
      </c>
      <c r="J4" s="4" t="s">
        <v>52</v>
      </c>
      <c r="K4" s="4" t="s">
        <v>3</v>
      </c>
      <c r="L4" s="4" t="s">
        <v>40</v>
      </c>
      <c r="M4" s="4" t="s">
        <v>24</v>
      </c>
      <c r="N4" s="4" t="s">
        <v>53</v>
      </c>
    </row>
    <row r="5" customFormat="false" ht="15" hidden="false" customHeight="false" outlineLevel="0" collapsed="false">
      <c r="A5" s="11" t="n">
        <v>40730</v>
      </c>
      <c r="B5" s="11" t="n">
        <v>40745</v>
      </c>
      <c r="C5" s="11" t="n">
        <v>40738</v>
      </c>
      <c r="D5" s="5" t="s">
        <v>29</v>
      </c>
      <c r="E5" s="5" t="s">
        <v>6</v>
      </c>
      <c r="F5" s="5" t="s">
        <v>5</v>
      </c>
      <c r="G5" s="5" t="s">
        <v>3</v>
      </c>
      <c r="H5" s="6" t="n">
        <v>225000</v>
      </c>
      <c r="J5" s="5" t="s">
        <v>6</v>
      </c>
      <c r="K5" s="6" t="n">
        <f aca="false">SUMIFS($H$5:$H$48,$E$5:$E$48,J5,$G$5:$G$48,"Corn")</f>
        <v>357000</v>
      </c>
      <c r="L5" s="6" t="n">
        <f aca="false">SUMIFS($H$5:$H$48,$E$5:$E$48,J5,$G$5:$G$48,"Soybean")</f>
        <v>0</v>
      </c>
      <c r="M5" s="6" t="n">
        <f aca="false">K5+L5</f>
        <v>357000</v>
      </c>
      <c r="N5" s="6" t="n">
        <f aca="false">COUNTIFS($E$5:$E$48,J5)</f>
        <v>2</v>
      </c>
    </row>
    <row r="6" customFormat="false" ht="15" hidden="false" customHeight="false" outlineLevel="0" collapsed="false">
      <c r="A6" s="11" t="n">
        <v>40956</v>
      </c>
      <c r="B6" s="11" t="n">
        <v>40976</v>
      </c>
      <c r="C6" s="11" t="n">
        <v>40969</v>
      </c>
      <c r="D6" s="5" t="s">
        <v>29</v>
      </c>
      <c r="E6" s="5" t="s">
        <v>6</v>
      </c>
      <c r="F6" s="5" t="s">
        <v>6</v>
      </c>
      <c r="G6" s="5" t="s">
        <v>3</v>
      </c>
      <c r="H6" s="6" t="n">
        <v>132000</v>
      </c>
      <c r="J6" s="5" t="s">
        <v>8</v>
      </c>
      <c r="K6" s="6" t="n">
        <f aca="false">SUMIFS($H$5:$H$48,$E$5:$E$48,J6,$G$5:$G$48,"Corn")</f>
        <v>444000</v>
      </c>
      <c r="L6" s="6" t="n">
        <f aca="false">SUMIFS($H$5:$H$48,$E$5:$E$48,J6,$G$5:$G$48,"Soybean")</f>
        <v>0</v>
      </c>
      <c r="M6" s="6" t="n">
        <f aca="false">K6+L6</f>
        <v>444000</v>
      </c>
      <c r="N6" s="6" t="n">
        <f aca="false">COUNTIFS($E$5:$E$48,J6)</f>
        <v>3</v>
      </c>
    </row>
    <row r="7" customFormat="false" ht="15" hidden="false" customHeight="false" outlineLevel="0" collapsed="false">
      <c r="A7" s="11" t="n">
        <v>41578</v>
      </c>
      <c r="B7" s="11" t="n">
        <v>41592</v>
      </c>
      <c r="C7" s="11" t="n">
        <v>41585</v>
      </c>
      <c r="D7" s="5" t="s">
        <v>29</v>
      </c>
      <c r="E7" s="5" t="s">
        <v>8</v>
      </c>
      <c r="F7" s="5" t="s">
        <v>8</v>
      </c>
      <c r="G7" s="5" t="s">
        <v>3</v>
      </c>
      <c r="H7" s="6" t="n">
        <v>174000</v>
      </c>
      <c r="J7" s="5" t="s">
        <v>10</v>
      </c>
      <c r="K7" s="6" t="n">
        <f aca="false">SUMIFS($H$5:$H$48,$E$5:$E$48,J7,$G$5:$G$48,"Corn")</f>
        <v>197000</v>
      </c>
      <c r="L7" s="6" t="n">
        <f aca="false">SUMIFS($H$5:$H$48,$E$5:$E$48,J7,$G$5:$G$48,"Soybean")</f>
        <v>0</v>
      </c>
      <c r="M7" s="6" t="n">
        <f aca="false">K7+L7</f>
        <v>197000</v>
      </c>
      <c r="N7" s="6" t="n">
        <f aca="false">COUNTIFS($E$5:$E$48,J7)</f>
        <v>2</v>
      </c>
    </row>
    <row r="8" customFormat="false" ht="15" hidden="false" customHeight="false" outlineLevel="0" collapsed="false">
      <c r="A8" s="11" t="n">
        <v>41583</v>
      </c>
      <c r="B8" s="11" t="n">
        <v>41599</v>
      </c>
      <c r="C8" s="11" t="n">
        <v>41592</v>
      </c>
      <c r="D8" s="5" t="s">
        <v>29</v>
      </c>
      <c r="E8" s="5" t="s">
        <v>8</v>
      </c>
      <c r="F8" s="5" t="s">
        <v>8</v>
      </c>
      <c r="G8" s="5" t="s">
        <v>3</v>
      </c>
      <c r="H8" s="6" t="n">
        <v>140000</v>
      </c>
      <c r="J8" s="5" t="s">
        <v>11</v>
      </c>
      <c r="K8" s="6" t="n">
        <f aca="false">SUMIFS($H$5:$H$48,$E$5:$E$48,J8,$G$5:$G$48,"Corn")</f>
        <v>1081000</v>
      </c>
      <c r="L8" s="6" t="n">
        <f aca="false">SUMIFS($H$5:$H$48,$E$5:$E$48,J8,$G$5:$G$48,"Soybean")</f>
        <v>0</v>
      </c>
      <c r="M8" s="6" t="n">
        <f aca="false">K8+L8</f>
        <v>1081000</v>
      </c>
      <c r="N8" s="6" t="n">
        <f aca="false">COUNTIFS($E$5:$E$48,J8)</f>
        <v>6</v>
      </c>
    </row>
    <row r="9" customFormat="false" ht="15" hidden="false" customHeight="false" outlineLevel="0" collapsed="false">
      <c r="A9" s="11" t="n">
        <v>41627</v>
      </c>
      <c r="B9" s="11" t="n">
        <v>41641</v>
      </c>
      <c r="C9" s="11" t="n">
        <v>41634</v>
      </c>
      <c r="D9" s="5" t="s">
        <v>29</v>
      </c>
      <c r="E9" s="5" t="s">
        <v>8</v>
      </c>
      <c r="F9" s="5" t="s">
        <v>8</v>
      </c>
      <c r="G9" s="5" t="s">
        <v>3</v>
      </c>
      <c r="H9" s="6" t="n">
        <v>130000</v>
      </c>
      <c r="J9" s="5" t="s">
        <v>12</v>
      </c>
      <c r="K9" s="6" t="n">
        <f aca="false">SUMIFS($H$5:$H$48,$E$5:$E$48,J9,$G$5:$G$48,"Corn")</f>
        <v>613000</v>
      </c>
      <c r="L9" s="6" t="n">
        <f aca="false">SUMIFS($H$5:$H$48,$E$5:$E$48,J9,$G$5:$G$48,"Soybean")</f>
        <v>0</v>
      </c>
      <c r="M9" s="6" t="n">
        <f aca="false">K9+L9</f>
        <v>613000</v>
      </c>
      <c r="N9" s="6" t="n">
        <f aca="false">COUNTIFS($E$5:$E$48,J9)</f>
        <v>4</v>
      </c>
    </row>
    <row r="10" customFormat="false" ht="15" hidden="false" customHeight="false" outlineLevel="0" collapsed="false">
      <c r="A10" s="11" t="n">
        <v>42506</v>
      </c>
      <c r="B10" s="11" t="n">
        <v>42523</v>
      </c>
      <c r="C10" s="11" t="n">
        <v>42516</v>
      </c>
      <c r="D10" s="5" t="s">
        <v>29</v>
      </c>
      <c r="E10" s="5" t="s">
        <v>10</v>
      </c>
      <c r="F10" s="5" t="s">
        <v>10</v>
      </c>
      <c r="G10" s="5" t="s">
        <v>3</v>
      </c>
      <c r="H10" s="6" t="n">
        <v>128000</v>
      </c>
      <c r="J10" s="5" t="s">
        <v>13</v>
      </c>
      <c r="K10" s="6" t="n">
        <f aca="false">SUMIFS($H$5:$H$48,$E$5:$E$48,J10,$G$5:$G$48,"Corn")</f>
        <v>1087000</v>
      </c>
      <c r="L10" s="6" t="n">
        <f aca="false">SUMIFS($H$5:$H$48,$E$5:$E$48,J10,$G$5:$G$48,"Soybean")</f>
        <v>0</v>
      </c>
      <c r="M10" s="6" t="n">
        <f aca="false">K10+L10</f>
        <v>1087000</v>
      </c>
      <c r="N10" s="6" t="n">
        <f aca="false">COUNTIFS($E$5:$E$48,J10)</f>
        <v>7</v>
      </c>
    </row>
    <row r="11" customFormat="false" ht="15" hidden="false" customHeight="false" outlineLevel="0" collapsed="false">
      <c r="A11" s="11" t="n">
        <v>42544</v>
      </c>
      <c r="B11" s="11" t="n">
        <v>42558</v>
      </c>
      <c r="C11" s="11" t="n">
        <v>42551</v>
      </c>
      <c r="D11" s="5" t="s">
        <v>29</v>
      </c>
      <c r="E11" s="5" t="s">
        <v>10</v>
      </c>
      <c r="F11" s="5" t="s">
        <v>10</v>
      </c>
      <c r="G11" s="5" t="s">
        <v>3</v>
      </c>
      <c r="H11" s="6" t="n">
        <v>69000</v>
      </c>
      <c r="J11" s="5" t="s">
        <v>14</v>
      </c>
      <c r="K11" s="6" t="n">
        <f aca="false">SUMIFS($H$5:$H$48,$E$5:$E$48,J11,$G$5:$G$48,"Corn")</f>
        <v>530000</v>
      </c>
      <c r="L11" s="6" t="n">
        <f aca="false">SUMIFS($H$5:$H$48,$E$5:$E$48,J11,$G$5:$G$48,"Soybean")</f>
        <v>0</v>
      </c>
      <c r="M11" s="6" t="n">
        <f aca="false">K11+L11</f>
        <v>530000</v>
      </c>
      <c r="N11" s="6" t="n">
        <f aca="false">COUNTIFS($E$5:$E$48,J11)</f>
        <v>4</v>
      </c>
    </row>
    <row r="12" customFormat="false" ht="15" hidden="false" customHeight="false" outlineLevel="0" collapsed="false">
      <c r="A12" s="11" t="n">
        <v>42544</v>
      </c>
      <c r="B12" s="11" t="n">
        <v>42558</v>
      </c>
      <c r="C12" s="11" t="n">
        <v>42551</v>
      </c>
      <c r="D12" s="5" t="s">
        <v>29</v>
      </c>
      <c r="E12" s="5" t="s">
        <v>11</v>
      </c>
      <c r="F12" s="5" t="s">
        <v>10</v>
      </c>
      <c r="G12" s="5" t="s">
        <v>3</v>
      </c>
      <c r="H12" s="6" t="n">
        <v>69000</v>
      </c>
      <c r="J12" s="5" t="s">
        <v>15</v>
      </c>
      <c r="K12" s="6" t="n">
        <f aca="false">SUMIFS($H$5:$H$48,$E$5:$E$48,J12,$G$5:$G$48,"Corn")</f>
        <v>337000</v>
      </c>
      <c r="L12" s="6" t="n">
        <f aca="false">SUMIFS($H$5:$H$48,$E$5:$E$48,J12,$G$5:$G$48,"Soybean")</f>
        <v>0</v>
      </c>
      <c r="M12" s="6" t="n">
        <f aca="false">K12+L12</f>
        <v>337000</v>
      </c>
      <c r="N12" s="6" t="n">
        <f aca="false">COUNTIFS($E$5:$E$48,J12)</f>
        <v>2</v>
      </c>
    </row>
    <row r="13" customFormat="false" ht="15" hidden="false" customHeight="false" outlineLevel="0" collapsed="false">
      <c r="A13" s="11" t="n">
        <v>42677</v>
      </c>
      <c r="B13" s="11" t="n">
        <v>42691</v>
      </c>
      <c r="C13" s="11" t="n">
        <v>42684</v>
      </c>
      <c r="D13" s="5" t="s">
        <v>29</v>
      </c>
      <c r="E13" s="5" t="s">
        <v>11</v>
      </c>
      <c r="F13" s="5" t="s">
        <v>11</v>
      </c>
      <c r="G13" s="5" t="s">
        <v>3</v>
      </c>
      <c r="H13" s="6" t="n">
        <v>136000</v>
      </c>
      <c r="J13" s="5" t="s">
        <v>19</v>
      </c>
      <c r="K13" s="6" t="n">
        <f aca="false">SUMIFS($H$5:$H$48,$E$5:$E$48,J13,$G$5:$G$48,"Corn")</f>
        <v>394000</v>
      </c>
      <c r="L13" s="6" t="n">
        <f aca="false">SUMIFS($H$5:$H$48,$E$5:$E$48,J13,$G$5:$G$48,"Soybean")</f>
        <v>0</v>
      </c>
      <c r="M13" s="6" t="n">
        <f aca="false">K13+L13</f>
        <v>394000</v>
      </c>
      <c r="N13" s="6" t="n">
        <f aca="false">COUNTIFS($E$5:$E$48,J13)</f>
        <v>3</v>
      </c>
    </row>
    <row r="14" customFormat="false" ht="15" hidden="false" customHeight="false" outlineLevel="0" collapsed="false">
      <c r="A14" s="11" t="n">
        <v>42710</v>
      </c>
      <c r="B14" s="11" t="n">
        <v>42726</v>
      </c>
      <c r="C14" s="11" t="n">
        <v>42719</v>
      </c>
      <c r="D14" s="5" t="s">
        <v>29</v>
      </c>
      <c r="E14" s="5" t="s">
        <v>11</v>
      </c>
      <c r="F14" s="5" t="s">
        <v>11</v>
      </c>
      <c r="G14" s="5" t="s">
        <v>3</v>
      </c>
      <c r="H14" s="6" t="n">
        <v>276000</v>
      </c>
      <c r="J14" s="5" t="s">
        <v>20</v>
      </c>
      <c r="K14" s="6" t="n">
        <f aca="false">SUMIFS($H$5:$H$48,$E$5:$E$48,J14,$G$5:$G$48,"Corn")</f>
        <v>1631000</v>
      </c>
      <c r="L14" s="6" t="n">
        <f aca="false">SUMIFS($H$5:$H$48,$E$5:$E$48,J14,$G$5:$G$48,"Soybean")</f>
        <v>0</v>
      </c>
      <c r="M14" s="6" t="n">
        <f aca="false">K14+L14</f>
        <v>1631000</v>
      </c>
      <c r="N14" s="6" t="n">
        <f aca="false">COUNTIFS($E$5:$E$48,J14)</f>
        <v>11</v>
      </c>
    </row>
    <row r="15" customFormat="false" ht="15" hidden="false" customHeight="false" outlineLevel="0" collapsed="false">
      <c r="A15" s="11" t="n">
        <v>42712</v>
      </c>
      <c r="B15" s="11" t="n">
        <v>42726</v>
      </c>
      <c r="C15" s="11" t="n">
        <v>42719</v>
      </c>
      <c r="D15" s="5" t="s">
        <v>29</v>
      </c>
      <c r="E15" s="5" t="s">
        <v>11</v>
      </c>
      <c r="F15" s="5" t="s">
        <v>11</v>
      </c>
      <c r="G15" s="5" t="s">
        <v>3</v>
      </c>
      <c r="H15" s="6" t="n">
        <v>332000</v>
      </c>
      <c r="J15" s="8" t="s">
        <v>24</v>
      </c>
      <c r="K15" s="9" t="n">
        <f aca="false">SUM(K5:K14)</f>
        <v>6671000</v>
      </c>
      <c r="L15" s="9" t="n">
        <f aca="false">SUM(L5:L14)</f>
        <v>0</v>
      </c>
      <c r="M15" s="9" t="n">
        <f aca="false">SUM(M5:M14)</f>
        <v>6671000</v>
      </c>
      <c r="N15" s="9" t="n">
        <f aca="false">SUM(N5:N14)</f>
        <v>44</v>
      </c>
    </row>
    <row r="16" customFormat="false" ht="15" hidden="false" customHeight="false" outlineLevel="0" collapsed="false">
      <c r="A16" s="11" t="n">
        <v>42788</v>
      </c>
      <c r="B16" s="11" t="n">
        <v>42803</v>
      </c>
      <c r="C16" s="11" t="n">
        <v>42796</v>
      </c>
      <c r="D16" s="5" t="s">
        <v>29</v>
      </c>
      <c r="E16" s="5" t="s">
        <v>11</v>
      </c>
      <c r="F16" s="5" t="s">
        <v>11</v>
      </c>
      <c r="G16" s="5" t="s">
        <v>3</v>
      </c>
      <c r="H16" s="6" t="n">
        <v>136000</v>
      </c>
    </row>
    <row r="17" customFormat="false" ht="15" hidden="false" customHeight="false" outlineLevel="0" collapsed="false">
      <c r="A17" s="11" t="n">
        <v>42814</v>
      </c>
      <c r="B17" s="11" t="n">
        <v>42831</v>
      </c>
      <c r="C17" s="11" t="n">
        <v>42824</v>
      </c>
      <c r="D17" s="5" t="s">
        <v>29</v>
      </c>
      <c r="E17" s="5" t="s">
        <v>11</v>
      </c>
      <c r="F17" s="5" t="s">
        <v>11</v>
      </c>
      <c r="G17" s="5" t="s">
        <v>3</v>
      </c>
      <c r="H17" s="6" t="n">
        <v>132000</v>
      </c>
    </row>
    <row r="18" customFormat="false" ht="15" hidden="false" customHeight="false" outlineLevel="0" collapsed="false">
      <c r="A18" s="11" t="n">
        <v>43042</v>
      </c>
      <c r="B18" s="11" t="n">
        <v>43062</v>
      </c>
      <c r="C18" s="11" t="n">
        <v>43055</v>
      </c>
      <c r="D18" s="5" t="s">
        <v>29</v>
      </c>
      <c r="E18" s="5" t="s">
        <v>12</v>
      </c>
      <c r="F18" s="5" t="s">
        <v>12</v>
      </c>
      <c r="G18" s="5" t="s">
        <v>3</v>
      </c>
      <c r="H18" s="6" t="n">
        <v>135000</v>
      </c>
      <c r="J18" s="10" t="s">
        <v>42</v>
      </c>
    </row>
    <row r="19" customFormat="false" ht="15" hidden="false" customHeight="false" outlineLevel="0" collapsed="false">
      <c r="A19" s="11" t="n">
        <v>43136</v>
      </c>
      <c r="B19" s="11" t="n">
        <v>43153</v>
      </c>
      <c r="C19" s="11" t="n">
        <v>43146</v>
      </c>
      <c r="D19" s="5" t="s">
        <v>29</v>
      </c>
      <c r="E19" s="5" t="s">
        <v>12</v>
      </c>
      <c r="F19" s="5" t="s">
        <v>12</v>
      </c>
      <c r="G19" s="5" t="s">
        <v>3</v>
      </c>
      <c r="H19" s="6" t="n">
        <v>130000</v>
      </c>
      <c r="J19" s="4" t="s">
        <v>54</v>
      </c>
      <c r="K19" s="4" t="s">
        <v>3</v>
      </c>
      <c r="L19" s="4" t="s">
        <v>40</v>
      </c>
      <c r="M19" s="4" t="s">
        <v>24</v>
      </c>
      <c r="N19" s="4" t="s">
        <v>53</v>
      </c>
    </row>
    <row r="20" customFormat="false" ht="15" hidden="false" customHeight="false" outlineLevel="0" collapsed="false">
      <c r="A20" s="11" t="n">
        <v>43172</v>
      </c>
      <c r="B20" s="11" t="n">
        <v>43188</v>
      </c>
      <c r="C20" s="11" t="n">
        <v>43181</v>
      </c>
      <c r="D20" s="5" t="s">
        <v>29</v>
      </c>
      <c r="E20" s="5" t="s">
        <v>12</v>
      </c>
      <c r="F20" s="5" t="s">
        <v>12</v>
      </c>
      <c r="G20" s="5" t="s">
        <v>3</v>
      </c>
      <c r="H20" s="6" t="n">
        <v>210000</v>
      </c>
      <c r="J20" s="5" t="s">
        <v>5</v>
      </c>
      <c r="K20" s="6" t="n">
        <f aca="false">SUMIFS($H$5:$H$48,$F$5:$F$48,J20,$G$5:$G$48,"Corn")</f>
        <v>225000</v>
      </c>
      <c r="L20" s="6" t="n">
        <f aca="false">SUMIFS($H$5:$H$48,$F$5:$F$48,J20,$G$5:$G$48,"Soybean")</f>
        <v>0</v>
      </c>
      <c r="M20" s="6" t="n">
        <f aca="false">K20+L20</f>
        <v>225000</v>
      </c>
      <c r="N20" s="6" t="n">
        <f aca="false">COUNTIFS($F$5:$F$48,J20)</f>
        <v>1</v>
      </c>
    </row>
    <row r="21" customFormat="false" ht="15" hidden="false" customHeight="false" outlineLevel="0" collapsed="false">
      <c r="A21" s="11" t="n">
        <v>43180</v>
      </c>
      <c r="B21" s="11" t="n">
        <v>43195</v>
      </c>
      <c r="C21" s="11" t="n">
        <v>43188</v>
      </c>
      <c r="D21" s="5" t="s">
        <v>29</v>
      </c>
      <c r="E21" s="5" t="s">
        <v>12</v>
      </c>
      <c r="F21" s="5" t="s">
        <v>12</v>
      </c>
      <c r="G21" s="5" t="s">
        <v>3</v>
      </c>
      <c r="H21" s="6" t="n">
        <v>138000</v>
      </c>
      <c r="J21" s="5" t="s">
        <v>6</v>
      </c>
      <c r="K21" s="6" t="n">
        <f aca="false">SUMIFS($H$5:$H$48,$F$5:$F$48,J21,$G$5:$G$48,"Corn")</f>
        <v>132000</v>
      </c>
      <c r="L21" s="6" t="n">
        <f aca="false">SUMIFS($H$5:$H$48,$F$5:$F$48,J21,$G$5:$G$48,"Soybean")</f>
        <v>0</v>
      </c>
      <c r="M21" s="6" t="n">
        <f aca="false">K21+L21</f>
        <v>132000</v>
      </c>
      <c r="N21" s="6" t="n">
        <f aca="false">COUNTIFS($F$5:$F$48,J21)</f>
        <v>1</v>
      </c>
    </row>
    <row r="22" customFormat="false" ht="15" hidden="false" customHeight="false" outlineLevel="0" collapsed="false">
      <c r="A22" s="11" t="n">
        <v>43286</v>
      </c>
      <c r="B22" s="11" t="n">
        <v>43300</v>
      </c>
      <c r="C22" s="11" t="n">
        <v>43293</v>
      </c>
      <c r="D22" s="5" t="s">
        <v>29</v>
      </c>
      <c r="E22" s="5" t="s">
        <v>13</v>
      </c>
      <c r="F22" s="5" t="s">
        <v>12</v>
      </c>
      <c r="G22" s="5" t="s">
        <v>3</v>
      </c>
      <c r="H22" s="6" t="n">
        <v>137000</v>
      </c>
      <c r="J22" s="5" t="s">
        <v>8</v>
      </c>
      <c r="K22" s="6" t="n">
        <f aca="false">SUMIFS($H$5:$H$48,$F$5:$F$48,J22,$G$5:$G$48,"Corn")</f>
        <v>444000</v>
      </c>
      <c r="L22" s="6" t="n">
        <f aca="false">SUMIFS($H$5:$H$48,$F$5:$F$48,J22,$G$5:$G$48,"Soybean")</f>
        <v>0</v>
      </c>
      <c r="M22" s="6" t="n">
        <f aca="false">K22+L22</f>
        <v>444000</v>
      </c>
      <c r="N22" s="6" t="n">
        <f aca="false">COUNTIFS($F$5:$F$48,J22)</f>
        <v>3</v>
      </c>
    </row>
    <row r="23" customFormat="false" ht="15" hidden="false" customHeight="false" outlineLevel="0" collapsed="false">
      <c r="A23" s="11" t="n">
        <v>43354</v>
      </c>
      <c r="B23" s="11" t="n">
        <v>43370</v>
      </c>
      <c r="C23" s="11" t="n">
        <v>43363</v>
      </c>
      <c r="D23" s="5" t="s">
        <v>29</v>
      </c>
      <c r="E23" s="5" t="s">
        <v>13</v>
      </c>
      <c r="F23" s="5" t="s">
        <v>13</v>
      </c>
      <c r="G23" s="5" t="s">
        <v>3</v>
      </c>
      <c r="H23" s="6" t="n">
        <v>138000</v>
      </c>
      <c r="J23" s="5" t="s">
        <v>10</v>
      </c>
      <c r="K23" s="6" t="n">
        <f aca="false">SUMIFS($H$5:$H$48,$F$5:$F$48,J23,$G$5:$G$48,"Corn")</f>
        <v>266000</v>
      </c>
      <c r="L23" s="6" t="n">
        <f aca="false">SUMIFS($H$5:$H$48,$F$5:$F$48,J23,$G$5:$G$48,"Soybean")</f>
        <v>0</v>
      </c>
      <c r="M23" s="6" t="n">
        <f aca="false">K23+L23</f>
        <v>266000</v>
      </c>
      <c r="N23" s="6" t="n">
        <f aca="false">COUNTIFS($F$5:$F$48,J23)</f>
        <v>3</v>
      </c>
    </row>
    <row r="24" customFormat="false" ht="15" hidden="false" customHeight="false" outlineLevel="0" collapsed="false">
      <c r="A24" s="11" t="n">
        <v>43423</v>
      </c>
      <c r="B24" s="11" t="n">
        <v>43440</v>
      </c>
      <c r="C24" s="11" t="n">
        <v>43433</v>
      </c>
      <c r="D24" s="5" t="s">
        <v>29</v>
      </c>
      <c r="E24" s="5" t="s">
        <v>13</v>
      </c>
      <c r="F24" s="5" t="s">
        <v>13</v>
      </c>
      <c r="G24" s="5" t="s">
        <v>3</v>
      </c>
      <c r="H24" s="6" t="n">
        <v>276000</v>
      </c>
      <c r="J24" s="5" t="s">
        <v>11</v>
      </c>
      <c r="K24" s="6" t="n">
        <f aca="false">SUMIFS($H$5:$H$48,$F$5:$F$48,J24,$G$5:$G$48,"Corn")</f>
        <v>1012000</v>
      </c>
      <c r="L24" s="6" t="n">
        <f aca="false">SUMIFS($H$5:$H$48,$F$5:$F$48,J24,$G$5:$G$48,"Soybean")</f>
        <v>0</v>
      </c>
      <c r="M24" s="6" t="n">
        <f aca="false">K24+L24</f>
        <v>1012000</v>
      </c>
      <c r="N24" s="6" t="n">
        <f aca="false">COUNTIFS($F$5:$F$48,J24)</f>
        <v>5</v>
      </c>
    </row>
    <row r="25" customFormat="false" ht="15" hidden="false" customHeight="false" outlineLevel="0" collapsed="false">
      <c r="A25" s="11" t="n">
        <v>43427</v>
      </c>
      <c r="B25" s="11" t="n">
        <v>43447</v>
      </c>
      <c r="C25" s="11" t="n">
        <v>43440</v>
      </c>
      <c r="D25" s="5" t="s">
        <v>29</v>
      </c>
      <c r="E25" s="5" t="s">
        <v>13</v>
      </c>
      <c r="F25" s="5" t="s">
        <v>13</v>
      </c>
      <c r="G25" s="5" t="s">
        <v>3</v>
      </c>
      <c r="H25" s="6" t="n">
        <v>132000</v>
      </c>
      <c r="J25" s="5" t="s">
        <v>12</v>
      </c>
      <c r="K25" s="6" t="n">
        <f aca="false">SUMIFS($H$5:$H$48,$F$5:$F$48,J25,$G$5:$G$48,"Corn")</f>
        <v>750000</v>
      </c>
      <c r="L25" s="6" t="n">
        <f aca="false">SUMIFS($H$5:$H$48,$F$5:$F$48,J25,$G$5:$G$48,"Soybean")</f>
        <v>0</v>
      </c>
      <c r="M25" s="6" t="n">
        <f aca="false">K25+L25</f>
        <v>750000</v>
      </c>
      <c r="N25" s="6" t="n">
        <f aca="false">COUNTIFS($F$5:$F$48,J25)</f>
        <v>5</v>
      </c>
    </row>
    <row r="26" customFormat="false" ht="15" hidden="false" customHeight="false" outlineLevel="0" collapsed="false">
      <c r="A26" s="11" t="n">
        <v>43494</v>
      </c>
      <c r="B26" s="11" t="n">
        <v>43510</v>
      </c>
      <c r="C26" s="11" t="n">
        <v>43503</v>
      </c>
      <c r="D26" s="5" t="s">
        <v>29</v>
      </c>
      <c r="E26" s="5" t="s">
        <v>13</v>
      </c>
      <c r="F26" s="5" t="s">
        <v>13</v>
      </c>
      <c r="G26" s="5" t="s">
        <v>3</v>
      </c>
      <c r="H26" s="6" t="n">
        <v>138000</v>
      </c>
      <c r="J26" s="5" t="s">
        <v>13</v>
      </c>
      <c r="K26" s="6" t="n">
        <f aca="false">SUMIFS($H$5:$H$48,$F$5:$F$48,J26,$G$5:$G$48,"Corn")</f>
        <v>950000</v>
      </c>
      <c r="L26" s="6" t="n">
        <f aca="false">SUMIFS($H$5:$H$48,$F$5:$F$48,J26,$G$5:$G$48,"Soybean")</f>
        <v>0</v>
      </c>
      <c r="M26" s="6" t="n">
        <f aca="false">K26+L26</f>
        <v>950000</v>
      </c>
      <c r="N26" s="6" t="n">
        <f aca="false">COUNTIFS($F$5:$F$48,J26)</f>
        <v>6</v>
      </c>
    </row>
    <row r="27" customFormat="false" ht="15" hidden="false" customHeight="false" outlineLevel="0" collapsed="false">
      <c r="A27" s="11" t="n">
        <v>43524</v>
      </c>
      <c r="B27" s="11" t="n">
        <v>43538</v>
      </c>
      <c r="C27" s="11" t="n">
        <v>43531</v>
      </c>
      <c r="D27" s="5" t="s">
        <v>29</v>
      </c>
      <c r="E27" s="5" t="s">
        <v>13</v>
      </c>
      <c r="F27" s="5" t="s">
        <v>13</v>
      </c>
      <c r="G27" s="5" t="s">
        <v>3</v>
      </c>
      <c r="H27" s="6" t="n">
        <v>133000</v>
      </c>
      <c r="J27" s="5" t="s">
        <v>14</v>
      </c>
      <c r="K27" s="6" t="n">
        <f aca="false">SUMIFS($H$5:$H$48,$F$5:$F$48,J27,$G$5:$G$48,"Corn")</f>
        <v>530000</v>
      </c>
      <c r="L27" s="6" t="n">
        <f aca="false">SUMIFS($H$5:$H$48,$F$5:$F$48,J27,$G$5:$G$48,"Soybean")</f>
        <v>0</v>
      </c>
      <c r="M27" s="6" t="n">
        <f aca="false">K27+L27</f>
        <v>530000</v>
      </c>
      <c r="N27" s="6" t="n">
        <f aca="false">COUNTIFS($F$5:$F$48,J27)</f>
        <v>4</v>
      </c>
    </row>
    <row r="28" customFormat="false" ht="15" hidden="false" customHeight="false" outlineLevel="0" collapsed="false">
      <c r="A28" s="11" t="n">
        <v>43529</v>
      </c>
      <c r="B28" s="11" t="n">
        <v>43545</v>
      </c>
      <c r="C28" s="11" t="n">
        <v>43538</v>
      </c>
      <c r="D28" s="5" t="s">
        <v>29</v>
      </c>
      <c r="E28" s="5" t="s">
        <v>13</v>
      </c>
      <c r="F28" s="5" t="s">
        <v>13</v>
      </c>
      <c r="G28" s="5" t="s">
        <v>3</v>
      </c>
      <c r="H28" s="6" t="n">
        <v>133000</v>
      </c>
      <c r="J28" s="5" t="s">
        <v>15</v>
      </c>
      <c r="K28" s="6" t="n">
        <f aca="false">SUMIFS($H$5:$H$48,$F$5:$F$48,J28,$G$5:$G$48,"Corn")</f>
        <v>337000</v>
      </c>
      <c r="L28" s="6" t="n">
        <f aca="false">SUMIFS($H$5:$H$48,$F$5:$F$48,J28,$G$5:$G$48,"Soybean")</f>
        <v>0</v>
      </c>
      <c r="M28" s="6" t="n">
        <f aca="false">K28+L28</f>
        <v>337000</v>
      </c>
      <c r="N28" s="6" t="n">
        <f aca="false">COUNTIFS($F$5:$F$48,J28)</f>
        <v>2</v>
      </c>
    </row>
    <row r="29" customFormat="false" ht="15" hidden="false" customHeight="false" outlineLevel="0" collapsed="false">
      <c r="A29" s="11" t="n">
        <v>43843</v>
      </c>
      <c r="B29" s="11" t="n">
        <v>43860</v>
      </c>
      <c r="C29" s="11" t="n">
        <v>43853</v>
      </c>
      <c r="D29" s="5" t="s">
        <v>29</v>
      </c>
      <c r="E29" s="5" t="s">
        <v>14</v>
      </c>
      <c r="F29" s="5" t="s">
        <v>14</v>
      </c>
      <c r="G29" s="5" t="s">
        <v>3</v>
      </c>
      <c r="H29" s="6" t="n">
        <v>137000</v>
      </c>
      <c r="J29" s="5" t="s">
        <v>19</v>
      </c>
      <c r="K29" s="6" t="n">
        <f aca="false">SUMIFS($H$5:$H$48,$F$5:$F$48,J29,$G$5:$G$48,"Corn")</f>
        <v>945000</v>
      </c>
      <c r="L29" s="6" t="n">
        <f aca="false">SUMIFS($H$5:$H$48,$F$5:$F$48,J29,$G$5:$G$48,"Soybean")</f>
        <v>0</v>
      </c>
      <c r="M29" s="6" t="n">
        <f aca="false">K29+L29</f>
        <v>945000</v>
      </c>
      <c r="N29" s="6" t="n">
        <f aca="false">COUNTIFS($F$5:$F$48,J29)</f>
        <v>7</v>
      </c>
    </row>
    <row r="30" customFormat="false" ht="15" hidden="false" customHeight="false" outlineLevel="0" collapsed="false">
      <c r="A30" s="11" t="n">
        <v>43861</v>
      </c>
      <c r="B30" s="11" t="n">
        <v>43881</v>
      </c>
      <c r="C30" s="11" t="n">
        <v>43874</v>
      </c>
      <c r="D30" s="5" t="s">
        <v>29</v>
      </c>
      <c r="E30" s="5" t="s">
        <v>14</v>
      </c>
      <c r="F30" s="5" t="s">
        <v>14</v>
      </c>
      <c r="G30" s="5" t="s">
        <v>3</v>
      </c>
      <c r="H30" s="6" t="n">
        <v>134000</v>
      </c>
      <c r="J30" s="5" t="s">
        <v>20</v>
      </c>
      <c r="K30" s="6" t="n">
        <f aca="false">SUMIFS($H$5:$H$48,$F$5:$F$48,J30,$G$5:$G$48,"Corn")</f>
        <v>1080000</v>
      </c>
      <c r="L30" s="6" t="n">
        <f aca="false">SUMIFS($H$5:$H$48,$F$5:$F$48,J30,$G$5:$G$48,"Soybean")</f>
        <v>0</v>
      </c>
      <c r="M30" s="6" t="n">
        <f aca="false">K30+L30</f>
        <v>1080000</v>
      </c>
      <c r="N30" s="6" t="n">
        <f aca="false">COUNTIFS($F$5:$F$48,J30)</f>
        <v>7</v>
      </c>
    </row>
    <row r="31" customFormat="false" ht="15" hidden="false" customHeight="false" outlineLevel="0" collapsed="false">
      <c r="A31" s="11" t="n">
        <v>43887</v>
      </c>
      <c r="B31" s="11" t="n">
        <v>43902</v>
      </c>
      <c r="C31" s="11" t="n">
        <v>43895</v>
      </c>
      <c r="D31" s="5" t="s">
        <v>29</v>
      </c>
      <c r="E31" s="5" t="s">
        <v>14</v>
      </c>
      <c r="F31" s="5" t="s">
        <v>14</v>
      </c>
      <c r="G31" s="5" t="s">
        <v>3</v>
      </c>
      <c r="H31" s="6" t="n">
        <v>123000</v>
      </c>
      <c r="J31" s="8" t="s">
        <v>24</v>
      </c>
      <c r="K31" s="9" t="n">
        <f aca="false">SUM(K20:K30)</f>
        <v>6671000</v>
      </c>
      <c r="L31" s="9" t="n">
        <f aca="false">SUM(L20:L30)</f>
        <v>0</v>
      </c>
      <c r="M31" s="9" t="n">
        <f aca="false">SUM(M20:M30)</f>
        <v>6671000</v>
      </c>
      <c r="N31" s="9" t="n">
        <f aca="false">SUM(N20:N30)</f>
        <v>44</v>
      </c>
    </row>
    <row r="32" customFormat="false" ht="15" hidden="false" customHeight="false" outlineLevel="0" collapsed="false">
      <c r="A32" s="11" t="n">
        <v>43903</v>
      </c>
      <c r="B32" s="11" t="n">
        <v>43923</v>
      </c>
      <c r="C32" s="11" t="n">
        <v>43916</v>
      </c>
      <c r="D32" s="5" t="s">
        <v>29</v>
      </c>
      <c r="E32" s="5" t="s">
        <v>14</v>
      </c>
      <c r="F32" s="5" t="s">
        <v>14</v>
      </c>
      <c r="G32" s="5" t="s">
        <v>3</v>
      </c>
      <c r="H32" s="6" t="n">
        <v>136000</v>
      </c>
    </row>
    <row r="33" customFormat="false" ht="15" hidden="false" customHeight="false" outlineLevel="0" collapsed="false">
      <c r="A33" s="11" t="n">
        <v>44132</v>
      </c>
      <c r="B33" s="11" t="n">
        <v>44147</v>
      </c>
      <c r="C33" s="11" t="n">
        <v>44140</v>
      </c>
      <c r="D33" s="5" t="s">
        <v>29</v>
      </c>
      <c r="E33" s="5" t="s">
        <v>15</v>
      </c>
      <c r="F33" s="5" t="s">
        <v>15</v>
      </c>
      <c r="G33" s="5" t="s">
        <v>3</v>
      </c>
      <c r="H33" s="6" t="n">
        <v>207000</v>
      </c>
    </row>
    <row r="34" customFormat="false" ht="15" hidden="false" customHeight="false" outlineLevel="0" collapsed="false">
      <c r="A34" s="11" t="n">
        <v>44145</v>
      </c>
      <c r="B34" s="11" t="n">
        <v>44161</v>
      </c>
      <c r="C34" s="11" t="n">
        <v>44154</v>
      </c>
      <c r="D34" s="5" t="s">
        <v>29</v>
      </c>
      <c r="E34" s="5" t="s">
        <v>15</v>
      </c>
      <c r="F34" s="5" t="s">
        <v>15</v>
      </c>
      <c r="G34" s="5" t="s">
        <v>3</v>
      </c>
      <c r="H34" s="6" t="n">
        <v>130000</v>
      </c>
    </row>
    <row r="35" customFormat="false" ht="15" hidden="false" customHeight="false" outlineLevel="0" collapsed="false">
      <c r="A35" s="11" t="n">
        <v>45586</v>
      </c>
      <c r="B35" s="11" t="n">
        <v>45603</v>
      </c>
      <c r="C35" s="11" t="n">
        <v>45596</v>
      </c>
      <c r="D35" s="5" t="s">
        <v>29</v>
      </c>
      <c r="E35" s="5" t="s">
        <v>19</v>
      </c>
      <c r="F35" s="5" t="s">
        <v>19</v>
      </c>
      <c r="G35" s="5" t="s">
        <v>3</v>
      </c>
      <c r="H35" s="6" t="n">
        <v>130000</v>
      </c>
    </row>
    <row r="36" customFormat="false" ht="15" hidden="false" customHeight="false" outlineLevel="0" collapsed="false">
      <c r="A36" s="11" t="n">
        <v>45685</v>
      </c>
      <c r="B36" s="11" t="n">
        <v>45701</v>
      </c>
      <c r="C36" s="11" t="n">
        <v>45694</v>
      </c>
      <c r="D36" s="5" t="s">
        <v>29</v>
      </c>
      <c r="E36" s="5" t="s">
        <v>19</v>
      </c>
      <c r="F36" s="5" t="s">
        <v>19</v>
      </c>
      <c r="G36" s="5" t="s">
        <v>3</v>
      </c>
      <c r="H36" s="6" t="n">
        <v>132000</v>
      </c>
    </row>
    <row r="37" customFormat="false" ht="15" hidden="false" customHeight="false" outlineLevel="0" collapsed="false">
      <c r="A37" s="11" t="n">
        <v>45692</v>
      </c>
      <c r="B37" s="11" t="n">
        <v>45708</v>
      </c>
      <c r="C37" s="11" t="n">
        <v>45701</v>
      </c>
      <c r="D37" s="5" t="s">
        <v>29</v>
      </c>
      <c r="E37" s="5" t="s">
        <v>19</v>
      </c>
      <c r="F37" s="5" t="s">
        <v>19</v>
      </c>
      <c r="G37" s="5" t="s">
        <v>3</v>
      </c>
      <c r="H37" s="6" t="n">
        <v>132000</v>
      </c>
    </row>
    <row r="38" customFormat="false" ht="15" hidden="false" customHeight="false" outlineLevel="0" collapsed="false">
      <c r="A38" s="11" t="n">
        <v>45862</v>
      </c>
      <c r="B38" s="11" t="n">
        <v>45876</v>
      </c>
      <c r="C38" s="11" t="n">
        <v>45869</v>
      </c>
      <c r="D38" s="5" t="s">
        <v>29</v>
      </c>
      <c r="E38" s="5" t="s">
        <v>20</v>
      </c>
      <c r="F38" s="5" t="s">
        <v>19</v>
      </c>
      <c r="G38" s="5" t="s">
        <v>3</v>
      </c>
      <c r="H38" s="6" t="n">
        <v>135000</v>
      </c>
    </row>
    <row r="39" customFormat="false" ht="15" hidden="false" customHeight="false" outlineLevel="0" collapsed="false">
      <c r="A39" s="11" t="n">
        <v>45863</v>
      </c>
      <c r="B39" s="11" t="n">
        <v>45883</v>
      </c>
      <c r="C39" s="11" t="n">
        <v>45876</v>
      </c>
      <c r="D39" s="5" t="s">
        <v>29</v>
      </c>
      <c r="E39" s="5" t="s">
        <v>20</v>
      </c>
      <c r="F39" s="5" t="s">
        <v>19</v>
      </c>
      <c r="G39" s="5" t="s">
        <v>3</v>
      </c>
      <c r="H39" s="6" t="n">
        <v>140000</v>
      </c>
    </row>
    <row r="40" customFormat="false" ht="15" hidden="false" customHeight="false" outlineLevel="0" collapsed="false">
      <c r="A40" s="11" t="n">
        <v>45869</v>
      </c>
      <c r="B40" s="11" t="n">
        <v>45883</v>
      </c>
      <c r="C40" s="11" t="n">
        <v>45876</v>
      </c>
      <c r="D40" s="5" t="s">
        <v>29</v>
      </c>
      <c r="E40" s="5" t="s">
        <v>20</v>
      </c>
      <c r="F40" s="5" t="s">
        <v>19</v>
      </c>
      <c r="G40" s="5" t="s">
        <v>3</v>
      </c>
      <c r="H40" s="6" t="n">
        <v>140000</v>
      </c>
    </row>
    <row r="41" customFormat="false" ht="15" hidden="false" customHeight="false" outlineLevel="0" collapsed="false">
      <c r="A41" s="11" t="n">
        <v>45883</v>
      </c>
      <c r="B41" s="11" t="n">
        <v>45897</v>
      </c>
      <c r="C41" s="11" t="n">
        <v>45890</v>
      </c>
      <c r="D41" s="5" t="s">
        <v>29</v>
      </c>
      <c r="E41" s="5" t="s">
        <v>20</v>
      </c>
      <c r="F41" s="5" t="s">
        <v>19</v>
      </c>
      <c r="G41" s="5" t="s">
        <v>3</v>
      </c>
      <c r="H41" s="6" t="n">
        <v>136000</v>
      </c>
    </row>
    <row r="42" customFormat="false" ht="15" hidden="false" customHeight="false" outlineLevel="0" collapsed="false">
      <c r="A42" s="11" t="n">
        <v>45931</v>
      </c>
      <c r="B42" s="11" t="n">
        <v>45946</v>
      </c>
      <c r="C42" s="11" t="n">
        <v>45939</v>
      </c>
      <c r="D42" s="5" t="s">
        <v>29</v>
      </c>
      <c r="E42" s="5" t="s">
        <v>20</v>
      </c>
      <c r="F42" s="5" t="s">
        <v>20</v>
      </c>
      <c r="G42" s="5" t="s">
        <v>3</v>
      </c>
      <c r="H42" s="6" t="n">
        <v>140000</v>
      </c>
    </row>
    <row r="43" customFormat="false" ht="15" hidden="false" customHeight="false" outlineLevel="0" collapsed="false">
      <c r="A43" s="11" t="n">
        <v>45959</v>
      </c>
      <c r="B43" s="11" t="n">
        <v>45974</v>
      </c>
      <c r="C43" s="11" t="n">
        <v>45967</v>
      </c>
      <c r="D43" s="5" t="s">
        <v>29</v>
      </c>
      <c r="E43" s="5" t="s">
        <v>20</v>
      </c>
      <c r="F43" s="5" t="s">
        <v>20</v>
      </c>
      <c r="G43" s="5" t="s">
        <v>3</v>
      </c>
      <c r="H43" s="6" t="n">
        <v>204000</v>
      </c>
    </row>
    <row r="44" customFormat="false" ht="15" hidden="false" customHeight="false" outlineLevel="0" collapsed="false">
      <c r="A44" s="11" t="n">
        <v>46024</v>
      </c>
      <c r="B44" s="11" t="n">
        <v>46044</v>
      </c>
      <c r="C44" s="11" t="n">
        <v>46037</v>
      </c>
      <c r="D44" s="5" t="s">
        <v>29</v>
      </c>
      <c r="E44" s="5" t="s">
        <v>20</v>
      </c>
      <c r="F44" s="5" t="s">
        <v>20</v>
      </c>
      <c r="G44" s="5" t="s">
        <v>3</v>
      </c>
      <c r="H44" s="6" t="n">
        <v>132000</v>
      </c>
    </row>
    <row r="45" customFormat="false" ht="15" hidden="false" customHeight="false" outlineLevel="0" collapsed="false">
      <c r="A45" s="11" t="n">
        <v>46034</v>
      </c>
      <c r="B45" s="11" t="n">
        <v>46051</v>
      </c>
      <c r="C45" s="11" t="n">
        <v>46044</v>
      </c>
      <c r="D45" s="5" t="s">
        <v>29</v>
      </c>
      <c r="E45" s="5" t="s">
        <v>20</v>
      </c>
      <c r="F45" s="5" t="s">
        <v>20</v>
      </c>
      <c r="G45" s="5" t="s">
        <v>3</v>
      </c>
      <c r="H45" s="6" t="n">
        <v>204000</v>
      </c>
    </row>
    <row r="46" customFormat="false" ht="15" hidden="false" customHeight="false" outlineLevel="0" collapsed="false">
      <c r="A46" s="11" t="n">
        <v>46036</v>
      </c>
      <c r="B46" s="11" t="n">
        <v>46051</v>
      </c>
      <c r="C46" s="11" t="n">
        <v>46044</v>
      </c>
      <c r="D46" s="5" t="s">
        <v>29</v>
      </c>
      <c r="E46" s="5" t="s">
        <v>20</v>
      </c>
      <c r="F46" s="5" t="s">
        <v>20</v>
      </c>
      <c r="G46" s="5" t="s">
        <v>3</v>
      </c>
      <c r="H46" s="6" t="n">
        <v>136000</v>
      </c>
    </row>
    <row r="47" customFormat="false" ht="15" hidden="false" customHeight="false" outlineLevel="0" collapsed="false">
      <c r="A47" s="11" t="n">
        <v>46121</v>
      </c>
      <c r="B47" s="11" t="n">
        <v>46135</v>
      </c>
      <c r="C47" s="11" t="n">
        <v>46128</v>
      </c>
      <c r="D47" s="5" t="s">
        <v>29</v>
      </c>
      <c r="E47" s="5" t="s">
        <v>20</v>
      </c>
      <c r="F47" s="5" t="s">
        <v>20</v>
      </c>
      <c r="G47" s="5" t="s">
        <v>3</v>
      </c>
      <c r="H47" s="6" t="n">
        <v>136000</v>
      </c>
    </row>
    <row r="48" customFormat="false" ht="15" hidden="false" customHeight="false" outlineLevel="0" collapsed="false">
      <c r="A48" s="11" t="n">
        <v>46153</v>
      </c>
      <c r="B48" s="11" t="n">
        <v>46170</v>
      </c>
      <c r="C48" s="11" t="n">
        <v>46163</v>
      </c>
      <c r="D48" s="5" t="s">
        <v>29</v>
      </c>
      <c r="E48" s="5" t="s">
        <v>20</v>
      </c>
      <c r="F48" s="5" t="s">
        <v>20</v>
      </c>
      <c r="G48" s="5" t="s">
        <v>3</v>
      </c>
      <c r="H48" s="6" t="n">
        <v>128000</v>
      </c>
    </row>
  </sheetData>
  <autoFilter ref="A4:H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9"/>
  </cols>
  <sheetData>
    <row r="1" customFormat="false" ht="16.1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J3" s="10" t="s">
        <v>2</v>
      </c>
    </row>
    <row r="4" customFormat="false" ht="30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</v>
      </c>
      <c r="E4" s="4" t="s">
        <v>48</v>
      </c>
      <c r="F4" s="4" t="s">
        <v>49</v>
      </c>
      <c r="G4" s="4" t="s">
        <v>50</v>
      </c>
      <c r="H4" s="4" t="s">
        <v>51</v>
      </c>
      <c r="J4" s="4" t="s">
        <v>52</v>
      </c>
      <c r="K4" s="4" t="s">
        <v>3</v>
      </c>
      <c r="L4" s="4" t="s">
        <v>40</v>
      </c>
      <c r="M4" s="4" t="s">
        <v>24</v>
      </c>
      <c r="N4" s="4" t="s">
        <v>53</v>
      </c>
    </row>
    <row r="5" customFormat="false" ht="15" hidden="false" customHeight="false" outlineLevel="0" collapsed="false">
      <c r="A5" s="11" t="n">
        <v>42416</v>
      </c>
      <c r="B5" s="11" t="n">
        <v>42432</v>
      </c>
      <c r="C5" s="11" t="n">
        <v>42425</v>
      </c>
      <c r="D5" s="5" t="s">
        <v>30</v>
      </c>
      <c r="E5" s="5" t="s">
        <v>10</v>
      </c>
      <c r="F5" s="5" t="s">
        <v>10</v>
      </c>
      <c r="G5" s="5" t="s">
        <v>3</v>
      </c>
      <c r="H5" s="6" t="n">
        <v>190000</v>
      </c>
      <c r="J5" s="5" t="s">
        <v>10</v>
      </c>
      <c r="K5" s="6" t="n">
        <f aca="false">SUMIFS($H$5:$H$37,$E$5:$E$37,J5,$G$5:$G$37,"Corn")</f>
        <v>525000</v>
      </c>
      <c r="L5" s="6" t="n">
        <f aca="false">SUMIFS($H$5:$H$37,$E$5:$E$37,J5,$G$5:$G$37,"Soybean")</f>
        <v>0</v>
      </c>
      <c r="M5" s="6" t="n">
        <f aca="false">K5+L5</f>
        <v>525000</v>
      </c>
      <c r="N5" s="6" t="n">
        <f aca="false">COUNTIFS($E$5:$E$37,J5)</f>
        <v>4</v>
      </c>
    </row>
    <row r="6" customFormat="false" ht="15" hidden="false" customHeight="false" outlineLevel="0" collapsed="false">
      <c r="A6" s="11" t="n">
        <v>42422</v>
      </c>
      <c r="B6" s="11" t="n">
        <v>42439</v>
      </c>
      <c r="C6" s="11" t="n">
        <v>42432</v>
      </c>
      <c r="D6" s="5" t="s">
        <v>30</v>
      </c>
      <c r="E6" s="5" t="s">
        <v>10</v>
      </c>
      <c r="F6" s="5" t="s">
        <v>10</v>
      </c>
      <c r="G6" s="5" t="s">
        <v>3</v>
      </c>
      <c r="H6" s="6" t="n">
        <v>100000</v>
      </c>
      <c r="J6" s="5" t="s">
        <v>11</v>
      </c>
      <c r="K6" s="6" t="n">
        <f aca="false">SUMIFS($H$5:$H$37,$E$5:$E$37,J6,$G$5:$G$37,"Corn")</f>
        <v>105000</v>
      </c>
      <c r="L6" s="6" t="n">
        <f aca="false">SUMIFS($H$5:$H$37,$E$5:$E$37,J6,$G$5:$G$37,"Soybean")</f>
        <v>0</v>
      </c>
      <c r="M6" s="6" t="n">
        <f aca="false">K6+L6</f>
        <v>105000</v>
      </c>
      <c r="N6" s="6" t="n">
        <f aca="false">COUNTIFS($E$5:$E$37,J6)</f>
        <v>1</v>
      </c>
    </row>
    <row r="7" customFormat="false" ht="15" hidden="false" customHeight="false" outlineLevel="0" collapsed="false">
      <c r="A7" s="11" t="n">
        <v>42424</v>
      </c>
      <c r="B7" s="11" t="n">
        <v>42439</v>
      </c>
      <c r="C7" s="11" t="n">
        <v>42432</v>
      </c>
      <c r="D7" s="5" t="s">
        <v>30</v>
      </c>
      <c r="E7" s="5" t="s">
        <v>10</v>
      </c>
      <c r="F7" s="5" t="s">
        <v>10</v>
      </c>
      <c r="G7" s="5" t="s">
        <v>3</v>
      </c>
      <c r="H7" s="6" t="n">
        <v>110000</v>
      </c>
      <c r="J7" s="5" t="s">
        <v>12</v>
      </c>
      <c r="K7" s="6" t="n">
        <f aca="false">SUMIFS($H$5:$H$37,$E$5:$E$37,J7,$G$5:$G$37,"Corn")</f>
        <v>250000</v>
      </c>
      <c r="L7" s="6" t="n">
        <f aca="false">SUMIFS($H$5:$H$37,$E$5:$E$37,J7,$G$5:$G$37,"Soybean")</f>
        <v>0</v>
      </c>
      <c r="M7" s="6" t="n">
        <f aca="false">K7+L7</f>
        <v>250000</v>
      </c>
      <c r="N7" s="6" t="n">
        <f aca="false">COUNTIFS($E$5:$E$37,J7)</f>
        <v>2</v>
      </c>
    </row>
    <row r="8" customFormat="false" ht="15" hidden="false" customHeight="false" outlineLevel="0" collapsed="false">
      <c r="A8" s="11" t="n">
        <v>42510</v>
      </c>
      <c r="B8" s="11" t="n">
        <v>42530</v>
      </c>
      <c r="C8" s="11" t="n">
        <v>42523</v>
      </c>
      <c r="D8" s="5" t="s">
        <v>30</v>
      </c>
      <c r="E8" s="5" t="s">
        <v>10</v>
      </c>
      <c r="F8" s="5" t="s">
        <v>10</v>
      </c>
      <c r="G8" s="5" t="s">
        <v>3</v>
      </c>
      <c r="H8" s="6" t="n">
        <v>125000</v>
      </c>
      <c r="J8" s="5" t="s">
        <v>13</v>
      </c>
      <c r="K8" s="6" t="n">
        <f aca="false">SUMIFS($H$5:$H$37,$E$5:$E$37,J8,$G$5:$G$37,"Corn")</f>
        <v>207500</v>
      </c>
      <c r="L8" s="6" t="n">
        <f aca="false">SUMIFS($H$5:$H$37,$E$5:$E$37,J8,$G$5:$G$37,"Soybean")</f>
        <v>0</v>
      </c>
      <c r="M8" s="6" t="n">
        <f aca="false">K8+L8</f>
        <v>207500</v>
      </c>
      <c r="N8" s="6" t="n">
        <f aca="false">COUNTIFS($E$5:$E$37,J8)</f>
        <v>2</v>
      </c>
    </row>
    <row r="9" customFormat="false" ht="15" hidden="false" customHeight="false" outlineLevel="0" collapsed="false">
      <c r="A9" s="11" t="n">
        <v>42765</v>
      </c>
      <c r="B9" s="11" t="n">
        <v>42782</v>
      </c>
      <c r="C9" s="11" t="n">
        <v>42775</v>
      </c>
      <c r="D9" s="5" t="s">
        <v>30</v>
      </c>
      <c r="E9" s="5" t="s">
        <v>11</v>
      </c>
      <c r="F9" s="5" t="s">
        <v>11</v>
      </c>
      <c r="G9" s="5" t="s">
        <v>3</v>
      </c>
      <c r="H9" s="6" t="n">
        <v>105000</v>
      </c>
      <c r="J9" s="5" t="s">
        <v>15</v>
      </c>
      <c r="K9" s="6" t="n">
        <f aca="false">SUMIFS($H$5:$H$37,$E$5:$E$37,J9,$G$5:$G$37,"Corn")</f>
        <v>108500</v>
      </c>
      <c r="L9" s="6" t="n">
        <f aca="false">SUMIFS($H$5:$H$37,$E$5:$E$37,J9,$G$5:$G$37,"Soybean")</f>
        <v>0</v>
      </c>
      <c r="M9" s="6" t="n">
        <f aca="false">K9+L9</f>
        <v>108500</v>
      </c>
      <c r="N9" s="6" t="n">
        <f aca="false">COUNTIFS($E$5:$E$37,J9)</f>
        <v>1</v>
      </c>
    </row>
    <row r="10" customFormat="false" ht="15" hidden="false" customHeight="false" outlineLevel="0" collapsed="false">
      <c r="A10" s="11" t="n">
        <v>42947</v>
      </c>
      <c r="B10" s="11" t="n">
        <v>42964</v>
      </c>
      <c r="C10" s="11" t="n">
        <v>42957</v>
      </c>
      <c r="D10" s="5" t="s">
        <v>30</v>
      </c>
      <c r="E10" s="5" t="s">
        <v>12</v>
      </c>
      <c r="F10" s="5" t="s">
        <v>11</v>
      </c>
      <c r="G10" s="5" t="s">
        <v>3</v>
      </c>
      <c r="H10" s="6" t="n">
        <v>150000</v>
      </c>
      <c r="J10" s="5" t="s">
        <v>16</v>
      </c>
      <c r="K10" s="6" t="n">
        <f aca="false">SUMIFS($H$5:$H$37,$E$5:$E$37,J10,$G$5:$G$37,"Corn")</f>
        <v>650000</v>
      </c>
      <c r="L10" s="6" t="n">
        <f aca="false">SUMIFS($H$5:$H$37,$E$5:$E$37,J10,$G$5:$G$37,"Soybean")</f>
        <v>0</v>
      </c>
      <c r="M10" s="6" t="n">
        <f aca="false">K10+L10</f>
        <v>650000</v>
      </c>
      <c r="N10" s="6" t="n">
        <f aca="false">COUNTIFS($E$5:$E$37,J10)</f>
        <v>5</v>
      </c>
    </row>
    <row r="11" customFormat="false" ht="15" hidden="false" customHeight="false" outlineLevel="0" collapsed="false">
      <c r="A11" s="11" t="n">
        <v>42948</v>
      </c>
      <c r="B11" s="11" t="n">
        <v>42964</v>
      </c>
      <c r="C11" s="11" t="n">
        <v>42957</v>
      </c>
      <c r="D11" s="5" t="s">
        <v>30</v>
      </c>
      <c r="E11" s="5" t="s">
        <v>12</v>
      </c>
      <c r="F11" s="5" t="s">
        <v>11</v>
      </c>
      <c r="G11" s="5" t="s">
        <v>3</v>
      </c>
      <c r="H11" s="6" t="n">
        <v>100000</v>
      </c>
      <c r="J11" s="5" t="s">
        <v>17</v>
      </c>
      <c r="K11" s="6" t="n">
        <f aca="false">SUMIFS($H$5:$H$37,$E$5:$E$37,J11,$G$5:$G$37,"Corn")</f>
        <v>150000</v>
      </c>
      <c r="L11" s="6" t="n">
        <f aca="false">SUMIFS($H$5:$H$37,$E$5:$E$37,J11,$G$5:$G$37,"Soybean")</f>
        <v>0</v>
      </c>
      <c r="M11" s="6" t="n">
        <f aca="false">K11+L11</f>
        <v>150000</v>
      </c>
      <c r="N11" s="6" t="n">
        <f aca="false">COUNTIFS($E$5:$E$37,J11)</f>
        <v>1</v>
      </c>
    </row>
    <row r="12" customFormat="false" ht="15" hidden="false" customHeight="false" outlineLevel="0" collapsed="false">
      <c r="A12" s="11" t="n">
        <v>43528</v>
      </c>
      <c r="B12" s="11" t="n">
        <v>43545</v>
      </c>
      <c r="C12" s="11" t="n">
        <v>43538</v>
      </c>
      <c r="D12" s="5" t="s">
        <v>30</v>
      </c>
      <c r="E12" s="5" t="s">
        <v>13</v>
      </c>
      <c r="F12" s="5" t="s">
        <v>13</v>
      </c>
      <c r="G12" s="5" t="s">
        <v>3</v>
      </c>
      <c r="H12" s="6" t="n">
        <v>100500</v>
      </c>
      <c r="J12" s="5" t="s">
        <v>18</v>
      </c>
      <c r="K12" s="6" t="n">
        <f aca="false">SUMIFS($H$5:$H$37,$E$5:$E$37,J12,$G$5:$G$37,"Corn")</f>
        <v>300000</v>
      </c>
      <c r="L12" s="6" t="n">
        <f aca="false">SUMIFS($H$5:$H$37,$E$5:$E$37,J12,$G$5:$G$37,"Soybean")</f>
        <v>100000</v>
      </c>
      <c r="M12" s="6" t="n">
        <f aca="false">K12+L12</f>
        <v>400000</v>
      </c>
      <c r="N12" s="6" t="n">
        <f aca="false">COUNTIFS($E$5:$E$37,J12)</f>
        <v>3</v>
      </c>
    </row>
    <row r="13" customFormat="false" ht="15" hidden="false" customHeight="false" outlineLevel="0" collapsed="false">
      <c r="A13" s="11" t="n">
        <v>43594</v>
      </c>
      <c r="B13" s="11" t="n">
        <v>43608</v>
      </c>
      <c r="C13" s="11" t="n">
        <v>43601</v>
      </c>
      <c r="D13" s="5" t="s">
        <v>30</v>
      </c>
      <c r="E13" s="5" t="s">
        <v>13</v>
      </c>
      <c r="F13" s="5" t="s">
        <v>13</v>
      </c>
      <c r="G13" s="5" t="s">
        <v>3</v>
      </c>
      <c r="H13" s="6" t="n">
        <v>107000</v>
      </c>
      <c r="J13" s="5" t="s">
        <v>19</v>
      </c>
      <c r="K13" s="6" t="n">
        <f aca="false">SUMIFS($H$5:$H$37,$E$5:$E$37,J13,$G$5:$G$37,"Corn")</f>
        <v>585000</v>
      </c>
      <c r="L13" s="6" t="n">
        <f aca="false">SUMIFS($H$5:$H$37,$E$5:$E$37,J13,$G$5:$G$37,"Soybean")</f>
        <v>88000</v>
      </c>
      <c r="M13" s="6" t="n">
        <f aca="false">K13+L13</f>
        <v>673000</v>
      </c>
      <c r="N13" s="6" t="n">
        <f aca="false">COUNTIFS($E$5:$E$37,J13)</f>
        <v>6</v>
      </c>
    </row>
    <row r="14" customFormat="false" ht="15" hidden="false" customHeight="false" outlineLevel="0" collapsed="false">
      <c r="A14" s="11" t="n">
        <v>44207</v>
      </c>
      <c r="B14" s="11" t="n">
        <v>44224</v>
      </c>
      <c r="C14" s="11" t="n">
        <v>44217</v>
      </c>
      <c r="D14" s="5" t="s">
        <v>30</v>
      </c>
      <c r="E14" s="5" t="s">
        <v>15</v>
      </c>
      <c r="F14" s="5" t="s">
        <v>15</v>
      </c>
      <c r="G14" s="5" t="s">
        <v>3</v>
      </c>
      <c r="H14" s="6" t="n">
        <v>108500</v>
      </c>
      <c r="J14" s="5" t="s">
        <v>20</v>
      </c>
      <c r="K14" s="6" t="n">
        <f aca="false">SUMIFS($H$5:$H$37,$E$5:$E$37,J14,$G$5:$G$37,"Corn")</f>
        <v>675800</v>
      </c>
      <c r="L14" s="6" t="n">
        <f aca="false">SUMIFS($H$5:$H$37,$E$5:$E$37,J14,$G$5:$G$37,"Soybean")</f>
        <v>0</v>
      </c>
      <c r="M14" s="6" t="n">
        <f aca="false">K14+L14</f>
        <v>675800</v>
      </c>
      <c r="N14" s="6" t="n">
        <f aca="false">COUNTIFS($E$5:$E$37,J14)</f>
        <v>6</v>
      </c>
    </row>
    <row r="15" customFormat="false" ht="15" hidden="false" customHeight="false" outlineLevel="0" collapsed="false">
      <c r="A15" s="11" t="n">
        <v>44434</v>
      </c>
      <c r="B15" s="11" t="n">
        <v>44448</v>
      </c>
      <c r="C15" s="11" t="n">
        <v>44441</v>
      </c>
      <c r="D15" s="5" t="s">
        <v>30</v>
      </c>
      <c r="E15" s="5" t="s">
        <v>16</v>
      </c>
      <c r="F15" s="5" t="s">
        <v>15</v>
      </c>
      <c r="G15" s="5" t="s">
        <v>3</v>
      </c>
      <c r="H15" s="6" t="n">
        <v>100000</v>
      </c>
      <c r="J15" s="5" t="s">
        <v>21</v>
      </c>
      <c r="K15" s="6" t="n">
        <f aca="false">SUMIFS($H$5:$H$37,$E$5:$E$37,J15,$G$5:$G$37,"Corn")</f>
        <v>215000</v>
      </c>
      <c r="L15" s="6" t="n">
        <f aca="false">SUMIFS($H$5:$H$37,$E$5:$E$37,J15,$G$5:$G$37,"Soybean")</f>
        <v>0</v>
      </c>
      <c r="M15" s="6" t="n">
        <f aca="false">K15+L15</f>
        <v>215000</v>
      </c>
      <c r="N15" s="6" t="n">
        <f aca="false">COUNTIFS($E$5:$E$37,J15)</f>
        <v>2</v>
      </c>
    </row>
    <row r="16" customFormat="false" ht="15" hidden="false" customHeight="false" outlineLevel="0" collapsed="false">
      <c r="A16" s="11" t="n">
        <v>44435</v>
      </c>
      <c r="B16" s="11" t="n">
        <v>44455</v>
      </c>
      <c r="C16" s="11" t="n">
        <v>44448</v>
      </c>
      <c r="D16" s="5" t="s">
        <v>30</v>
      </c>
      <c r="E16" s="5" t="s">
        <v>16</v>
      </c>
      <c r="F16" s="5" t="s">
        <v>15</v>
      </c>
      <c r="G16" s="5" t="s">
        <v>3</v>
      </c>
      <c r="H16" s="6" t="n">
        <v>150000</v>
      </c>
      <c r="J16" s="8" t="s">
        <v>24</v>
      </c>
      <c r="K16" s="9" t="n">
        <f aca="false">SUM(K5:K15)</f>
        <v>3771800</v>
      </c>
      <c r="L16" s="9" t="n">
        <f aca="false">SUM(L5:L15)</f>
        <v>188000</v>
      </c>
      <c r="M16" s="9" t="n">
        <f aca="false">SUM(M5:M15)</f>
        <v>3959800</v>
      </c>
      <c r="N16" s="9" t="n">
        <f aca="false">SUM(N5:N15)</f>
        <v>33</v>
      </c>
    </row>
    <row r="17" customFormat="false" ht="15" hidden="false" customHeight="false" outlineLevel="0" collapsed="false">
      <c r="A17" s="11" t="n">
        <v>44508</v>
      </c>
      <c r="B17" s="11" t="n">
        <v>44525</v>
      </c>
      <c r="C17" s="11" t="n">
        <v>44518</v>
      </c>
      <c r="D17" s="5" t="s">
        <v>30</v>
      </c>
      <c r="E17" s="5" t="s">
        <v>16</v>
      </c>
      <c r="F17" s="5" t="s">
        <v>16</v>
      </c>
      <c r="G17" s="5" t="s">
        <v>3</v>
      </c>
      <c r="H17" s="6" t="n">
        <v>150000</v>
      </c>
    </row>
    <row r="18" customFormat="false" ht="15" hidden="false" customHeight="false" outlineLevel="0" collapsed="false">
      <c r="A18" s="11" t="n">
        <v>44531</v>
      </c>
      <c r="B18" s="11" t="n">
        <v>44546</v>
      </c>
      <c r="C18" s="11" t="n">
        <v>44539</v>
      </c>
      <c r="D18" s="5" t="s">
        <v>30</v>
      </c>
      <c r="E18" s="5" t="s">
        <v>16</v>
      </c>
      <c r="F18" s="5" t="s">
        <v>16</v>
      </c>
      <c r="G18" s="5" t="s">
        <v>3</v>
      </c>
      <c r="H18" s="6" t="n">
        <v>150000</v>
      </c>
    </row>
    <row r="19" customFormat="false" ht="15" hidden="false" customHeight="false" outlineLevel="0" collapsed="false">
      <c r="A19" s="11" t="n">
        <v>44629</v>
      </c>
      <c r="B19" s="11" t="n">
        <v>44644</v>
      </c>
      <c r="C19" s="11" t="n">
        <v>44637</v>
      </c>
      <c r="D19" s="5" t="s">
        <v>30</v>
      </c>
      <c r="E19" s="5" t="s">
        <v>16</v>
      </c>
      <c r="F19" s="5" t="s">
        <v>16</v>
      </c>
      <c r="G19" s="5" t="s">
        <v>3</v>
      </c>
      <c r="H19" s="6" t="n">
        <v>100000</v>
      </c>
      <c r="J19" s="10" t="s">
        <v>42</v>
      </c>
    </row>
    <row r="20" customFormat="false" ht="15" hidden="false" customHeight="false" outlineLevel="0" collapsed="false">
      <c r="A20" s="11" t="n">
        <v>44943</v>
      </c>
      <c r="B20" s="11" t="n">
        <v>44959</v>
      </c>
      <c r="C20" s="11" t="n">
        <v>44952</v>
      </c>
      <c r="D20" s="5" t="s">
        <v>30</v>
      </c>
      <c r="E20" s="5" t="s">
        <v>17</v>
      </c>
      <c r="F20" s="5" t="s">
        <v>17</v>
      </c>
      <c r="G20" s="5" t="s">
        <v>3</v>
      </c>
      <c r="H20" s="6" t="n">
        <v>150000</v>
      </c>
      <c r="J20" s="4" t="s">
        <v>54</v>
      </c>
      <c r="K20" s="4" t="s">
        <v>3</v>
      </c>
      <c r="L20" s="4" t="s">
        <v>40</v>
      </c>
      <c r="M20" s="4" t="s">
        <v>24</v>
      </c>
      <c r="N20" s="4" t="s">
        <v>53</v>
      </c>
    </row>
    <row r="21" customFormat="false" ht="15" hidden="false" customHeight="false" outlineLevel="0" collapsed="false">
      <c r="A21" s="11" t="n">
        <v>45330</v>
      </c>
      <c r="B21" s="11" t="n">
        <v>45344</v>
      </c>
      <c r="C21" s="11" t="n">
        <v>45337</v>
      </c>
      <c r="D21" s="5" t="s">
        <v>30</v>
      </c>
      <c r="E21" s="5" t="s">
        <v>18</v>
      </c>
      <c r="F21" s="5" t="s">
        <v>18</v>
      </c>
      <c r="G21" s="5" t="s">
        <v>3</v>
      </c>
      <c r="H21" s="6" t="n">
        <v>200000</v>
      </c>
      <c r="J21" s="5" t="s">
        <v>10</v>
      </c>
      <c r="K21" s="6" t="n">
        <f aca="false">SUMIFS($H$5:$H$37,$F$5:$F$37,J21,$G$5:$G$37,"Corn")</f>
        <v>525000</v>
      </c>
      <c r="L21" s="6" t="n">
        <f aca="false">SUMIFS($H$5:$H$37,$F$5:$F$37,J21,$G$5:$G$37,"Soybean")</f>
        <v>0</v>
      </c>
      <c r="M21" s="6" t="n">
        <f aca="false">K21+L21</f>
        <v>525000</v>
      </c>
      <c r="N21" s="6" t="n">
        <f aca="false">COUNTIFS($F$5:$F$37,J21)</f>
        <v>4</v>
      </c>
    </row>
    <row r="22" customFormat="false" ht="15" hidden="false" customHeight="false" outlineLevel="0" collapsed="false">
      <c r="A22" s="11" t="n">
        <v>45475</v>
      </c>
      <c r="B22" s="11" t="n">
        <v>45491</v>
      </c>
      <c r="C22" s="11" t="n">
        <v>45484</v>
      </c>
      <c r="D22" s="5" t="s">
        <v>30</v>
      </c>
      <c r="E22" s="5" t="s">
        <v>18</v>
      </c>
      <c r="F22" s="5" t="s">
        <v>18</v>
      </c>
      <c r="G22" s="5" t="s">
        <v>3</v>
      </c>
      <c r="H22" s="6" t="n">
        <v>100000</v>
      </c>
      <c r="J22" s="5" t="s">
        <v>11</v>
      </c>
      <c r="K22" s="6" t="n">
        <f aca="false">SUMIFS($H$5:$H$37,$F$5:$F$37,J22,$G$5:$G$37,"Corn")</f>
        <v>355000</v>
      </c>
      <c r="L22" s="6" t="n">
        <f aca="false">SUMIFS($H$5:$H$37,$F$5:$F$37,J22,$G$5:$G$37,"Soybean")</f>
        <v>0</v>
      </c>
      <c r="M22" s="6" t="n">
        <f aca="false">K22+L22</f>
        <v>355000</v>
      </c>
      <c r="N22" s="6" t="n">
        <f aca="false">COUNTIFS($F$5:$F$37,J22)</f>
        <v>3</v>
      </c>
    </row>
    <row r="23" customFormat="false" ht="15" hidden="false" customHeight="false" outlineLevel="0" collapsed="false">
      <c r="A23" s="11" t="n">
        <v>45513</v>
      </c>
      <c r="B23" s="11" t="n">
        <v>45533</v>
      </c>
      <c r="C23" s="11" t="n">
        <v>45526</v>
      </c>
      <c r="D23" s="5" t="s">
        <v>30</v>
      </c>
      <c r="E23" s="5" t="s">
        <v>18</v>
      </c>
      <c r="F23" s="5" t="s">
        <v>18</v>
      </c>
      <c r="G23" s="5" t="s">
        <v>40</v>
      </c>
      <c r="H23" s="6" t="n">
        <v>100000</v>
      </c>
      <c r="J23" s="5" t="s">
        <v>13</v>
      </c>
      <c r="K23" s="6" t="n">
        <f aca="false">SUMIFS($H$5:$H$37,$F$5:$F$37,J23,$G$5:$G$37,"Corn")</f>
        <v>207500</v>
      </c>
      <c r="L23" s="6" t="n">
        <f aca="false">SUMIFS($H$5:$H$37,$F$5:$F$37,J23,$G$5:$G$37,"Soybean")</f>
        <v>0</v>
      </c>
      <c r="M23" s="6" t="n">
        <f aca="false">K23+L23</f>
        <v>207500</v>
      </c>
      <c r="N23" s="6" t="n">
        <f aca="false">COUNTIFS($F$5:$F$37,J23)</f>
        <v>2</v>
      </c>
    </row>
    <row r="24" customFormat="false" ht="15" hidden="false" customHeight="false" outlineLevel="0" collapsed="false">
      <c r="A24" s="11" t="n">
        <v>45513</v>
      </c>
      <c r="B24" s="11" t="n">
        <v>45533</v>
      </c>
      <c r="C24" s="11" t="n">
        <v>45526</v>
      </c>
      <c r="D24" s="5" t="s">
        <v>30</v>
      </c>
      <c r="E24" s="5" t="s">
        <v>19</v>
      </c>
      <c r="F24" s="5" t="s">
        <v>18</v>
      </c>
      <c r="G24" s="5" t="s">
        <v>40</v>
      </c>
      <c r="H24" s="6" t="n">
        <v>88000</v>
      </c>
      <c r="J24" s="5" t="s">
        <v>15</v>
      </c>
      <c r="K24" s="6" t="n">
        <f aca="false">SUMIFS($H$5:$H$37,$F$5:$F$37,J24,$G$5:$G$37,"Corn")</f>
        <v>358500</v>
      </c>
      <c r="L24" s="6" t="n">
        <f aca="false">SUMIFS($H$5:$H$37,$F$5:$F$37,J24,$G$5:$G$37,"Soybean")</f>
        <v>0</v>
      </c>
      <c r="M24" s="6" t="n">
        <f aca="false">K24+L24</f>
        <v>358500</v>
      </c>
      <c r="N24" s="6" t="n">
        <f aca="false">COUNTIFS($F$5:$F$37,J24)</f>
        <v>3</v>
      </c>
    </row>
    <row r="25" customFormat="false" ht="15" hidden="false" customHeight="false" outlineLevel="0" collapsed="false">
      <c r="A25" s="11" t="n">
        <v>45532</v>
      </c>
      <c r="B25" s="11" t="n">
        <v>45547</v>
      </c>
      <c r="C25" s="11" t="n">
        <v>45540</v>
      </c>
      <c r="D25" s="5" t="s">
        <v>30</v>
      </c>
      <c r="E25" s="5" t="s">
        <v>19</v>
      </c>
      <c r="F25" s="5" t="s">
        <v>18</v>
      </c>
      <c r="G25" s="5" t="s">
        <v>3</v>
      </c>
      <c r="H25" s="6" t="n">
        <v>100000</v>
      </c>
      <c r="J25" s="5" t="s">
        <v>16</v>
      </c>
      <c r="K25" s="6" t="n">
        <f aca="false">SUMIFS($H$5:$H$37,$F$5:$F$37,J25,$G$5:$G$37,"Corn")</f>
        <v>400000</v>
      </c>
      <c r="L25" s="6" t="n">
        <f aca="false">SUMIFS($H$5:$H$37,$F$5:$F$37,J25,$G$5:$G$37,"Soybean")</f>
        <v>0</v>
      </c>
      <c r="M25" s="6" t="n">
        <f aca="false">K25+L25</f>
        <v>400000</v>
      </c>
      <c r="N25" s="6" t="n">
        <f aca="false">COUNTIFS($F$5:$F$37,J25)</f>
        <v>3</v>
      </c>
    </row>
    <row r="26" customFormat="false" ht="15" hidden="false" customHeight="false" outlineLevel="0" collapsed="false">
      <c r="A26" s="11" t="n">
        <v>45644</v>
      </c>
      <c r="B26" s="11" t="n">
        <v>45659</v>
      </c>
      <c r="C26" s="11" t="n">
        <v>45652</v>
      </c>
      <c r="D26" s="5" t="s">
        <v>30</v>
      </c>
      <c r="E26" s="5" t="s">
        <v>19</v>
      </c>
      <c r="F26" s="5" t="s">
        <v>19</v>
      </c>
      <c r="G26" s="5" t="s">
        <v>3</v>
      </c>
      <c r="H26" s="6" t="n">
        <v>135000</v>
      </c>
      <c r="J26" s="5" t="s">
        <v>17</v>
      </c>
      <c r="K26" s="6" t="n">
        <f aca="false">SUMIFS($H$5:$H$37,$F$5:$F$37,J26,$G$5:$G$37,"Corn")</f>
        <v>150000</v>
      </c>
      <c r="L26" s="6" t="n">
        <f aca="false">SUMIFS($H$5:$H$37,$F$5:$F$37,J26,$G$5:$G$37,"Soybean")</f>
        <v>0</v>
      </c>
      <c r="M26" s="6" t="n">
        <f aca="false">K26+L26</f>
        <v>150000</v>
      </c>
      <c r="N26" s="6" t="n">
        <f aca="false">COUNTIFS($F$5:$F$37,J26)</f>
        <v>1</v>
      </c>
    </row>
    <row r="27" customFormat="false" ht="15" hidden="false" customHeight="false" outlineLevel="0" collapsed="false">
      <c r="A27" s="11" t="n">
        <v>45646</v>
      </c>
      <c r="B27" s="11" t="n">
        <v>45666</v>
      </c>
      <c r="C27" s="11" t="n">
        <v>45659</v>
      </c>
      <c r="D27" s="5" t="s">
        <v>30</v>
      </c>
      <c r="E27" s="5" t="s">
        <v>19</v>
      </c>
      <c r="F27" s="5" t="s">
        <v>19</v>
      </c>
      <c r="G27" s="5" t="s">
        <v>3</v>
      </c>
      <c r="H27" s="6" t="n">
        <v>150000</v>
      </c>
      <c r="J27" s="5" t="s">
        <v>18</v>
      </c>
      <c r="K27" s="6" t="n">
        <f aca="false">SUMIFS($H$5:$H$37,$F$5:$F$37,J27,$G$5:$G$37,"Corn")</f>
        <v>400000</v>
      </c>
      <c r="L27" s="6" t="n">
        <f aca="false">SUMIFS($H$5:$H$37,$F$5:$F$37,J27,$G$5:$G$37,"Soybean")</f>
        <v>188000</v>
      </c>
      <c r="M27" s="6" t="n">
        <f aca="false">K27+L27</f>
        <v>588000</v>
      </c>
      <c r="N27" s="6" t="n">
        <f aca="false">COUNTIFS($F$5:$F$37,J27)</f>
        <v>5</v>
      </c>
    </row>
    <row r="28" customFormat="false" ht="15" hidden="false" customHeight="false" outlineLevel="0" collapsed="false">
      <c r="A28" s="11" t="n">
        <v>45664</v>
      </c>
      <c r="B28" s="11" t="n">
        <v>45680</v>
      </c>
      <c r="C28" s="11" t="n">
        <v>45673</v>
      </c>
      <c r="D28" s="5" t="s">
        <v>30</v>
      </c>
      <c r="E28" s="5" t="s">
        <v>19</v>
      </c>
      <c r="F28" s="5" t="s">
        <v>19</v>
      </c>
      <c r="G28" s="5" t="s">
        <v>3</v>
      </c>
      <c r="H28" s="6" t="n">
        <v>100000</v>
      </c>
      <c r="J28" s="5" t="s">
        <v>19</v>
      </c>
      <c r="K28" s="6" t="n">
        <f aca="false">SUMIFS($H$5:$H$37,$F$5:$F$37,J28,$G$5:$G$37,"Corn")</f>
        <v>685000</v>
      </c>
      <c r="L28" s="6" t="n">
        <f aca="false">SUMIFS($H$5:$H$37,$F$5:$F$37,J28,$G$5:$G$37,"Soybean")</f>
        <v>0</v>
      </c>
      <c r="M28" s="6" t="n">
        <f aca="false">K28+L28</f>
        <v>685000</v>
      </c>
      <c r="N28" s="6" t="n">
        <f aca="false">COUNTIFS($F$5:$F$37,J28)</f>
        <v>6</v>
      </c>
    </row>
    <row r="29" customFormat="false" ht="15" hidden="false" customHeight="false" outlineLevel="0" collapsed="false">
      <c r="A29" s="11" t="n">
        <v>45702</v>
      </c>
      <c r="B29" s="11" t="n">
        <v>45722</v>
      </c>
      <c r="C29" s="11" t="n">
        <v>45715</v>
      </c>
      <c r="D29" s="5" t="s">
        <v>30</v>
      </c>
      <c r="E29" s="5" t="s">
        <v>19</v>
      </c>
      <c r="F29" s="5" t="s">
        <v>19</v>
      </c>
      <c r="G29" s="5" t="s">
        <v>3</v>
      </c>
      <c r="H29" s="6" t="n">
        <v>100000</v>
      </c>
      <c r="J29" s="5" t="s">
        <v>20</v>
      </c>
      <c r="K29" s="6" t="n">
        <f aca="false">SUMIFS($H$5:$H$37,$F$5:$F$37,J29,$G$5:$G$37,"Corn")</f>
        <v>690800</v>
      </c>
      <c r="L29" s="6" t="n">
        <f aca="false">SUMIFS($H$5:$H$37,$F$5:$F$37,J29,$G$5:$G$37,"Soybean")</f>
        <v>0</v>
      </c>
      <c r="M29" s="6" t="n">
        <f aca="false">K29+L29</f>
        <v>690800</v>
      </c>
      <c r="N29" s="6" t="n">
        <f aca="false">COUNTIFS($F$5:$F$37,J29)</f>
        <v>6</v>
      </c>
    </row>
    <row r="30" customFormat="false" ht="15" hidden="false" customHeight="false" outlineLevel="0" collapsed="false">
      <c r="A30" s="11" t="n">
        <v>45869</v>
      </c>
      <c r="B30" s="11" t="n">
        <v>45883</v>
      </c>
      <c r="C30" s="11" t="n">
        <v>45876</v>
      </c>
      <c r="D30" s="5" t="s">
        <v>30</v>
      </c>
      <c r="E30" s="5" t="s">
        <v>20</v>
      </c>
      <c r="F30" s="5" t="s">
        <v>19</v>
      </c>
      <c r="G30" s="5" t="s">
        <v>3</v>
      </c>
      <c r="H30" s="6" t="n">
        <v>100000</v>
      </c>
      <c r="J30" s="8" t="s">
        <v>24</v>
      </c>
      <c r="K30" s="9" t="n">
        <f aca="false">SUM(K21:K29)</f>
        <v>3771800</v>
      </c>
      <c r="L30" s="9" t="n">
        <f aca="false">SUM(L21:L29)</f>
        <v>188000</v>
      </c>
      <c r="M30" s="9" t="n">
        <f aca="false">SUM(M21:M29)</f>
        <v>3959800</v>
      </c>
      <c r="N30" s="9" t="n">
        <f aca="false">SUM(N21:N29)</f>
        <v>33</v>
      </c>
    </row>
    <row r="31" customFormat="false" ht="15" hidden="false" customHeight="false" outlineLevel="0" collapsed="false">
      <c r="A31" s="11" t="n">
        <v>45889</v>
      </c>
      <c r="B31" s="11" t="n">
        <v>45904</v>
      </c>
      <c r="C31" s="11" t="n">
        <v>45897</v>
      </c>
      <c r="D31" s="5" t="s">
        <v>30</v>
      </c>
      <c r="E31" s="5" t="s">
        <v>20</v>
      </c>
      <c r="F31" s="5" t="s">
        <v>19</v>
      </c>
      <c r="G31" s="5" t="s">
        <v>3</v>
      </c>
      <c r="H31" s="6" t="n">
        <v>100000</v>
      </c>
    </row>
    <row r="32" customFormat="false" ht="15" hidden="false" customHeight="false" outlineLevel="0" collapsed="false">
      <c r="A32" s="11" t="n">
        <v>45995</v>
      </c>
      <c r="B32" s="11" t="n">
        <v>46009</v>
      </c>
      <c r="C32" s="11" t="n">
        <v>46002</v>
      </c>
      <c r="D32" s="5" t="s">
        <v>30</v>
      </c>
      <c r="E32" s="5" t="s">
        <v>20</v>
      </c>
      <c r="F32" s="5" t="s">
        <v>20</v>
      </c>
      <c r="G32" s="5" t="s">
        <v>3</v>
      </c>
      <c r="H32" s="6" t="n">
        <v>100800</v>
      </c>
    </row>
    <row r="33" customFormat="false" ht="15" hidden="false" customHeight="false" outlineLevel="0" collapsed="false">
      <c r="A33" s="11" t="n">
        <v>46043</v>
      </c>
      <c r="B33" s="11" t="n">
        <v>46058</v>
      </c>
      <c r="C33" s="11" t="n">
        <v>46051</v>
      </c>
      <c r="D33" s="5" t="s">
        <v>30</v>
      </c>
      <c r="E33" s="5" t="s">
        <v>20</v>
      </c>
      <c r="F33" s="5" t="s">
        <v>20</v>
      </c>
      <c r="G33" s="5" t="s">
        <v>3</v>
      </c>
      <c r="H33" s="6" t="n">
        <v>150000</v>
      </c>
    </row>
    <row r="34" customFormat="false" ht="15" hidden="false" customHeight="false" outlineLevel="0" collapsed="false">
      <c r="A34" s="11" t="n">
        <v>46076</v>
      </c>
      <c r="B34" s="11" t="n">
        <v>46093</v>
      </c>
      <c r="C34" s="11" t="n">
        <v>46086</v>
      </c>
      <c r="D34" s="5" t="s">
        <v>30</v>
      </c>
      <c r="E34" s="5" t="s">
        <v>20</v>
      </c>
      <c r="F34" s="5" t="s">
        <v>20</v>
      </c>
      <c r="G34" s="5" t="s">
        <v>3</v>
      </c>
      <c r="H34" s="6" t="n">
        <v>125000</v>
      </c>
    </row>
    <row r="35" customFormat="false" ht="15" hidden="false" customHeight="false" outlineLevel="0" collapsed="false">
      <c r="A35" s="11" t="n">
        <v>46133</v>
      </c>
      <c r="B35" s="11" t="n">
        <v>46149</v>
      </c>
      <c r="C35" s="11" t="n">
        <v>46142</v>
      </c>
      <c r="D35" s="5" t="s">
        <v>30</v>
      </c>
      <c r="E35" s="5" t="s">
        <v>20</v>
      </c>
      <c r="F35" s="5" t="s">
        <v>20</v>
      </c>
      <c r="G35" s="5" t="s">
        <v>3</v>
      </c>
      <c r="H35" s="6" t="n">
        <v>100000</v>
      </c>
    </row>
    <row r="36" customFormat="false" ht="15" hidden="false" customHeight="false" outlineLevel="0" collapsed="false">
      <c r="A36" s="11" t="n">
        <v>46176</v>
      </c>
      <c r="B36" s="11" t="n">
        <v>46191</v>
      </c>
      <c r="C36" s="11" t="n">
        <v>46184</v>
      </c>
      <c r="D36" s="5" t="s">
        <v>30</v>
      </c>
      <c r="E36" s="5" t="s">
        <v>21</v>
      </c>
      <c r="F36" s="5" t="s">
        <v>20</v>
      </c>
      <c r="G36" s="5" t="s">
        <v>3</v>
      </c>
      <c r="H36" s="6" t="n">
        <v>115000</v>
      </c>
    </row>
    <row r="37" customFormat="false" ht="15" hidden="false" customHeight="false" outlineLevel="0" collapsed="false">
      <c r="A37" s="11" t="n">
        <v>46223</v>
      </c>
      <c r="B37" s="11" t="n">
        <v>46240</v>
      </c>
      <c r="C37" s="11" t="n">
        <v>46233</v>
      </c>
      <c r="D37" s="5" t="s">
        <v>30</v>
      </c>
      <c r="E37" s="5" t="s">
        <v>21</v>
      </c>
      <c r="F37" s="5" t="s">
        <v>20</v>
      </c>
      <c r="G37" s="5" t="s">
        <v>3</v>
      </c>
      <c r="H37" s="6" t="n">
        <v>100000</v>
      </c>
    </row>
  </sheetData>
  <autoFilter ref="A4:H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9"/>
  </cols>
  <sheetData>
    <row r="1" customFormat="false" ht="16.1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J3" s="10" t="s">
        <v>2</v>
      </c>
    </row>
    <row r="4" customFormat="false" ht="30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</v>
      </c>
      <c r="E4" s="4" t="s">
        <v>48</v>
      </c>
      <c r="F4" s="4" t="s">
        <v>49</v>
      </c>
      <c r="G4" s="4" t="s">
        <v>50</v>
      </c>
      <c r="H4" s="4" t="s">
        <v>51</v>
      </c>
      <c r="J4" s="4" t="s">
        <v>52</v>
      </c>
      <c r="K4" s="4" t="s">
        <v>3</v>
      </c>
      <c r="L4" s="4" t="s">
        <v>40</v>
      </c>
      <c r="M4" s="4" t="s">
        <v>24</v>
      </c>
      <c r="N4" s="4" t="s">
        <v>53</v>
      </c>
    </row>
    <row r="5" customFormat="false" ht="15" hidden="false" customHeight="false" outlineLevel="0" collapsed="false">
      <c r="A5" s="11" t="n">
        <v>40730</v>
      </c>
      <c r="B5" s="11" t="n">
        <v>40745</v>
      </c>
      <c r="C5" s="11" t="n">
        <v>40738</v>
      </c>
      <c r="D5" s="5" t="s">
        <v>31</v>
      </c>
      <c r="E5" s="5" t="s">
        <v>5</v>
      </c>
      <c r="F5" s="5" t="s">
        <v>5</v>
      </c>
      <c r="G5" s="5" t="s">
        <v>3</v>
      </c>
      <c r="H5" s="6" t="n">
        <v>120000</v>
      </c>
      <c r="J5" s="5" t="s">
        <v>5</v>
      </c>
      <c r="K5" s="6" t="n">
        <f aca="false">SUMIFS($H$5:$H$30,$E$5:$E$30,J5,$G$5:$G$30,"Corn")</f>
        <v>120000</v>
      </c>
      <c r="L5" s="6" t="n">
        <f aca="false">SUMIFS($H$5:$H$30,$E$5:$E$30,J5,$G$5:$G$30,"Soybean")</f>
        <v>0</v>
      </c>
      <c r="M5" s="6" t="n">
        <f aca="false">K5+L5</f>
        <v>120000</v>
      </c>
      <c r="N5" s="6" t="n">
        <f aca="false">COUNTIFS($E$5:$E$30,J5)</f>
        <v>1</v>
      </c>
    </row>
    <row r="6" customFormat="false" ht="15" hidden="false" customHeight="false" outlineLevel="0" collapsed="false">
      <c r="A6" s="11" t="n">
        <v>40949</v>
      </c>
      <c r="B6" s="11" t="n">
        <v>40969</v>
      </c>
      <c r="C6" s="11" t="n">
        <v>40962</v>
      </c>
      <c r="D6" s="5" t="s">
        <v>31</v>
      </c>
      <c r="E6" s="5" t="s">
        <v>6</v>
      </c>
      <c r="F6" s="5" t="s">
        <v>6</v>
      </c>
      <c r="G6" s="5" t="s">
        <v>3</v>
      </c>
      <c r="H6" s="6" t="n">
        <v>240000</v>
      </c>
      <c r="J6" s="5" t="s">
        <v>6</v>
      </c>
      <c r="K6" s="6" t="n">
        <f aca="false">SUMIFS($H$5:$H$30,$E$5:$E$30,J6,$G$5:$G$30,"Corn")</f>
        <v>240000</v>
      </c>
      <c r="L6" s="6" t="n">
        <f aca="false">SUMIFS($H$5:$H$30,$E$5:$E$30,J6,$G$5:$G$30,"Soybean")</f>
        <v>0</v>
      </c>
      <c r="M6" s="6" t="n">
        <f aca="false">K6+L6</f>
        <v>240000</v>
      </c>
      <c r="N6" s="6" t="n">
        <f aca="false">COUNTIFS($E$5:$E$30,J6)</f>
        <v>1</v>
      </c>
    </row>
    <row r="7" customFormat="false" ht="15" hidden="false" customHeight="false" outlineLevel="0" collapsed="false">
      <c r="A7" s="11" t="n">
        <v>41632</v>
      </c>
      <c r="B7" s="11" t="n">
        <v>41648</v>
      </c>
      <c r="C7" s="11" t="n">
        <v>41641</v>
      </c>
      <c r="D7" s="5" t="s">
        <v>31</v>
      </c>
      <c r="E7" s="5" t="s">
        <v>8</v>
      </c>
      <c r="F7" s="5" t="s">
        <v>8</v>
      </c>
      <c r="G7" s="5" t="s">
        <v>40</v>
      </c>
      <c r="H7" s="6" t="n">
        <v>114000</v>
      </c>
      <c r="J7" s="5" t="s">
        <v>8</v>
      </c>
      <c r="K7" s="6" t="n">
        <f aca="false">SUMIFS($H$5:$H$30,$E$5:$E$30,J7,$G$5:$G$30,"Corn")</f>
        <v>664000</v>
      </c>
      <c r="L7" s="6" t="n">
        <f aca="false">SUMIFS($H$5:$H$30,$E$5:$E$30,J7,$G$5:$G$30,"Soybean")</f>
        <v>114000</v>
      </c>
      <c r="M7" s="6" t="n">
        <f aca="false">K7+L7</f>
        <v>778000</v>
      </c>
      <c r="N7" s="6" t="n">
        <f aca="false">COUNTIFS($E$5:$E$30,J7)</f>
        <v>4</v>
      </c>
    </row>
    <row r="8" customFormat="false" ht="15" hidden="false" customHeight="false" outlineLevel="0" collapsed="false">
      <c r="A8" s="11" t="n">
        <v>41656</v>
      </c>
      <c r="B8" s="11" t="n">
        <v>41676</v>
      </c>
      <c r="C8" s="11" t="n">
        <v>41669</v>
      </c>
      <c r="D8" s="5" t="s">
        <v>31</v>
      </c>
      <c r="E8" s="5" t="s">
        <v>8</v>
      </c>
      <c r="F8" s="5" t="s">
        <v>8</v>
      </c>
      <c r="G8" s="5" t="s">
        <v>3</v>
      </c>
      <c r="H8" s="6" t="n">
        <v>204000</v>
      </c>
      <c r="J8" s="5" t="s">
        <v>9</v>
      </c>
      <c r="K8" s="6" t="n">
        <f aca="false">SUMIFS($H$5:$H$30,$E$5:$E$30,J8,$G$5:$G$30,"Corn")</f>
        <v>176000</v>
      </c>
      <c r="L8" s="6" t="n">
        <f aca="false">SUMIFS($H$5:$H$30,$E$5:$E$30,J8,$G$5:$G$30,"Soybean")</f>
        <v>120000</v>
      </c>
      <c r="M8" s="6" t="n">
        <f aca="false">K8+L8</f>
        <v>296000</v>
      </c>
      <c r="N8" s="6" t="n">
        <f aca="false">COUNTIFS($E$5:$E$30,J8)</f>
        <v>2</v>
      </c>
    </row>
    <row r="9" customFormat="false" ht="15" hidden="false" customHeight="false" outlineLevel="0" collapsed="false">
      <c r="A9" s="11" t="n">
        <v>41663</v>
      </c>
      <c r="B9" s="11" t="n">
        <v>41683</v>
      </c>
      <c r="C9" s="11" t="n">
        <v>41676</v>
      </c>
      <c r="D9" s="5" t="s">
        <v>31</v>
      </c>
      <c r="E9" s="5" t="s">
        <v>8</v>
      </c>
      <c r="F9" s="5" t="s">
        <v>8</v>
      </c>
      <c r="G9" s="5" t="s">
        <v>3</v>
      </c>
      <c r="H9" s="6" t="n">
        <v>120000</v>
      </c>
      <c r="J9" s="5" t="s">
        <v>12</v>
      </c>
      <c r="K9" s="6" t="n">
        <f aca="false">SUMIFS($H$5:$H$30,$E$5:$E$30,J9,$G$5:$G$30,"Corn")</f>
        <v>560000</v>
      </c>
      <c r="L9" s="6" t="n">
        <f aca="false">SUMIFS($H$5:$H$30,$E$5:$E$30,J9,$G$5:$G$30,"Soybean")</f>
        <v>120000</v>
      </c>
      <c r="M9" s="6" t="n">
        <f aca="false">K9+L9</f>
        <v>680000</v>
      </c>
      <c r="N9" s="6" t="n">
        <f aca="false">COUNTIFS($E$5:$E$30,J9)</f>
        <v>6</v>
      </c>
    </row>
    <row r="10" customFormat="false" ht="15" hidden="false" customHeight="false" outlineLevel="0" collapsed="false">
      <c r="A10" s="11" t="n">
        <v>41698</v>
      </c>
      <c r="B10" s="11" t="n">
        <v>41718</v>
      </c>
      <c r="C10" s="11" t="n">
        <v>41711</v>
      </c>
      <c r="D10" s="5" t="s">
        <v>31</v>
      </c>
      <c r="E10" s="5" t="s">
        <v>9</v>
      </c>
      <c r="F10" s="5" t="s">
        <v>8</v>
      </c>
      <c r="G10" s="5" t="s">
        <v>40</v>
      </c>
      <c r="H10" s="6" t="n">
        <v>120000</v>
      </c>
      <c r="J10" s="5" t="s">
        <v>13</v>
      </c>
      <c r="K10" s="6" t="n">
        <f aca="false">SUMIFS($H$5:$H$30,$E$5:$E$30,J10,$G$5:$G$30,"Corn")</f>
        <v>53000</v>
      </c>
      <c r="L10" s="6" t="n">
        <f aca="false">SUMIFS($H$5:$H$30,$E$5:$E$30,J10,$G$5:$G$30,"Soybean")</f>
        <v>55000</v>
      </c>
      <c r="M10" s="6" t="n">
        <f aca="false">K10+L10</f>
        <v>108000</v>
      </c>
      <c r="N10" s="6" t="n">
        <f aca="false">COUNTIFS($E$5:$E$30,J10)</f>
        <v>2</v>
      </c>
    </row>
    <row r="11" customFormat="false" ht="15" hidden="false" customHeight="false" outlineLevel="0" collapsed="false">
      <c r="A11" s="11" t="n">
        <v>41719</v>
      </c>
      <c r="B11" s="11" t="n">
        <v>41739</v>
      </c>
      <c r="C11" s="11" t="n">
        <v>41732</v>
      </c>
      <c r="D11" s="5" t="s">
        <v>31</v>
      </c>
      <c r="E11" s="5" t="s">
        <v>8</v>
      </c>
      <c r="F11" s="5" t="s">
        <v>8</v>
      </c>
      <c r="G11" s="5" t="s">
        <v>3</v>
      </c>
      <c r="H11" s="6" t="n">
        <v>340000</v>
      </c>
      <c r="J11" s="5" t="s">
        <v>14</v>
      </c>
      <c r="K11" s="6" t="n">
        <f aca="false">SUMIFS($H$5:$H$30,$E$5:$E$30,J11,$G$5:$G$30,"Corn")</f>
        <v>0</v>
      </c>
      <c r="L11" s="6" t="n">
        <f aca="false">SUMIFS($H$5:$H$30,$E$5:$E$30,J11,$G$5:$G$30,"Soybean")</f>
        <v>185000</v>
      </c>
      <c r="M11" s="6" t="n">
        <f aca="false">K11+L11</f>
        <v>185000</v>
      </c>
      <c r="N11" s="6" t="n">
        <f aca="false">COUNTIFS($E$5:$E$30,J11)</f>
        <v>2</v>
      </c>
    </row>
    <row r="12" customFormat="false" ht="15" hidden="false" customHeight="false" outlineLevel="0" collapsed="false">
      <c r="A12" s="11" t="n">
        <v>41823</v>
      </c>
      <c r="B12" s="11" t="n">
        <v>41837</v>
      </c>
      <c r="C12" s="11" t="n">
        <v>41830</v>
      </c>
      <c r="D12" s="5" t="s">
        <v>31</v>
      </c>
      <c r="E12" s="5" t="s">
        <v>9</v>
      </c>
      <c r="F12" s="5" t="s">
        <v>8</v>
      </c>
      <c r="G12" s="5" t="s">
        <v>3</v>
      </c>
      <c r="H12" s="6" t="n">
        <v>176000</v>
      </c>
      <c r="J12" s="5" t="s">
        <v>15</v>
      </c>
      <c r="K12" s="6" t="n">
        <f aca="false">SUMIFS($H$5:$H$30,$E$5:$E$30,J12,$G$5:$G$30,"Corn")</f>
        <v>0</v>
      </c>
      <c r="L12" s="6" t="n">
        <f aca="false">SUMIFS($H$5:$H$30,$E$5:$E$30,J12,$G$5:$G$30,"Soybean")</f>
        <v>230000</v>
      </c>
      <c r="M12" s="6" t="n">
        <f aca="false">K12+L12</f>
        <v>230000</v>
      </c>
      <c r="N12" s="6" t="n">
        <f aca="false">COUNTIFS($E$5:$E$30,J12)</f>
        <v>2</v>
      </c>
    </row>
    <row r="13" customFormat="false" ht="15" hidden="false" customHeight="false" outlineLevel="0" collapsed="false">
      <c r="A13" s="11" t="n">
        <v>43108</v>
      </c>
      <c r="B13" s="11" t="n">
        <v>43125</v>
      </c>
      <c r="C13" s="11" t="n">
        <v>43118</v>
      </c>
      <c r="D13" s="5" t="s">
        <v>31</v>
      </c>
      <c r="E13" s="5" t="s">
        <v>12</v>
      </c>
      <c r="F13" s="5" t="s">
        <v>12</v>
      </c>
      <c r="G13" s="5" t="s">
        <v>40</v>
      </c>
      <c r="H13" s="6" t="n">
        <v>120000</v>
      </c>
      <c r="J13" s="5" t="s">
        <v>16</v>
      </c>
      <c r="K13" s="6" t="n">
        <f aca="false">SUMIFS($H$5:$H$30,$E$5:$E$30,J13,$G$5:$G$30,"Corn")</f>
        <v>0</v>
      </c>
      <c r="L13" s="6" t="n">
        <f aca="false">SUMIFS($H$5:$H$30,$E$5:$E$30,J13,$G$5:$G$30,"Soybean")</f>
        <v>230000</v>
      </c>
      <c r="M13" s="6" t="n">
        <f aca="false">K13+L13</f>
        <v>230000</v>
      </c>
      <c r="N13" s="6" t="n">
        <f aca="false">COUNTIFS($E$5:$E$30,J13)</f>
        <v>2</v>
      </c>
    </row>
    <row r="14" customFormat="false" ht="15" hidden="false" customHeight="false" outlineLevel="0" collapsed="false">
      <c r="A14" s="11" t="n">
        <v>43129</v>
      </c>
      <c r="B14" s="11" t="n">
        <v>43146</v>
      </c>
      <c r="C14" s="11" t="n">
        <v>43139</v>
      </c>
      <c r="D14" s="5" t="s">
        <v>31</v>
      </c>
      <c r="E14" s="5" t="s">
        <v>12</v>
      </c>
      <c r="F14" s="5" t="s">
        <v>12</v>
      </c>
      <c r="G14" s="5" t="s">
        <v>3</v>
      </c>
      <c r="H14" s="6" t="n">
        <v>115000</v>
      </c>
      <c r="J14" s="5" t="s">
        <v>19</v>
      </c>
      <c r="K14" s="6" t="n">
        <f aca="false">SUMIFS($H$5:$H$30,$E$5:$E$30,J14,$G$5:$G$30,"Corn")</f>
        <v>0</v>
      </c>
      <c r="L14" s="6" t="n">
        <f aca="false">SUMIFS($H$5:$H$30,$E$5:$E$30,J14,$G$5:$G$30,"Soybean")</f>
        <v>110000</v>
      </c>
      <c r="M14" s="6" t="n">
        <f aca="false">K14+L14</f>
        <v>110000</v>
      </c>
      <c r="N14" s="6" t="n">
        <f aca="false">COUNTIFS($E$5:$E$30,J14)</f>
        <v>1</v>
      </c>
    </row>
    <row r="15" customFormat="false" ht="15" hidden="false" customHeight="false" outlineLevel="0" collapsed="false">
      <c r="A15" s="11" t="n">
        <v>43133</v>
      </c>
      <c r="B15" s="11" t="n">
        <v>43153</v>
      </c>
      <c r="C15" s="11" t="n">
        <v>43146</v>
      </c>
      <c r="D15" s="5" t="s">
        <v>31</v>
      </c>
      <c r="E15" s="5" t="s">
        <v>12</v>
      </c>
      <c r="F15" s="5" t="s">
        <v>12</v>
      </c>
      <c r="G15" s="5" t="s">
        <v>3</v>
      </c>
      <c r="H15" s="6" t="n">
        <v>170000</v>
      </c>
      <c r="J15" s="5" t="s">
        <v>20</v>
      </c>
      <c r="K15" s="6" t="n">
        <f aca="false">SUMIFS($H$5:$H$30,$E$5:$E$30,J15,$G$5:$G$30,"Corn")</f>
        <v>0</v>
      </c>
      <c r="L15" s="6" t="n">
        <f aca="false">SUMIFS($H$5:$H$30,$E$5:$E$30,J15,$G$5:$G$30,"Soybean")</f>
        <v>338000</v>
      </c>
      <c r="M15" s="6" t="n">
        <f aca="false">K15+L15</f>
        <v>338000</v>
      </c>
      <c r="N15" s="6" t="n">
        <f aca="false">COUNTIFS($E$5:$E$30,J15)</f>
        <v>3</v>
      </c>
    </row>
    <row r="16" customFormat="false" ht="15" hidden="false" customHeight="false" outlineLevel="0" collapsed="false">
      <c r="A16" s="11" t="n">
        <v>43154</v>
      </c>
      <c r="B16" s="11" t="n">
        <v>43174</v>
      </c>
      <c r="C16" s="11" t="n">
        <v>43167</v>
      </c>
      <c r="D16" s="5" t="s">
        <v>31</v>
      </c>
      <c r="E16" s="5" t="s">
        <v>12</v>
      </c>
      <c r="F16" s="5" t="s">
        <v>12</v>
      </c>
      <c r="G16" s="5" t="s">
        <v>3</v>
      </c>
      <c r="H16" s="6" t="n">
        <v>115000</v>
      </c>
      <c r="J16" s="8" t="s">
        <v>24</v>
      </c>
      <c r="K16" s="9" t="n">
        <f aca="false">SUM(K5:K15)</f>
        <v>1813000</v>
      </c>
      <c r="L16" s="9" t="n">
        <f aca="false">SUM(L5:L15)</f>
        <v>1502000</v>
      </c>
      <c r="M16" s="9" t="n">
        <f aca="false">SUM(M5:M15)</f>
        <v>3315000</v>
      </c>
      <c r="N16" s="9" t="n">
        <f aca="false">SUM(N5:N15)</f>
        <v>26</v>
      </c>
    </row>
    <row r="17" customFormat="false" ht="15" hidden="false" customHeight="false" outlineLevel="0" collapsed="false">
      <c r="A17" s="11" t="n">
        <v>43196</v>
      </c>
      <c r="B17" s="11" t="n">
        <v>43216</v>
      </c>
      <c r="C17" s="11" t="n">
        <v>43209</v>
      </c>
      <c r="D17" s="5" t="s">
        <v>31</v>
      </c>
      <c r="E17" s="5" t="s">
        <v>12</v>
      </c>
      <c r="F17" s="5" t="s">
        <v>12</v>
      </c>
      <c r="G17" s="5" t="s">
        <v>3</v>
      </c>
      <c r="H17" s="6" t="n">
        <v>100000</v>
      </c>
    </row>
    <row r="18" customFormat="false" ht="15" hidden="false" customHeight="false" outlineLevel="0" collapsed="false">
      <c r="A18" s="11" t="n">
        <v>43291</v>
      </c>
      <c r="B18" s="11" t="n">
        <v>43307</v>
      </c>
      <c r="C18" s="11" t="n">
        <v>43300</v>
      </c>
      <c r="D18" s="5" t="s">
        <v>31</v>
      </c>
      <c r="E18" s="5" t="s">
        <v>12</v>
      </c>
      <c r="F18" s="5" t="s">
        <v>12</v>
      </c>
      <c r="G18" s="5" t="s">
        <v>3</v>
      </c>
      <c r="H18" s="6" t="n">
        <v>60000</v>
      </c>
    </row>
    <row r="19" customFormat="false" ht="15" hidden="false" customHeight="false" outlineLevel="0" collapsed="false">
      <c r="A19" s="11" t="n">
        <v>43291</v>
      </c>
      <c r="B19" s="11" t="n">
        <v>43307</v>
      </c>
      <c r="C19" s="11" t="n">
        <v>43300</v>
      </c>
      <c r="D19" s="5" t="s">
        <v>31</v>
      </c>
      <c r="E19" s="5" t="s">
        <v>13</v>
      </c>
      <c r="F19" s="5" t="s">
        <v>12</v>
      </c>
      <c r="G19" s="5" t="s">
        <v>3</v>
      </c>
      <c r="H19" s="6" t="n">
        <v>53000</v>
      </c>
      <c r="J19" s="10" t="s">
        <v>42</v>
      </c>
    </row>
    <row r="20" customFormat="false" ht="15" hidden="false" customHeight="false" outlineLevel="0" collapsed="false">
      <c r="A20" s="11" t="n">
        <v>43623</v>
      </c>
      <c r="B20" s="11" t="n">
        <v>43643</v>
      </c>
      <c r="C20" s="11" t="n">
        <v>43636</v>
      </c>
      <c r="D20" s="5" t="s">
        <v>31</v>
      </c>
      <c r="E20" s="5" t="s">
        <v>13</v>
      </c>
      <c r="F20" s="5" t="s">
        <v>13</v>
      </c>
      <c r="G20" s="5" t="s">
        <v>40</v>
      </c>
      <c r="H20" s="6" t="n">
        <v>55000</v>
      </c>
      <c r="J20" s="4" t="s">
        <v>54</v>
      </c>
      <c r="K20" s="4" t="s">
        <v>3</v>
      </c>
      <c r="L20" s="4" t="s">
        <v>40</v>
      </c>
      <c r="M20" s="4" t="s">
        <v>24</v>
      </c>
      <c r="N20" s="4" t="s">
        <v>53</v>
      </c>
    </row>
    <row r="21" customFormat="false" ht="15" hidden="false" customHeight="false" outlineLevel="0" collapsed="false">
      <c r="A21" s="11" t="n">
        <v>43623</v>
      </c>
      <c r="B21" s="11" t="n">
        <v>43643</v>
      </c>
      <c r="C21" s="11" t="n">
        <v>43636</v>
      </c>
      <c r="D21" s="5" t="s">
        <v>31</v>
      </c>
      <c r="E21" s="5" t="s">
        <v>14</v>
      </c>
      <c r="F21" s="5" t="s">
        <v>13</v>
      </c>
      <c r="G21" s="5" t="s">
        <v>40</v>
      </c>
      <c r="H21" s="6" t="n">
        <v>55000</v>
      </c>
      <c r="J21" s="5" t="s">
        <v>5</v>
      </c>
      <c r="K21" s="6" t="n">
        <f aca="false">SUMIFS($H$5:$H$30,$F$5:$F$30,J21,$G$5:$G$30,"Corn")</f>
        <v>120000</v>
      </c>
      <c r="L21" s="6" t="n">
        <f aca="false">SUMIFS($H$5:$H$30,$F$5:$F$30,J21,$G$5:$G$30,"Soybean")</f>
        <v>0</v>
      </c>
      <c r="M21" s="6" t="n">
        <f aca="false">K21+L21</f>
        <v>120000</v>
      </c>
      <c r="N21" s="6" t="n">
        <f aca="false">COUNTIFS($F$5:$F$30,J21)</f>
        <v>1</v>
      </c>
    </row>
    <row r="22" customFormat="false" ht="15" hidden="false" customHeight="false" outlineLevel="0" collapsed="false">
      <c r="A22" s="11" t="n">
        <v>43864</v>
      </c>
      <c r="B22" s="11" t="n">
        <v>43881</v>
      </c>
      <c r="C22" s="11" t="n">
        <v>43874</v>
      </c>
      <c r="D22" s="5" t="s">
        <v>31</v>
      </c>
      <c r="E22" s="5" t="s">
        <v>14</v>
      </c>
      <c r="F22" s="5" t="s">
        <v>14</v>
      </c>
      <c r="G22" s="5" t="s">
        <v>40</v>
      </c>
      <c r="H22" s="6" t="n">
        <v>130000</v>
      </c>
      <c r="J22" s="5" t="s">
        <v>6</v>
      </c>
      <c r="K22" s="6" t="n">
        <f aca="false">SUMIFS($H$5:$H$30,$F$5:$F$30,J22,$G$5:$G$30,"Corn")</f>
        <v>240000</v>
      </c>
      <c r="L22" s="6" t="n">
        <f aca="false">SUMIFS($H$5:$H$30,$F$5:$F$30,J22,$G$5:$G$30,"Soybean")</f>
        <v>0</v>
      </c>
      <c r="M22" s="6" t="n">
        <f aca="false">K22+L22</f>
        <v>240000</v>
      </c>
      <c r="N22" s="6" t="n">
        <f aca="false">COUNTIFS($F$5:$F$30,J22)</f>
        <v>1</v>
      </c>
    </row>
    <row r="23" customFormat="false" ht="15" hidden="false" customHeight="false" outlineLevel="0" collapsed="false">
      <c r="A23" s="11" t="n">
        <v>44105</v>
      </c>
      <c r="B23" s="11" t="n">
        <v>44119</v>
      </c>
      <c r="C23" s="11" t="n">
        <v>44112</v>
      </c>
      <c r="D23" s="5" t="s">
        <v>31</v>
      </c>
      <c r="E23" s="5" t="s">
        <v>15</v>
      </c>
      <c r="F23" s="5" t="s">
        <v>15</v>
      </c>
      <c r="G23" s="5" t="s">
        <v>40</v>
      </c>
      <c r="H23" s="6" t="n">
        <v>120000</v>
      </c>
      <c r="J23" s="5" t="s">
        <v>8</v>
      </c>
      <c r="K23" s="6" t="n">
        <f aca="false">SUMIFS($H$5:$H$30,$F$5:$F$30,J23,$G$5:$G$30,"Corn")</f>
        <v>840000</v>
      </c>
      <c r="L23" s="6" t="n">
        <f aca="false">SUMIFS($H$5:$H$30,$F$5:$F$30,J23,$G$5:$G$30,"Soybean")</f>
        <v>234000</v>
      </c>
      <c r="M23" s="6" t="n">
        <f aca="false">K23+L23</f>
        <v>1074000</v>
      </c>
      <c r="N23" s="6" t="n">
        <f aca="false">COUNTIFS($F$5:$F$30,J23)</f>
        <v>6</v>
      </c>
    </row>
    <row r="24" customFormat="false" ht="15" hidden="false" customHeight="false" outlineLevel="0" collapsed="false">
      <c r="A24" s="11" t="n">
        <v>44132</v>
      </c>
      <c r="B24" s="11" t="n">
        <v>44147</v>
      </c>
      <c r="C24" s="11" t="n">
        <v>44140</v>
      </c>
      <c r="D24" s="5" t="s">
        <v>31</v>
      </c>
      <c r="E24" s="5" t="s">
        <v>15</v>
      </c>
      <c r="F24" s="5" t="s">
        <v>15</v>
      </c>
      <c r="G24" s="5" t="s">
        <v>40</v>
      </c>
      <c r="H24" s="6" t="n">
        <v>110000</v>
      </c>
      <c r="J24" s="5" t="s">
        <v>12</v>
      </c>
      <c r="K24" s="6" t="n">
        <f aca="false">SUMIFS($H$5:$H$30,$F$5:$F$30,J24,$G$5:$G$30,"Corn")</f>
        <v>613000</v>
      </c>
      <c r="L24" s="6" t="n">
        <f aca="false">SUMIFS($H$5:$H$30,$F$5:$F$30,J24,$G$5:$G$30,"Soybean")</f>
        <v>120000</v>
      </c>
      <c r="M24" s="6" t="n">
        <f aca="false">K24+L24</f>
        <v>733000</v>
      </c>
      <c r="N24" s="6" t="n">
        <f aca="false">COUNTIFS($F$5:$F$30,J24)</f>
        <v>7</v>
      </c>
    </row>
    <row r="25" customFormat="false" ht="15" hidden="false" customHeight="false" outlineLevel="0" collapsed="false">
      <c r="A25" s="11" t="n">
        <v>44504</v>
      </c>
      <c r="B25" s="11" t="n">
        <v>44518</v>
      </c>
      <c r="C25" s="11" t="n">
        <v>44511</v>
      </c>
      <c r="D25" s="5" t="s">
        <v>31</v>
      </c>
      <c r="E25" s="5" t="s">
        <v>16</v>
      </c>
      <c r="F25" s="5" t="s">
        <v>16</v>
      </c>
      <c r="G25" s="5" t="s">
        <v>40</v>
      </c>
      <c r="H25" s="6" t="n">
        <v>100000</v>
      </c>
      <c r="J25" s="5" t="s">
        <v>13</v>
      </c>
      <c r="K25" s="6" t="n">
        <f aca="false">SUMIFS($H$5:$H$30,$F$5:$F$30,J25,$G$5:$G$30,"Corn")</f>
        <v>0</v>
      </c>
      <c r="L25" s="6" t="n">
        <f aca="false">SUMIFS($H$5:$H$30,$F$5:$F$30,J25,$G$5:$G$30,"Soybean")</f>
        <v>110000</v>
      </c>
      <c r="M25" s="6" t="n">
        <f aca="false">K25+L25</f>
        <v>110000</v>
      </c>
      <c r="N25" s="6" t="n">
        <f aca="false">COUNTIFS($F$5:$F$30,J25)</f>
        <v>2</v>
      </c>
    </row>
    <row r="26" customFormat="false" ht="15" hidden="false" customHeight="false" outlineLevel="0" collapsed="false">
      <c r="A26" s="11" t="n">
        <v>44704</v>
      </c>
      <c r="B26" s="11" t="n">
        <v>44721</v>
      </c>
      <c r="C26" s="11" t="n">
        <v>44714</v>
      </c>
      <c r="D26" s="5" t="s">
        <v>31</v>
      </c>
      <c r="E26" s="5" t="s">
        <v>16</v>
      </c>
      <c r="F26" s="5" t="s">
        <v>16</v>
      </c>
      <c r="G26" s="5" t="s">
        <v>40</v>
      </c>
      <c r="H26" s="6" t="n">
        <v>130000</v>
      </c>
      <c r="J26" s="5" t="s">
        <v>14</v>
      </c>
      <c r="K26" s="6" t="n">
        <f aca="false">SUMIFS($H$5:$H$30,$F$5:$F$30,J26,$G$5:$G$30,"Corn")</f>
        <v>0</v>
      </c>
      <c r="L26" s="6" t="n">
        <f aca="false">SUMIFS($H$5:$H$30,$F$5:$F$30,J26,$G$5:$G$30,"Soybean")</f>
        <v>130000</v>
      </c>
      <c r="M26" s="6" t="n">
        <f aca="false">K26+L26</f>
        <v>130000</v>
      </c>
      <c r="N26" s="6" t="n">
        <f aca="false">COUNTIFS($F$5:$F$30,J26)</f>
        <v>1</v>
      </c>
    </row>
    <row r="27" customFormat="false" ht="15" hidden="false" customHeight="false" outlineLevel="0" collapsed="false">
      <c r="A27" s="11" t="n">
        <v>45834</v>
      </c>
      <c r="B27" s="11" t="n">
        <v>45848</v>
      </c>
      <c r="C27" s="11" t="n">
        <v>45841</v>
      </c>
      <c r="D27" s="5" t="s">
        <v>31</v>
      </c>
      <c r="E27" s="5" t="s">
        <v>19</v>
      </c>
      <c r="F27" s="5" t="s">
        <v>19</v>
      </c>
      <c r="G27" s="5" t="s">
        <v>40</v>
      </c>
      <c r="H27" s="6" t="n">
        <v>110000</v>
      </c>
      <c r="J27" s="5" t="s">
        <v>15</v>
      </c>
      <c r="K27" s="6" t="n">
        <f aca="false">SUMIFS($H$5:$H$30,$F$5:$F$30,J27,$G$5:$G$30,"Corn")</f>
        <v>0</v>
      </c>
      <c r="L27" s="6" t="n">
        <f aca="false">SUMIFS($H$5:$H$30,$F$5:$F$30,J27,$G$5:$G$30,"Soybean")</f>
        <v>230000</v>
      </c>
      <c r="M27" s="6" t="n">
        <f aca="false">K27+L27</f>
        <v>230000</v>
      </c>
      <c r="N27" s="6" t="n">
        <f aca="false">COUNTIFS($F$5:$F$30,J27)</f>
        <v>2</v>
      </c>
    </row>
    <row r="28" customFormat="false" ht="15" hidden="false" customHeight="false" outlineLevel="0" collapsed="false">
      <c r="A28" s="11" t="n">
        <v>45957</v>
      </c>
      <c r="B28" s="11" t="n">
        <v>45974</v>
      </c>
      <c r="C28" s="11" t="n">
        <v>45967</v>
      </c>
      <c r="D28" s="5" t="s">
        <v>31</v>
      </c>
      <c r="E28" s="5" t="s">
        <v>20</v>
      </c>
      <c r="F28" s="5" t="s">
        <v>20</v>
      </c>
      <c r="G28" s="5" t="s">
        <v>40</v>
      </c>
      <c r="H28" s="6" t="n">
        <v>130000</v>
      </c>
      <c r="J28" s="5" t="s">
        <v>16</v>
      </c>
      <c r="K28" s="6" t="n">
        <f aca="false">SUMIFS($H$5:$H$30,$F$5:$F$30,J28,$G$5:$G$30,"Corn")</f>
        <v>0</v>
      </c>
      <c r="L28" s="6" t="n">
        <f aca="false">SUMIFS($H$5:$H$30,$F$5:$F$30,J28,$G$5:$G$30,"Soybean")</f>
        <v>230000</v>
      </c>
      <c r="M28" s="6" t="n">
        <f aca="false">K28+L28</f>
        <v>230000</v>
      </c>
      <c r="N28" s="6" t="n">
        <f aca="false">COUNTIFS($F$5:$F$30,J28)</f>
        <v>2</v>
      </c>
    </row>
    <row r="29" customFormat="false" ht="15" hidden="false" customHeight="false" outlineLevel="0" collapsed="false">
      <c r="A29" s="11" t="n">
        <v>46020</v>
      </c>
      <c r="B29" s="11" t="n">
        <v>46037</v>
      </c>
      <c r="C29" s="11" t="n">
        <v>46030</v>
      </c>
      <c r="D29" s="5" t="s">
        <v>31</v>
      </c>
      <c r="E29" s="5" t="s">
        <v>20</v>
      </c>
      <c r="F29" s="5" t="s">
        <v>20</v>
      </c>
      <c r="G29" s="5" t="s">
        <v>40</v>
      </c>
      <c r="H29" s="6" t="n">
        <v>100000</v>
      </c>
      <c r="J29" s="5" t="s">
        <v>19</v>
      </c>
      <c r="K29" s="6" t="n">
        <f aca="false">SUMIFS($H$5:$H$30,$F$5:$F$30,J29,$G$5:$G$30,"Corn")</f>
        <v>0</v>
      </c>
      <c r="L29" s="6" t="n">
        <f aca="false">SUMIFS($H$5:$H$30,$F$5:$F$30,J29,$G$5:$G$30,"Soybean")</f>
        <v>110000</v>
      </c>
      <c r="M29" s="6" t="n">
        <f aca="false">K29+L29</f>
        <v>110000</v>
      </c>
      <c r="N29" s="6" t="n">
        <f aca="false">COUNTIFS($F$5:$F$30,J29)</f>
        <v>1</v>
      </c>
    </row>
    <row r="30" customFormat="false" ht="15" hidden="false" customHeight="false" outlineLevel="0" collapsed="false">
      <c r="A30" s="11" t="n">
        <v>46065</v>
      </c>
      <c r="B30" s="11" t="n">
        <v>46079</v>
      </c>
      <c r="C30" s="11" t="n">
        <v>46072</v>
      </c>
      <c r="D30" s="5" t="s">
        <v>31</v>
      </c>
      <c r="E30" s="5" t="s">
        <v>20</v>
      </c>
      <c r="F30" s="5" t="s">
        <v>20</v>
      </c>
      <c r="G30" s="5" t="s">
        <v>40</v>
      </c>
      <c r="H30" s="6" t="n">
        <v>108000</v>
      </c>
      <c r="J30" s="5" t="s">
        <v>20</v>
      </c>
      <c r="K30" s="6" t="n">
        <f aca="false">SUMIFS($H$5:$H$30,$F$5:$F$30,J30,$G$5:$G$30,"Corn")</f>
        <v>0</v>
      </c>
      <c r="L30" s="6" t="n">
        <f aca="false">SUMIFS($H$5:$H$30,$F$5:$F$30,J30,$G$5:$G$30,"Soybean")</f>
        <v>338000</v>
      </c>
      <c r="M30" s="6" t="n">
        <f aca="false">K30+L30</f>
        <v>338000</v>
      </c>
      <c r="N30" s="6" t="n">
        <f aca="false">COUNTIFS($F$5:$F$30,J30)</f>
        <v>3</v>
      </c>
    </row>
    <row r="31" customFormat="false" ht="15" hidden="false" customHeight="false" outlineLevel="0" collapsed="false">
      <c r="J31" s="8" t="s">
        <v>24</v>
      </c>
      <c r="K31" s="9" t="n">
        <f aca="false">SUM(K21:K30)</f>
        <v>1813000</v>
      </c>
      <c r="L31" s="9" t="n">
        <f aca="false">SUM(L21:L30)</f>
        <v>1502000</v>
      </c>
      <c r="M31" s="9" t="n">
        <f aca="false">SUM(M21:M30)</f>
        <v>3315000</v>
      </c>
      <c r="N31" s="9" t="n">
        <f aca="false">SUM(N21:N30)</f>
        <v>26</v>
      </c>
    </row>
  </sheetData>
  <autoFilter ref="A4:H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9"/>
  </cols>
  <sheetData>
    <row r="1" customFormat="false" ht="16.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J3" s="10" t="s">
        <v>2</v>
      </c>
    </row>
    <row r="4" customFormat="false" ht="30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</v>
      </c>
      <c r="E4" s="4" t="s">
        <v>48</v>
      </c>
      <c r="F4" s="4" t="s">
        <v>49</v>
      </c>
      <c r="G4" s="4" t="s">
        <v>50</v>
      </c>
      <c r="H4" s="4" t="s">
        <v>51</v>
      </c>
      <c r="J4" s="4" t="s">
        <v>52</v>
      </c>
      <c r="K4" s="4" t="s">
        <v>3</v>
      </c>
      <c r="L4" s="4" t="s">
        <v>40</v>
      </c>
      <c r="M4" s="4" t="s">
        <v>24</v>
      </c>
      <c r="N4" s="4" t="s">
        <v>53</v>
      </c>
    </row>
    <row r="5" customFormat="false" ht="15" hidden="false" customHeight="false" outlineLevel="0" collapsed="false">
      <c r="A5" s="11" t="n">
        <v>41663</v>
      </c>
      <c r="B5" s="11" t="n">
        <v>41683</v>
      </c>
      <c r="C5" s="11" t="n">
        <v>41676</v>
      </c>
      <c r="D5" s="5" t="s">
        <v>32</v>
      </c>
      <c r="E5" s="5" t="s">
        <v>8</v>
      </c>
      <c r="F5" s="5" t="s">
        <v>8</v>
      </c>
      <c r="G5" s="5" t="s">
        <v>3</v>
      </c>
      <c r="H5" s="6" t="n">
        <v>150000</v>
      </c>
      <c r="J5" s="5" t="s">
        <v>8</v>
      </c>
      <c r="K5" s="6" t="n">
        <f aca="false">SUMIFS($H$5:$H$17,$E$5:$E$17,J5,$G$5:$G$17,"Corn")</f>
        <v>150000</v>
      </c>
      <c r="L5" s="6" t="n">
        <f aca="false">SUMIFS($H$5:$H$17,$E$5:$E$17,J5,$G$5:$G$17,"Soybean")</f>
        <v>0</v>
      </c>
      <c r="M5" s="6" t="n">
        <f aca="false">K5+L5</f>
        <v>150000</v>
      </c>
      <c r="N5" s="6" t="n">
        <f aca="false">COUNTIFS($E$5:$E$17,J5)</f>
        <v>1</v>
      </c>
    </row>
    <row r="6" customFormat="false" ht="15" hidden="false" customHeight="false" outlineLevel="0" collapsed="false">
      <c r="A6" s="11" t="n">
        <v>43028</v>
      </c>
      <c r="B6" s="11" t="n">
        <v>43048</v>
      </c>
      <c r="C6" s="11" t="n">
        <v>43041</v>
      </c>
      <c r="D6" s="5" t="s">
        <v>32</v>
      </c>
      <c r="E6" s="5" t="s">
        <v>12</v>
      </c>
      <c r="F6" s="5" t="s">
        <v>12</v>
      </c>
      <c r="G6" s="5" t="s">
        <v>3</v>
      </c>
      <c r="H6" s="6" t="n">
        <v>120000</v>
      </c>
      <c r="J6" s="5" t="s">
        <v>12</v>
      </c>
      <c r="K6" s="6" t="n">
        <f aca="false">SUMIFS($H$5:$H$17,$E$5:$E$17,J6,$G$5:$G$17,"Corn")</f>
        <v>384000</v>
      </c>
      <c r="L6" s="6" t="n">
        <f aca="false">SUMIFS($H$5:$H$17,$E$5:$E$17,J6,$G$5:$G$17,"Soybean")</f>
        <v>0</v>
      </c>
      <c r="M6" s="6" t="n">
        <f aca="false">K6+L6</f>
        <v>384000</v>
      </c>
      <c r="N6" s="6" t="n">
        <f aca="false">COUNTIFS($E$5:$E$17,J6)</f>
        <v>3</v>
      </c>
    </row>
    <row r="7" customFormat="false" ht="15" hidden="false" customHeight="false" outlineLevel="0" collapsed="false">
      <c r="A7" s="11" t="n">
        <v>43035</v>
      </c>
      <c r="B7" s="11" t="n">
        <v>43055</v>
      </c>
      <c r="C7" s="11" t="n">
        <v>43048</v>
      </c>
      <c r="D7" s="5" t="s">
        <v>32</v>
      </c>
      <c r="E7" s="5" t="s">
        <v>12</v>
      </c>
      <c r="F7" s="5" t="s">
        <v>12</v>
      </c>
      <c r="G7" s="5" t="s">
        <v>3</v>
      </c>
      <c r="H7" s="6" t="n">
        <v>132000</v>
      </c>
      <c r="J7" s="5" t="s">
        <v>17</v>
      </c>
      <c r="K7" s="6" t="n">
        <f aca="false">SUMIFS($H$5:$H$17,$E$5:$E$17,J7,$G$5:$G$17,"Corn")</f>
        <v>0</v>
      </c>
      <c r="L7" s="6" t="n">
        <f aca="false">SUMIFS($H$5:$H$17,$E$5:$E$17,J7,$G$5:$G$17,"Soybean")</f>
        <v>363000</v>
      </c>
      <c r="M7" s="6" t="n">
        <f aca="false">K7+L7</f>
        <v>363000</v>
      </c>
      <c r="N7" s="6" t="n">
        <f aca="false">COUNTIFS($E$5:$E$17,J7)</f>
        <v>2</v>
      </c>
    </row>
    <row r="8" customFormat="false" ht="15" hidden="false" customHeight="false" outlineLevel="0" collapsed="false">
      <c r="A8" s="11" t="n">
        <v>43130</v>
      </c>
      <c r="B8" s="11" t="n">
        <v>43146</v>
      </c>
      <c r="C8" s="11" t="n">
        <v>43139</v>
      </c>
      <c r="D8" s="5" t="s">
        <v>32</v>
      </c>
      <c r="E8" s="5" t="s">
        <v>12</v>
      </c>
      <c r="F8" s="5" t="s">
        <v>12</v>
      </c>
      <c r="G8" s="5" t="s">
        <v>3</v>
      </c>
      <c r="H8" s="6" t="n">
        <v>132000</v>
      </c>
      <c r="J8" s="5" t="s">
        <v>18</v>
      </c>
      <c r="K8" s="6" t="n">
        <f aca="false">SUMIFS($H$5:$H$17,$E$5:$E$17,J8,$G$5:$G$17,"Corn")</f>
        <v>220000</v>
      </c>
      <c r="L8" s="6" t="n">
        <f aca="false">SUMIFS($H$5:$H$17,$E$5:$E$17,J8,$G$5:$G$17,"Soybean")</f>
        <v>0</v>
      </c>
      <c r="M8" s="6" t="n">
        <f aca="false">K8+L8</f>
        <v>220000</v>
      </c>
      <c r="N8" s="6" t="n">
        <f aca="false">COUNTIFS($E$5:$E$17,J8)</f>
        <v>2</v>
      </c>
    </row>
    <row r="9" customFormat="false" ht="15" hidden="false" customHeight="false" outlineLevel="0" collapsed="false">
      <c r="A9" s="11" t="n">
        <v>44862</v>
      </c>
      <c r="B9" s="11" t="n">
        <v>44882</v>
      </c>
      <c r="C9" s="11" t="n">
        <v>44875</v>
      </c>
      <c r="D9" s="5" t="s">
        <v>32</v>
      </c>
      <c r="E9" s="5" t="s">
        <v>17</v>
      </c>
      <c r="F9" s="5" t="s">
        <v>17</v>
      </c>
      <c r="G9" s="5" t="s">
        <v>40</v>
      </c>
      <c r="H9" s="6" t="n">
        <v>198000</v>
      </c>
      <c r="J9" s="5" t="s">
        <v>19</v>
      </c>
      <c r="K9" s="6" t="n">
        <f aca="false">SUMIFS($H$5:$H$17,$E$5:$E$17,J9,$G$5:$G$17,"Corn")</f>
        <v>360000</v>
      </c>
      <c r="L9" s="6" t="n">
        <f aca="false">SUMIFS($H$5:$H$17,$E$5:$E$17,J9,$G$5:$G$17,"Soybean")</f>
        <v>187000</v>
      </c>
      <c r="M9" s="6" t="n">
        <f aca="false">K9+L9</f>
        <v>547000</v>
      </c>
      <c r="N9" s="6" t="n">
        <f aca="false">COUNTIFS($E$5:$E$17,J9)</f>
        <v>3</v>
      </c>
    </row>
    <row r="10" customFormat="false" ht="15" hidden="false" customHeight="false" outlineLevel="0" collapsed="false">
      <c r="A10" s="11" t="n">
        <v>45083</v>
      </c>
      <c r="B10" s="11" t="n">
        <v>45099</v>
      </c>
      <c r="C10" s="11" t="n">
        <v>45092</v>
      </c>
      <c r="D10" s="5" t="s">
        <v>32</v>
      </c>
      <c r="E10" s="5" t="s">
        <v>17</v>
      </c>
      <c r="F10" s="5" t="s">
        <v>17</v>
      </c>
      <c r="G10" s="5" t="s">
        <v>40</v>
      </c>
      <c r="H10" s="6" t="n">
        <v>165000</v>
      </c>
      <c r="J10" s="5" t="s">
        <v>20</v>
      </c>
      <c r="K10" s="6" t="n">
        <f aca="false">SUMIFS($H$5:$H$17,$E$5:$E$17,J10,$G$5:$G$17,"Corn")</f>
        <v>272452</v>
      </c>
      <c r="L10" s="6" t="n">
        <f aca="false">SUMIFS($H$5:$H$17,$E$5:$E$17,J10,$G$5:$G$17,"Soybean")</f>
        <v>0</v>
      </c>
      <c r="M10" s="6" t="n">
        <f aca="false">K10+L10</f>
        <v>272452</v>
      </c>
      <c r="N10" s="6" t="n">
        <f aca="false">COUNTIFS($E$5:$E$17,J10)</f>
        <v>2</v>
      </c>
    </row>
    <row r="11" customFormat="false" ht="15" hidden="false" customHeight="false" outlineLevel="0" collapsed="false">
      <c r="A11" s="11" t="n">
        <v>45433</v>
      </c>
      <c r="B11" s="11" t="n">
        <v>45449</v>
      </c>
      <c r="C11" s="11" t="n">
        <v>45442</v>
      </c>
      <c r="D11" s="5" t="s">
        <v>32</v>
      </c>
      <c r="E11" s="5" t="s">
        <v>18</v>
      </c>
      <c r="F11" s="5" t="s">
        <v>18</v>
      </c>
      <c r="G11" s="5" t="s">
        <v>3</v>
      </c>
      <c r="H11" s="6" t="n">
        <v>110000</v>
      </c>
      <c r="J11" s="8" t="s">
        <v>24</v>
      </c>
      <c r="K11" s="9" t="n">
        <f aca="false">SUM(K5:K10)</f>
        <v>1386452</v>
      </c>
      <c r="L11" s="9" t="n">
        <f aca="false">SUM(L5:L10)</f>
        <v>550000</v>
      </c>
      <c r="M11" s="9" t="n">
        <f aca="false">SUM(M5:M10)</f>
        <v>1936452</v>
      </c>
      <c r="N11" s="9" t="n">
        <f aca="false">SUM(N5:N10)</f>
        <v>13</v>
      </c>
    </row>
    <row r="12" customFormat="false" ht="15" hidden="false" customHeight="false" outlineLevel="0" collapsed="false">
      <c r="A12" s="11" t="n">
        <v>45446</v>
      </c>
      <c r="B12" s="11" t="n">
        <v>45463</v>
      </c>
      <c r="C12" s="11" t="n">
        <v>45456</v>
      </c>
      <c r="D12" s="5" t="s">
        <v>32</v>
      </c>
      <c r="E12" s="5" t="s">
        <v>18</v>
      </c>
      <c r="F12" s="5" t="s">
        <v>18</v>
      </c>
      <c r="G12" s="5" t="s">
        <v>3</v>
      </c>
      <c r="H12" s="6" t="n">
        <v>110000</v>
      </c>
    </row>
    <row r="13" customFormat="false" ht="15" hidden="false" customHeight="false" outlineLevel="0" collapsed="false">
      <c r="A13" s="11" t="n">
        <v>45643</v>
      </c>
      <c r="B13" s="11" t="n">
        <v>45659</v>
      </c>
      <c r="C13" s="11" t="n">
        <v>45652</v>
      </c>
      <c r="D13" s="5" t="s">
        <v>32</v>
      </c>
      <c r="E13" s="5" t="s">
        <v>19</v>
      </c>
      <c r="F13" s="5" t="s">
        <v>19</v>
      </c>
      <c r="G13" s="5" t="s">
        <v>40</v>
      </c>
      <c r="H13" s="6" t="n">
        <v>187000</v>
      </c>
    </row>
    <row r="14" customFormat="false" ht="15" hidden="false" customHeight="false" outlineLevel="0" collapsed="false">
      <c r="A14" s="11" t="n">
        <v>45755</v>
      </c>
      <c r="B14" s="11" t="n">
        <v>45771</v>
      </c>
      <c r="C14" s="11" t="n">
        <v>45764</v>
      </c>
      <c r="D14" s="5" t="s">
        <v>32</v>
      </c>
      <c r="E14" s="5" t="s">
        <v>19</v>
      </c>
      <c r="F14" s="5" t="s">
        <v>19</v>
      </c>
      <c r="G14" s="5" t="s">
        <v>3</v>
      </c>
      <c r="H14" s="6" t="n">
        <v>240000</v>
      </c>
      <c r="J14" s="10" t="s">
        <v>42</v>
      </c>
    </row>
    <row r="15" customFormat="false" ht="15" hidden="false" customHeight="false" outlineLevel="0" collapsed="false">
      <c r="A15" s="11" t="n">
        <v>45776</v>
      </c>
      <c r="B15" s="11" t="n">
        <v>45792</v>
      </c>
      <c r="C15" s="11" t="n">
        <v>45785</v>
      </c>
      <c r="D15" s="5" t="s">
        <v>32</v>
      </c>
      <c r="E15" s="5" t="s">
        <v>19</v>
      </c>
      <c r="F15" s="5" t="s">
        <v>19</v>
      </c>
      <c r="G15" s="5" t="s">
        <v>3</v>
      </c>
      <c r="H15" s="6" t="n">
        <v>120000</v>
      </c>
      <c r="J15" s="4" t="s">
        <v>54</v>
      </c>
      <c r="K15" s="4" t="s">
        <v>3</v>
      </c>
      <c r="L15" s="4" t="s">
        <v>40</v>
      </c>
      <c r="M15" s="4" t="s">
        <v>24</v>
      </c>
      <c r="N15" s="4" t="s">
        <v>53</v>
      </c>
    </row>
    <row r="16" customFormat="false" ht="15" hidden="false" customHeight="false" outlineLevel="0" collapsed="false">
      <c r="A16" s="11" t="n">
        <v>45883</v>
      </c>
      <c r="B16" s="11" t="n">
        <v>45897</v>
      </c>
      <c r="C16" s="11" t="n">
        <v>45890</v>
      </c>
      <c r="D16" s="5" t="s">
        <v>32</v>
      </c>
      <c r="E16" s="5" t="s">
        <v>20</v>
      </c>
      <c r="F16" s="5" t="s">
        <v>19</v>
      </c>
      <c r="G16" s="5" t="s">
        <v>3</v>
      </c>
      <c r="H16" s="6" t="n">
        <v>132000</v>
      </c>
      <c r="J16" s="5" t="s">
        <v>8</v>
      </c>
      <c r="K16" s="6" t="n">
        <f aca="false">SUMIFS($H$5:$H$17,$F$5:$F$17,J16,$G$5:$G$17,"Corn")</f>
        <v>150000</v>
      </c>
      <c r="L16" s="6" t="n">
        <f aca="false">SUMIFS($H$5:$H$17,$F$5:$F$17,J16,$G$5:$G$17,"Soybean")</f>
        <v>0</v>
      </c>
      <c r="M16" s="6" t="n">
        <f aca="false">K16+L16</f>
        <v>150000</v>
      </c>
      <c r="N16" s="6" t="n">
        <f aca="false">COUNTIFS($F$5:$F$17,J16)</f>
        <v>1</v>
      </c>
    </row>
    <row r="17" customFormat="false" ht="15" hidden="false" customHeight="false" outlineLevel="0" collapsed="false">
      <c r="A17" s="11" t="n">
        <v>45891</v>
      </c>
      <c r="B17" s="11" t="n">
        <v>45911</v>
      </c>
      <c r="C17" s="11" t="n">
        <v>45904</v>
      </c>
      <c r="D17" s="5" t="s">
        <v>32</v>
      </c>
      <c r="E17" s="5" t="s">
        <v>20</v>
      </c>
      <c r="F17" s="5" t="s">
        <v>19</v>
      </c>
      <c r="G17" s="5" t="s">
        <v>3</v>
      </c>
      <c r="H17" s="6" t="n">
        <v>140452</v>
      </c>
      <c r="J17" s="5" t="s">
        <v>12</v>
      </c>
      <c r="K17" s="6" t="n">
        <f aca="false">SUMIFS($H$5:$H$17,$F$5:$F$17,J17,$G$5:$G$17,"Corn")</f>
        <v>384000</v>
      </c>
      <c r="L17" s="6" t="n">
        <f aca="false">SUMIFS($H$5:$H$17,$F$5:$F$17,J17,$G$5:$G$17,"Soybean")</f>
        <v>0</v>
      </c>
      <c r="M17" s="6" t="n">
        <f aca="false">K17+L17</f>
        <v>384000</v>
      </c>
      <c r="N17" s="6" t="n">
        <f aca="false">COUNTIFS($F$5:$F$17,J17)</f>
        <v>3</v>
      </c>
    </row>
    <row r="18" customFormat="false" ht="15" hidden="false" customHeight="false" outlineLevel="0" collapsed="false">
      <c r="J18" s="5" t="s">
        <v>17</v>
      </c>
      <c r="K18" s="6" t="n">
        <f aca="false">SUMIFS($H$5:$H$17,$F$5:$F$17,J18,$G$5:$G$17,"Corn")</f>
        <v>0</v>
      </c>
      <c r="L18" s="6" t="n">
        <f aca="false">SUMIFS($H$5:$H$17,$F$5:$F$17,J18,$G$5:$G$17,"Soybean")</f>
        <v>363000</v>
      </c>
      <c r="M18" s="6" t="n">
        <f aca="false">K18+L18</f>
        <v>363000</v>
      </c>
      <c r="N18" s="6" t="n">
        <f aca="false">COUNTIFS($F$5:$F$17,J18)</f>
        <v>2</v>
      </c>
    </row>
    <row r="19" customFormat="false" ht="15" hidden="false" customHeight="false" outlineLevel="0" collapsed="false">
      <c r="J19" s="5" t="s">
        <v>18</v>
      </c>
      <c r="K19" s="6" t="n">
        <f aca="false">SUMIFS($H$5:$H$17,$F$5:$F$17,J19,$G$5:$G$17,"Corn")</f>
        <v>220000</v>
      </c>
      <c r="L19" s="6" t="n">
        <f aca="false">SUMIFS($H$5:$H$17,$F$5:$F$17,J19,$G$5:$G$17,"Soybean")</f>
        <v>0</v>
      </c>
      <c r="M19" s="6" t="n">
        <f aca="false">K19+L19</f>
        <v>220000</v>
      </c>
      <c r="N19" s="6" t="n">
        <f aca="false">COUNTIFS($F$5:$F$17,J19)</f>
        <v>2</v>
      </c>
    </row>
    <row r="20" customFormat="false" ht="15" hidden="false" customHeight="false" outlineLevel="0" collapsed="false">
      <c r="J20" s="5" t="s">
        <v>19</v>
      </c>
      <c r="K20" s="6" t="n">
        <f aca="false">SUMIFS($H$5:$H$17,$F$5:$F$17,J20,$G$5:$G$17,"Corn")</f>
        <v>632452</v>
      </c>
      <c r="L20" s="6" t="n">
        <f aca="false">SUMIFS($H$5:$H$17,$F$5:$F$17,J20,$G$5:$G$17,"Soybean")</f>
        <v>187000</v>
      </c>
      <c r="M20" s="6" t="n">
        <f aca="false">K20+L20</f>
        <v>819452</v>
      </c>
      <c r="N20" s="6" t="n">
        <f aca="false">COUNTIFS($F$5:$F$17,J20)</f>
        <v>5</v>
      </c>
    </row>
    <row r="21" customFormat="false" ht="15" hidden="false" customHeight="false" outlineLevel="0" collapsed="false">
      <c r="J21" s="8" t="s">
        <v>24</v>
      </c>
      <c r="K21" s="9" t="n">
        <f aca="false">SUM(K16:K20)</f>
        <v>1386452</v>
      </c>
      <c r="L21" s="9" t="n">
        <f aca="false">SUM(L16:L20)</f>
        <v>550000</v>
      </c>
      <c r="M21" s="9" t="n">
        <f aca="false">SUM(M16:M20)</f>
        <v>1936452</v>
      </c>
      <c r="N21" s="9" t="n">
        <f aca="false">SUM(N16:N20)</f>
        <v>13</v>
      </c>
    </row>
  </sheetData>
  <autoFilter ref="A4:H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9"/>
  </cols>
  <sheetData>
    <row r="1" customFormat="false" ht="16.1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J3" s="10" t="s">
        <v>2</v>
      </c>
    </row>
    <row r="4" customFormat="false" ht="30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</v>
      </c>
      <c r="E4" s="4" t="s">
        <v>48</v>
      </c>
      <c r="F4" s="4" t="s">
        <v>49</v>
      </c>
      <c r="G4" s="4" t="s">
        <v>50</v>
      </c>
      <c r="H4" s="4" t="s">
        <v>51</v>
      </c>
      <c r="J4" s="4" t="s">
        <v>52</v>
      </c>
      <c r="K4" s="4" t="s">
        <v>3</v>
      </c>
      <c r="L4" s="4" t="s">
        <v>40</v>
      </c>
      <c r="M4" s="4" t="s">
        <v>24</v>
      </c>
      <c r="N4" s="4" t="s">
        <v>53</v>
      </c>
    </row>
    <row r="5" customFormat="false" ht="15" hidden="false" customHeight="false" outlineLevel="0" collapsed="false">
      <c r="A5" s="11" t="n">
        <v>41572</v>
      </c>
      <c r="B5" s="11" t="n">
        <v>41592</v>
      </c>
      <c r="C5" s="11" t="n">
        <v>41585</v>
      </c>
      <c r="D5" s="5" t="s">
        <v>33</v>
      </c>
      <c r="E5" s="5" t="s">
        <v>8</v>
      </c>
      <c r="F5" s="5" t="s">
        <v>8</v>
      </c>
      <c r="G5" s="5" t="s">
        <v>40</v>
      </c>
      <c r="H5" s="6" t="n">
        <v>120000</v>
      </c>
      <c r="J5" s="5" t="s">
        <v>8</v>
      </c>
      <c r="K5" s="6" t="n">
        <f aca="false">SUMIFS($H$5:$H$14,$E$5:$E$14,J5,$G$5:$G$14,"Corn")</f>
        <v>0</v>
      </c>
      <c r="L5" s="6" t="n">
        <f aca="false">SUMIFS($H$5:$H$14,$E$5:$E$14,J5,$G$5:$G$14,"Soybean")</f>
        <v>120000</v>
      </c>
      <c r="M5" s="6" t="n">
        <f aca="false">K5+L5</f>
        <v>120000</v>
      </c>
      <c r="N5" s="6" t="n">
        <f aca="false">COUNTIFS($E$5:$E$14,J5)</f>
        <v>1</v>
      </c>
    </row>
    <row r="6" customFormat="false" ht="15" hidden="false" customHeight="false" outlineLevel="0" collapsed="false">
      <c r="A6" s="11" t="n">
        <v>42453</v>
      </c>
      <c r="B6" s="11" t="n">
        <v>42467</v>
      </c>
      <c r="C6" s="11" t="n">
        <v>42460</v>
      </c>
      <c r="D6" s="5" t="s">
        <v>33</v>
      </c>
      <c r="E6" s="5" t="s">
        <v>10</v>
      </c>
      <c r="F6" s="5" t="s">
        <v>10</v>
      </c>
      <c r="G6" s="5" t="s">
        <v>3</v>
      </c>
      <c r="H6" s="6" t="n">
        <v>260000</v>
      </c>
      <c r="J6" s="5" t="s">
        <v>10</v>
      </c>
      <c r="K6" s="6" t="n">
        <f aca="false">SUMIFS($H$5:$H$14,$E$5:$E$14,J6,$G$5:$G$14,"Corn")</f>
        <v>445000</v>
      </c>
      <c r="L6" s="6" t="n">
        <f aca="false">SUMIFS($H$5:$H$14,$E$5:$E$14,J6,$G$5:$G$14,"Soybean")</f>
        <v>0</v>
      </c>
      <c r="M6" s="6" t="n">
        <f aca="false">K6+L6</f>
        <v>445000</v>
      </c>
      <c r="N6" s="6" t="n">
        <f aca="false">COUNTIFS($E$5:$E$14,J6)</f>
        <v>3</v>
      </c>
    </row>
    <row r="7" customFormat="false" ht="15" hidden="false" customHeight="false" outlineLevel="0" collapsed="false">
      <c r="A7" s="11" t="n">
        <v>42516</v>
      </c>
      <c r="B7" s="11" t="n">
        <v>42530</v>
      </c>
      <c r="C7" s="11" t="n">
        <v>42523</v>
      </c>
      <c r="D7" s="5" t="s">
        <v>33</v>
      </c>
      <c r="E7" s="5" t="s">
        <v>10</v>
      </c>
      <c r="F7" s="5" t="s">
        <v>10</v>
      </c>
      <c r="G7" s="5" t="s">
        <v>3</v>
      </c>
      <c r="H7" s="6" t="n">
        <v>65000</v>
      </c>
      <c r="J7" s="5" t="s">
        <v>11</v>
      </c>
      <c r="K7" s="6" t="n">
        <f aca="false">SUMIFS($H$5:$H$14,$E$5:$E$14,J7,$G$5:$G$14,"Corn")</f>
        <v>195000</v>
      </c>
      <c r="L7" s="6" t="n">
        <f aca="false">SUMIFS($H$5:$H$14,$E$5:$E$14,J7,$G$5:$G$14,"Soybean")</f>
        <v>118000</v>
      </c>
      <c r="M7" s="6" t="n">
        <f aca="false">K7+L7</f>
        <v>313000</v>
      </c>
      <c r="N7" s="6" t="n">
        <f aca="false">COUNTIFS($E$5:$E$14,J7)</f>
        <v>3</v>
      </c>
    </row>
    <row r="8" customFormat="false" ht="15" hidden="false" customHeight="false" outlineLevel="0" collapsed="false">
      <c r="A8" s="11" t="n">
        <v>42516</v>
      </c>
      <c r="B8" s="11" t="n">
        <v>42530</v>
      </c>
      <c r="C8" s="11" t="n">
        <v>42523</v>
      </c>
      <c r="D8" s="5" t="s">
        <v>33</v>
      </c>
      <c r="E8" s="5" t="s">
        <v>11</v>
      </c>
      <c r="F8" s="5" t="s">
        <v>10</v>
      </c>
      <c r="G8" s="5" t="s">
        <v>3</v>
      </c>
      <c r="H8" s="6" t="n">
        <v>65000</v>
      </c>
      <c r="J8" s="5" t="s">
        <v>17</v>
      </c>
      <c r="K8" s="6" t="n">
        <f aca="false">SUMIFS($H$5:$H$14,$E$5:$E$14,J8,$G$5:$G$14,"Corn")</f>
        <v>0</v>
      </c>
      <c r="L8" s="6" t="n">
        <f aca="false">SUMIFS($H$5:$H$14,$E$5:$E$14,J8,$G$5:$G$14,"Soybean")</f>
        <v>104000</v>
      </c>
      <c r="M8" s="6" t="n">
        <f aca="false">K8+L8</f>
        <v>104000</v>
      </c>
      <c r="N8" s="6" t="n">
        <f aca="false">COUNTIFS($E$5:$E$14,J8)</f>
        <v>1</v>
      </c>
    </row>
    <row r="9" customFormat="false" ht="15" hidden="false" customHeight="false" outlineLevel="0" collapsed="false">
      <c r="A9" s="11" t="n">
        <v>42521</v>
      </c>
      <c r="B9" s="11" t="n">
        <v>42537</v>
      </c>
      <c r="C9" s="11" t="n">
        <v>42530</v>
      </c>
      <c r="D9" s="5" t="s">
        <v>33</v>
      </c>
      <c r="E9" s="5" t="s">
        <v>10</v>
      </c>
      <c r="F9" s="5" t="s">
        <v>10</v>
      </c>
      <c r="G9" s="5" t="s">
        <v>3</v>
      </c>
      <c r="H9" s="6" t="n">
        <v>120000</v>
      </c>
      <c r="J9" s="5" t="s">
        <v>18</v>
      </c>
      <c r="K9" s="6" t="n">
        <f aca="false">SUMIFS($H$5:$H$14,$E$5:$E$14,J9,$G$5:$G$14,"Corn")</f>
        <v>110000</v>
      </c>
      <c r="L9" s="6" t="n">
        <f aca="false">SUMIFS($H$5:$H$14,$E$5:$E$14,J9,$G$5:$G$14,"Soybean")</f>
        <v>0</v>
      </c>
      <c r="M9" s="6" t="n">
        <f aca="false">K9+L9</f>
        <v>110000</v>
      </c>
      <c r="N9" s="6" t="n">
        <f aca="false">COUNTIFS($E$5:$E$14,J9)</f>
        <v>1</v>
      </c>
    </row>
    <row r="10" customFormat="false" ht="15" hidden="false" customHeight="false" outlineLevel="0" collapsed="false">
      <c r="A10" s="11" t="n">
        <v>42634</v>
      </c>
      <c r="B10" s="11" t="n">
        <v>42649</v>
      </c>
      <c r="C10" s="11" t="n">
        <v>42642</v>
      </c>
      <c r="D10" s="5" t="s">
        <v>33</v>
      </c>
      <c r="E10" s="5" t="s">
        <v>11</v>
      </c>
      <c r="F10" s="5" t="s">
        <v>11</v>
      </c>
      <c r="G10" s="5" t="s">
        <v>40</v>
      </c>
      <c r="H10" s="6" t="n">
        <v>118000</v>
      </c>
      <c r="J10" s="5" t="s">
        <v>19</v>
      </c>
      <c r="K10" s="6" t="n">
        <f aca="false">SUMIFS($H$5:$H$14,$E$5:$E$14,J10,$G$5:$G$14,"Corn")</f>
        <v>135000</v>
      </c>
      <c r="L10" s="6" t="n">
        <f aca="false">SUMIFS($H$5:$H$14,$E$5:$E$14,J10,$G$5:$G$14,"Soybean")</f>
        <v>0</v>
      </c>
      <c r="M10" s="6" t="n">
        <f aca="false">K10+L10</f>
        <v>135000</v>
      </c>
      <c r="N10" s="6" t="n">
        <f aca="false">COUNTIFS($E$5:$E$14,J10)</f>
        <v>1</v>
      </c>
    </row>
    <row r="11" customFormat="false" ht="15" hidden="false" customHeight="false" outlineLevel="0" collapsed="false">
      <c r="A11" s="11" t="n">
        <v>42745</v>
      </c>
      <c r="B11" s="11" t="n">
        <v>42761</v>
      </c>
      <c r="C11" s="11" t="n">
        <v>42754</v>
      </c>
      <c r="D11" s="5" t="s">
        <v>33</v>
      </c>
      <c r="E11" s="5" t="s">
        <v>11</v>
      </c>
      <c r="F11" s="5" t="s">
        <v>11</v>
      </c>
      <c r="G11" s="5" t="s">
        <v>3</v>
      </c>
      <c r="H11" s="6" t="n">
        <v>130000</v>
      </c>
      <c r="J11" s="8" t="s">
        <v>24</v>
      </c>
      <c r="K11" s="9" t="n">
        <f aca="false">SUM(K5:K10)</f>
        <v>885000</v>
      </c>
      <c r="L11" s="9" t="n">
        <f aca="false">SUM(L5:L10)</f>
        <v>342000</v>
      </c>
      <c r="M11" s="9" t="n">
        <f aca="false">SUM(M5:M10)</f>
        <v>1227000</v>
      </c>
      <c r="N11" s="9" t="n">
        <f aca="false">SUM(N5:N10)</f>
        <v>10</v>
      </c>
    </row>
    <row r="12" customFormat="false" ht="15" hidden="false" customHeight="false" outlineLevel="0" collapsed="false">
      <c r="A12" s="11" t="n">
        <v>44813</v>
      </c>
      <c r="B12" s="11" t="n">
        <v>44833</v>
      </c>
      <c r="C12" s="11" t="n">
        <v>44826</v>
      </c>
      <c r="D12" s="5" t="s">
        <v>33</v>
      </c>
      <c r="E12" s="5" t="s">
        <v>17</v>
      </c>
      <c r="F12" s="5" t="s">
        <v>17</v>
      </c>
      <c r="G12" s="5" t="s">
        <v>40</v>
      </c>
      <c r="H12" s="6" t="n">
        <v>104000</v>
      </c>
    </row>
    <row r="13" customFormat="false" ht="15" hidden="false" customHeight="false" outlineLevel="0" collapsed="false">
      <c r="A13" s="11" t="n">
        <v>45355</v>
      </c>
      <c r="B13" s="11" t="n">
        <v>45372</v>
      </c>
      <c r="C13" s="11" t="n">
        <v>45365</v>
      </c>
      <c r="D13" s="5" t="s">
        <v>33</v>
      </c>
      <c r="E13" s="5" t="s">
        <v>18</v>
      </c>
      <c r="F13" s="5" t="s">
        <v>18</v>
      </c>
      <c r="G13" s="5" t="s">
        <v>3</v>
      </c>
      <c r="H13" s="6" t="n">
        <v>110000</v>
      </c>
    </row>
    <row r="14" customFormat="false" ht="15" hidden="false" customHeight="false" outlineLevel="0" collapsed="false">
      <c r="A14" s="11" t="n">
        <v>45673</v>
      </c>
      <c r="B14" s="11" t="n">
        <v>45687</v>
      </c>
      <c r="C14" s="11" t="n">
        <v>45680</v>
      </c>
      <c r="D14" s="5" t="s">
        <v>33</v>
      </c>
      <c r="E14" s="5" t="s">
        <v>19</v>
      </c>
      <c r="F14" s="5" t="s">
        <v>19</v>
      </c>
      <c r="G14" s="5" t="s">
        <v>3</v>
      </c>
      <c r="H14" s="6" t="n">
        <v>135000</v>
      </c>
      <c r="J14" s="10" t="s">
        <v>42</v>
      </c>
    </row>
    <row r="15" customFormat="false" ht="15" hidden="false" customHeight="false" outlineLevel="0" collapsed="false">
      <c r="J15" s="4" t="s">
        <v>54</v>
      </c>
      <c r="K15" s="4" t="s">
        <v>3</v>
      </c>
      <c r="L15" s="4" t="s">
        <v>40</v>
      </c>
      <c r="M15" s="4" t="s">
        <v>24</v>
      </c>
      <c r="N15" s="4" t="s">
        <v>53</v>
      </c>
    </row>
    <row r="16" customFormat="false" ht="15" hidden="false" customHeight="false" outlineLevel="0" collapsed="false">
      <c r="J16" s="5" t="s">
        <v>8</v>
      </c>
      <c r="K16" s="6" t="n">
        <f aca="false">SUMIFS($H$5:$H$14,$F$5:$F$14,J16,$G$5:$G$14,"Corn")</f>
        <v>0</v>
      </c>
      <c r="L16" s="6" t="n">
        <f aca="false">SUMIFS($H$5:$H$14,$F$5:$F$14,J16,$G$5:$G$14,"Soybean")</f>
        <v>120000</v>
      </c>
      <c r="M16" s="6" t="n">
        <f aca="false">K16+L16</f>
        <v>120000</v>
      </c>
      <c r="N16" s="6" t="n">
        <f aca="false">COUNTIFS($F$5:$F$14,J16)</f>
        <v>1</v>
      </c>
    </row>
    <row r="17" customFormat="false" ht="15" hidden="false" customHeight="false" outlineLevel="0" collapsed="false">
      <c r="J17" s="5" t="s">
        <v>10</v>
      </c>
      <c r="K17" s="6" t="n">
        <f aca="false">SUMIFS($H$5:$H$14,$F$5:$F$14,J17,$G$5:$G$14,"Corn")</f>
        <v>510000</v>
      </c>
      <c r="L17" s="6" t="n">
        <f aca="false">SUMIFS($H$5:$H$14,$F$5:$F$14,J17,$G$5:$G$14,"Soybean")</f>
        <v>0</v>
      </c>
      <c r="M17" s="6" t="n">
        <f aca="false">K17+L17</f>
        <v>510000</v>
      </c>
      <c r="N17" s="6" t="n">
        <f aca="false">COUNTIFS($F$5:$F$14,J17)</f>
        <v>4</v>
      </c>
    </row>
    <row r="18" customFormat="false" ht="15" hidden="false" customHeight="false" outlineLevel="0" collapsed="false">
      <c r="J18" s="5" t="s">
        <v>11</v>
      </c>
      <c r="K18" s="6" t="n">
        <f aca="false">SUMIFS($H$5:$H$14,$F$5:$F$14,J18,$G$5:$G$14,"Corn")</f>
        <v>130000</v>
      </c>
      <c r="L18" s="6" t="n">
        <f aca="false">SUMIFS($H$5:$H$14,$F$5:$F$14,J18,$G$5:$G$14,"Soybean")</f>
        <v>118000</v>
      </c>
      <c r="M18" s="6" t="n">
        <f aca="false">K18+L18</f>
        <v>248000</v>
      </c>
      <c r="N18" s="6" t="n">
        <f aca="false">COUNTIFS($F$5:$F$14,J18)</f>
        <v>2</v>
      </c>
    </row>
    <row r="19" customFormat="false" ht="15" hidden="false" customHeight="false" outlineLevel="0" collapsed="false">
      <c r="J19" s="5" t="s">
        <v>17</v>
      </c>
      <c r="K19" s="6" t="n">
        <f aca="false">SUMIFS($H$5:$H$14,$F$5:$F$14,J19,$G$5:$G$14,"Corn")</f>
        <v>0</v>
      </c>
      <c r="L19" s="6" t="n">
        <f aca="false">SUMIFS($H$5:$H$14,$F$5:$F$14,J19,$G$5:$G$14,"Soybean")</f>
        <v>104000</v>
      </c>
      <c r="M19" s="6" t="n">
        <f aca="false">K19+L19</f>
        <v>104000</v>
      </c>
      <c r="N19" s="6" t="n">
        <f aca="false">COUNTIFS($F$5:$F$14,J19)</f>
        <v>1</v>
      </c>
    </row>
    <row r="20" customFormat="false" ht="15" hidden="false" customHeight="false" outlineLevel="0" collapsed="false">
      <c r="J20" s="5" t="s">
        <v>18</v>
      </c>
      <c r="K20" s="6" t="n">
        <f aca="false">SUMIFS($H$5:$H$14,$F$5:$F$14,J20,$G$5:$G$14,"Corn")</f>
        <v>110000</v>
      </c>
      <c r="L20" s="6" t="n">
        <f aca="false">SUMIFS($H$5:$H$14,$F$5:$F$14,J20,$G$5:$G$14,"Soybean")</f>
        <v>0</v>
      </c>
      <c r="M20" s="6" t="n">
        <f aca="false">K20+L20</f>
        <v>110000</v>
      </c>
      <c r="N20" s="6" t="n">
        <f aca="false">COUNTIFS($F$5:$F$14,J20)</f>
        <v>1</v>
      </c>
    </row>
    <row r="21" customFormat="false" ht="15" hidden="false" customHeight="false" outlineLevel="0" collapsed="false">
      <c r="J21" s="5" t="s">
        <v>19</v>
      </c>
      <c r="K21" s="6" t="n">
        <f aca="false">SUMIFS($H$5:$H$14,$F$5:$F$14,J21,$G$5:$G$14,"Corn")</f>
        <v>135000</v>
      </c>
      <c r="L21" s="6" t="n">
        <f aca="false">SUMIFS($H$5:$H$14,$F$5:$F$14,J21,$G$5:$G$14,"Soybean")</f>
        <v>0</v>
      </c>
      <c r="M21" s="6" t="n">
        <f aca="false">K21+L21</f>
        <v>135000</v>
      </c>
      <c r="N21" s="6" t="n">
        <f aca="false">COUNTIFS($F$5:$F$14,J21)</f>
        <v>1</v>
      </c>
    </row>
    <row r="22" customFormat="false" ht="15" hidden="false" customHeight="false" outlineLevel="0" collapsed="false">
      <c r="J22" s="8" t="s">
        <v>24</v>
      </c>
      <c r="K22" s="9" t="n">
        <f aca="false">SUM(K16:K21)</f>
        <v>885000</v>
      </c>
      <c r="L22" s="9" t="n">
        <f aca="false">SUM(L16:L21)</f>
        <v>342000</v>
      </c>
      <c r="M22" s="9" t="n">
        <f aca="false">SUM(M16:M21)</f>
        <v>1227000</v>
      </c>
      <c r="N22" s="9" t="n">
        <f aca="false">SUM(N16:N21)</f>
        <v>10</v>
      </c>
    </row>
  </sheetData>
  <autoFilter ref="A4:H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9"/>
  </cols>
  <sheetData>
    <row r="1" customFormat="false" ht="16.1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J3" s="10" t="s">
        <v>2</v>
      </c>
    </row>
    <row r="4" customFormat="false" ht="30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</v>
      </c>
      <c r="E4" s="4" t="s">
        <v>48</v>
      </c>
      <c r="F4" s="4" t="s">
        <v>49</v>
      </c>
      <c r="G4" s="4" t="s">
        <v>50</v>
      </c>
      <c r="H4" s="4" t="s">
        <v>51</v>
      </c>
      <c r="J4" s="4" t="s">
        <v>52</v>
      </c>
      <c r="K4" s="4" t="s">
        <v>3</v>
      </c>
      <c r="L4" s="4" t="s">
        <v>40</v>
      </c>
      <c r="M4" s="4" t="s">
        <v>24</v>
      </c>
      <c r="N4" s="4" t="s">
        <v>53</v>
      </c>
    </row>
    <row r="5" customFormat="false" ht="15" hidden="false" customHeight="false" outlineLevel="0" collapsed="false">
      <c r="A5" s="11" t="n">
        <v>42417</v>
      </c>
      <c r="B5" s="11" t="n">
        <v>42432</v>
      </c>
      <c r="C5" s="11" t="n">
        <v>42425</v>
      </c>
      <c r="D5" s="5" t="s">
        <v>34</v>
      </c>
      <c r="E5" s="5" t="s">
        <v>10</v>
      </c>
      <c r="F5" s="5" t="s">
        <v>10</v>
      </c>
      <c r="G5" s="5" t="s">
        <v>3</v>
      </c>
      <c r="H5" s="6" t="n">
        <v>106162</v>
      </c>
      <c r="J5" s="5" t="s">
        <v>10</v>
      </c>
      <c r="K5" s="6" t="n">
        <f aca="false">SUMIFS($H$5:$H$11,$E$5:$E$11,J5,$G$5:$G$11,"Corn")</f>
        <v>106162</v>
      </c>
      <c r="L5" s="6" t="n">
        <f aca="false">SUMIFS($H$5:$H$11,$E$5:$E$11,J5,$G$5:$G$11,"Soybean")</f>
        <v>0</v>
      </c>
      <c r="M5" s="6" t="n">
        <f aca="false">K5+L5</f>
        <v>106162</v>
      </c>
      <c r="N5" s="6" t="n">
        <f aca="false">COUNTIFS($E$5:$E$11,J5)</f>
        <v>1</v>
      </c>
    </row>
    <row r="6" customFormat="false" ht="15" hidden="false" customHeight="false" outlineLevel="0" collapsed="false">
      <c r="A6" s="11" t="n">
        <v>43084</v>
      </c>
      <c r="B6" s="11" t="n">
        <v>43104</v>
      </c>
      <c r="C6" s="11" t="n">
        <v>43097</v>
      </c>
      <c r="D6" s="5" t="s">
        <v>34</v>
      </c>
      <c r="E6" s="5" t="s">
        <v>12</v>
      </c>
      <c r="F6" s="5" t="s">
        <v>12</v>
      </c>
      <c r="G6" s="5" t="s">
        <v>3</v>
      </c>
      <c r="H6" s="6" t="n">
        <v>134503</v>
      </c>
      <c r="J6" s="5" t="s">
        <v>12</v>
      </c>
      <c r="K6" s="6" t="n">
        <f aca="false">SUMIFS($H$5:$H$11,$E$5:$E$11,J6,$G$5:$G$11,"Corn")</f>
        <v>134503</v>
      </c>
      <c r="L6" s="6" t="n">
        <f aca="false">SUMIFS($H$5:$H$11,$E$5:$E$11,J6,$G$5:$G$11,"Soybean")</f>
        <v>0</v>
      </c>
      <c r="M6" s="6" t="n">
        <f aca="false">K6+L6</f>
        <v>134503</v>
      </c>
      <c r="N6" s="6" t="n">
        <f aca="false">COUNTIFS($E$5:$E$11,J6)</f>
        <v>1</v>
      </c>
    </row>
    <row r="7" customFormat="false" ht="15" hidden="false" customHeight="false" outlineLevel="0" collapsed="false">
      <c r="A7" s="11" t="n">
        <v>43356</v>
      </c>
      <c r="B7" s="11" t="n">
        <v>43370</v>
      </c>
      <c r="C7" s="11" t="n">
        <v>43363</v>
      </c>
      <c r="D7" s="5" t="s">
        <v>34</v>
      </c>
      <c r="E7" s="5" t="s">
        <v>13</v>
      </c>
      <c r="F7" s="5" t="s">
        <v>13</v>
      </c>
      <c r="G7" s="5" t="s">
        <v>3</v>
      </c>
      <c r="H7" s="6" t="n">
        <v>142876</v>
      </c>
      <c r="J7" s="5" t="s">
        <v>13</v>
      </c>
      <c r="K7" s="6" t="n">
        <f aca="false">SUMIFS($H$5:$H$11,$E$5:$E$11,J7,$G$5:$G$11,"Corn")</f>
        <v>142876</v>
      </c>
      <c r="L7" s="6" t="n">
        <f aca="false">SUMIFS($H$5:$H$11,$E$5:$E$11,J7,$G$5:$G$11,"Soybean")</f>
        <v>0</v>
      </c>
      <c r="M7" s="6" t="n">
        <f aca="false">K7+L7</f>
        <v>142876</v>
      </c>
      <c r="N7" s="6" t="n">
        <f aca="false">COUNTIFS($E$5:$E$11,J7)</f>
        <v>1</v>
      </c>
    </row>
    <row r="8" customFormat="false" ht="15" hidden="false" customHeight="false" outlineLevel="0" collapsed="false">
      <c r="A8" s="11" t="n">
        <v>44239</v>
      </c>
      <c r="B8" s="11" t="n">
        <v>44259</v>
      </c>
      <c r="C8" s="11" t="n">
        <v>44252</v>
      </c>
      <c r="D8" s="5" t="s">
        <v>34</v>
      </c>
      <c r="E8" s="5" t="s">
        <v>15</v>
      </c>
      <c r="F8" s="5" t="s">
        <v>15</v>
      </c>
      <c r="G8" s="5" t="s">
        <v>3</v>
      </c>
      <c r="H8" s="6" t="n">
        <v>135644</v>
      </c>
      <c r="J8" s="5" t="s">
        <v>15</v>
      </c>
      <c r="K8" s="6" t="n">
        <f aca="false">SUMIFS($H$5:$H$11,$E$5:$E$11,J8,$G$5:$G$11,"Corn")</f>
        <v>135644</v>
      </c>
      <c r="L8" s="6" t="n">
        <f aca="false">SUMIFS($H$5:$H$11,$E$5:$E$11,J8,$G$5:$G$11,"Soybean")</f>
        <v>0</v>
      </c>
      <c r="M8" s="6" t="n">
        <f aca="false">K8+L8</f>
        <v>135644</v>
      </c>
      <c r="N8" s="6" t="n">
        <f aca="false">COUNTIFS($E$5:$E$11,J8)</f>
        <v>1</v>
      </c>
    </row>
    <row r="9" customFormat="false" ht="15" hidden="false" customHeight="false" outlineLevel="0" collapsed="false">
      <c r="A9" s="11" t="n">
        <v>44239</v>
      </c>
      <c r="B9" s="11" t="n">
        <v>44259</v>
      </c>
      <c r="C9" s="11" t="n">
        <v>44252</v>
      </c>
      <c r="D9" s="5" t="s">
        <v>34</v>
      </c>
      <c r="E9" s="5" t="s">
        <v>16</v>
      </c>
      <c r="F9" s="5" t="s">
        <v>15</v>
      </c>
      <c r="G9" s="5" t="s">
        <v>3</v>
      </c>
      <c r="H9" s="6" t="n">
        <v>59694</v>
      </c>
      <c r="J9" s="5" t="s">
        <v>16</v>
      </c>
      <c r="K9" s="6" t="n">
        <f aca="false">SUMIFS($H$5:$H$11,$E$5:$E$11,J9,$G$5:$G$11,"Corn")</f>
        <v>59694</v>
      </c>
      <c r="L9" s="6" t="n">
        <f aca="false">SUMIFS($H$5:$H$11,$E$5:$E$11,J9,$G$5:$G$11,"Soybean")</f>
        <v>0</v>
      </c>
      <c r="M9" s="6" t="n">
        <f aca="false">K9+L9</f>
        <v>59694</v>
      </c>
      <c r="N9" s="6" t="n">
        <f aca="false">COUNTIFS($E$5:$E$11,J9)</f>
        <v>1</v>
      </c>
    </row>
    <row r="10" customFormat="false" ht="15" hidden="false" customHeight="false" outlineLevel="0" collapsed="false">
      <c r="A10" s="11" t="n">
        <v>44729</v>
      </c>
      <c r="B10" s="11" t="n">
        <v>44749</v>
      </c>
      <c r="C10" s="11" t="n">
        <v>44742</v>
      </c>
      <c r="D10" s="5" t="s">
        <v>34</v>
      </c>
      <c r="E10" s="5" t="s">
        <v>17</v>
      </c>
      <c r="F10" s="5" t="s">
        <v>16</v>
      </c>
      <c r="G10" s="5" t="s">
        <v>3</v>
      </c>
      <c r="H10" s="6" t="n">
        <v>144907</v>
      </c>
      <c r="J10" s="5" t="s">
        <v>17</v>
      </c>
      <c r="K10" s="6" t="n">
        <f aca="false">SUMIFS($H$5:$H$11,$E$5:$E$11,J10,$G$5:$G$11,"Corn")</f>
        <v>144907</v>
      </c>
      <c r="L10" s="6" t="n">
        <f aca="false">SUMIFS($H$5:$H$11,$E$5:$E$11,J10,$G$5:$G$11,"Soybean")</f>
        <v>0</v>
      </c>
      <c r="M10" s="6" t="n">
        <f aca="false">K10+L10</f>
        <v>144907</v>
      </c>
      <c r="N10" s="6" t="n">
        <f aca="false">COUNTIFS($E$5:$E$11,J10)</f>
        <v>1</v>
      </c>
    </row>
    <row r="11" customFormat="false" ht="15" hidden="false" customHeight="false" outlineLevel="0" collapsed="false">
      <c r="A11" s="11" t="n">
        <v>45891</v>
      </c>
      <c r="B11" s="11" t="n">
        <v>45911</v>
      </c>
      <c r="C11" s="11" t="n">
        <v>45904</v>
      </c>
      <c r="D11" s="5" t="s">
        <v>34</v>
      </c>
      <c r="E11" s="5" t="s">
        <v>20</v>
      </c>
      <c r="F11" s="5" t="s">
        <v>19</v>
      </c>
      <c r="G11" s="5" t="s">
        <v>3</v>
      </c>
      <c r="H11" s="6" t="n">
        <v>119769</v>
      </c>
      <c r="J11" s="5" t="s">
        <v>20</v>
      </c>
      <c r="K11" s="6" t="n">
        <f aca="false">SUMIFS($H$5:$H$11,$E$5:$E$11,J11,$G$5:$G$11,"Corn")</f>
        <v>119769</v>
      </c>
      <c r="L11" s="6" t="n">
        <f aca="false">SUMIFS($H$5:$H$11,$E$5:$E$11,J11,$G$5:$G$11,"Soybean")</f>
        <v>0</v>
      </c>
      <c r="M11" s="6" t="n">
        <f aca="false">K11+L11</f>
        <v>119769</v>
      </c>
      <c r="N11" s="6" t="n">
        <f aca="false">COUNTIFS($E$5:$E$11,J11)</f>
        <v>1</v>
      </c>
    </row>
    <row r="12" customFormat="false" ht="15" hidden="false" customHeight="false" outlineLevel="0" collapsed="false">
      <c r="J12" s="8" t="s">
        <v>24</v>
      </c>
      <c r="K12" s="9" t="n">
        <f aca="false">SUM(K5:K11)</f>
        <v>843555</v>
      </c>
      <c r="L12" s="9" t="n">
        <f aca="false">SUM(L5:L11)</f>
        <v>0</v>
      </c>
      <c r="M12" s="9" t="n">
        <f aca="false">SUM(M5:M11)</f>
        <v>843555</v>
      </c>
      <c r="N12" s="9" t="n">
        <f aca="false">SUM(N5:N11)</f>
        <v>7</v>
      </c>
    </row>
    <row r="15" customFormat="false" ht="15" hidden="false" customHeight="false" outlineLevel="0" collapsed="false">
      <c r="J15" s="10" t="s">
        <v>42</v>
      </c>
    </row>
    <row r="16" customFormat="false" ht="15" hidden="false" customHeight="false" outlineLevel="0" collapsed="false">
      <c r="J16" s="4" t="s">
        <v>54</v>
      </c>
      <c r="K16" s="4" t="s">
        <v>3</v>
      </c>
      <c r="L16" s="4" t="s">
        <v>40</v>
      </c>
      <c r="M16" s="4" t="s">
        <v>24</v>
      </c>
      <c r="N16" s="4" t="s">
        <v>53</v>
      </c>
    </row>
    <row r="17" customFormat="false" ht="15" hidden="false" customHeight="false" outlineLevel="0" collapsed="false">
      <c r="J17" s="5" t="s">
        <v>10</v>
      </c>
      <c r="K17" s="6" t="n">
        <f aca="false">SUMIFS($H$5:$H$11,$F$5:$F$11,J17,$G$5:$G$11,"Corn")</f>
        <v>106162</v>
      </c>
      <c r="L17" s="6" t="n">
        <f aca="false">SUMIFS($H$5:$H$11,$F$5:$F$11,J17,$G$5:$G$11,"Soybean")</f>
        <v>0</v>
      </c>
      <c r="M17" s="6" t="n">
        <f aca="false">K17+L17</f>
        <v>106162</v>
      </c>
      <c r="N17" s="6" t="n">
        <f aca="false">COUNTIFS($F$5:$F$11,J17)</f>
        <v>1</v>
      </c>
    </row>
    <row r="18" customFormat="false" ht="15" hidden="false" customHeight="false" outlineLevel="0" collapsed="false">
      <c r="J18" s="5" t="s">
        <v>12</v>
      </c>
      <c r="K18" s="6" t="n">
        <f aca="false">SUMIFS($H$5:$H$11,$F$5:$F$11,J18,$G$5:$G$11,"Corn")</f>
        <v>134503</v>
      </c>
      <c r="L18" s="6" t="n">
        <f aca="false">SUMIFS($H$5:$H$11,$F$5:$F$11,J18,$G$5:$G$11,"Soybean")</f>
        <v>0</v>
      </c>
      <c r="M18" s="6" t="n">
        <f aca="false">K18+L18</f>
        <v>134503</v>
      </c>
      <c r="N18" s="6" t="n">
        <f aca="false">COUNTIFS($F$5:$F$11,J18)</f>
        <v>1</v>
      </c>
    </row>
    <row r="19" customFormat="false" ht="15" hidden="false" customHeight="false" outlineLevel="0" collapsed="false">
      <c r="J19" s="5" t="s">
        <v>13</v>
      </c>
      <c r="K19" s="6" t="n">
        <f aca="false">SUMIFS($H$5:$H$11,$F$5:$F$11,J19,$G$5:$G$11,"Corn")</f>
        <v>142876</v>
      </c>
      <c r="L19" s="6" t="n">
        <f aca="false">SUMIFS($H$5:$H$11,$F$5:$F$11,J19,$G$5:$G$11,"Soybean")</f>
        <v>0</v>
      </c>
      <c r="M19" s="6" t="n">
        <f aca="false">K19+L19</f>
        <v>142876</v>
      </c>
      <c r="N19" s="6" t="n">
        <f aca="false">COUNTIFS($F$5:$F$11,J19)</f>
        <v>1</v>
      </c>
    </row>
    <row r="20" customFormat="false" ht="15" hidden="false" customHeight="false" outlineLevel="0" collapsed="false">
      <c r="J20" s="5" t="s">
        <v>15</v>
      </c>
      <c r="K20" s="6" t="n">
        <f aca="false">SUMIFS($H$5:$H$11,$F$5:$F$11,J20,$G$5:$G$11,"Corn")</f>
        <v>195338</v>
      </c>
      <c r="L20" s="6" t="n">
        <f aca="false">SUMIFS($H$5:$H$11,$F$5:$F$11,J20,$G$5:$G$11,"Soybean")</f>
        <v>0</v>
      </c>
      <c r="M20" s="6" t="n">
        <f aca="false">K20+L20</f>
        <v>195338</v>
      </c>
      <c r="N20" s="6" t="n">
        <f aca="false">COUNTIFS($F$5:$F$11,J20)</f>
        <v>2</v>
      </c>
    </row>
    <row r="21" customFormat="false" ht="15" hidden="false" customHeight="false" outlineLevel="0" collapsed="false">
      <c r="J21" s="5" t="s">
        <v>16</v>
      </c>
      <c r="K21" s="6" t="n">
        <f aca="false">SUMIFS($H$5:$H$11,$F$5:$F$11,J21,$G$5:$G$11,"Corn")</f>
        <v>144907</v>
      </c>
      <c r="L21" s="6" t="n">
        <f aca="false">SUMIFS($H$5:$H$11,$F$5:$F$11,J21,$G$5:$G$11,"Soybean")</f>
        <v>0</v>
      </c>
      <c r="M21" s="6" t="n">
        <f aca="false">K21+L21</f>
        <v>144907</v>
      </c>
      <c r="N21" s="6" t="n">
        <f aca="false">COUNTIFS($F$5:$F$11,J21)</f>
        <v>1</v>
      </c>
    </row>
    <row r="22" customFormat="false" ht="15" hidden="false" customHeight="false" outlineLevel="0" collapsed="false">
      <c r="J22" s="5" t="s">
        <v>19</v>
      </c>
      <c r="K22" s="6" t="n">
        <f aca="false">SUMIFS($H$5:$H$11,$F$5:$F$11,J22,$G$5:$G$11,"Corn")</f>
        <v>119769</v>
      </c>
      <c r="L22" s="6" t="n">
        <f aca="false">SUMIFS($H$5:$H$11,$F$5:$F$11,J22,$G$5:$G$11,"Soybean")</f>
        <v>0</v>
      </c>
      <c r="M22" s="6" t="n">
        <f aca="false">K22+L22</f>
        <v>119769</v>
      </c>
      <c r="N22" s="6" t="n">
        <f aca="false">COUNTIFS($F$5:$F$11,J22)</f>
        <v>1</v>
      </c>
    </row>
    <row r="23" customFormat="false" ht="15" hidden="false" customHeight="false" outlineLevel="0" collapsed="false">
      <c r="J23" s="8" t="s">
        <v>24</v>
      </c>
      <c r="K23" s="9" t="n">
        <f aca="false">SUM(K17:K22)</f>
        <v>843555</v>
      </c>
      <c r="L23" s="9" t="n">
        <f aca="false">SUM(L17:L22)</f>
        <v>0</v>
      </c>
      <c r="M23" s="9" t="n">
        <f aca="false">SUM(M17:M22)</f>
        <v>843555</v>
      </c>
      <c r="N23" s="9" t="n">
        <f aca="false">SUM(N17:N22)</f>
        <v>7</v>
      </c>
    </row>
  </sheetData>
  <autoFilter ref="A4:H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9"/>
  </cols>
  <sheetData>
    <row r="1" customFormat="false" ht="16.1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J3" s="10" t="s">
        <v>2</v>
      </c>
    </row>
    <row r="4" customFormat="false" ht="30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</v>
      </c>
      <c r="E4" s="4" t="s">
        <v>48</v>
      </c>
      <c r="F4" s="4" t="s">
        <v>49</v>
      </c>
      <c r="G4" s="4" t="s">
        <v>50</v>
      </c>
      <c r="H4" s="4" t="s">
        <v>51</v>
      </c>
      <c r="J4" s="4" t="s">
        <v>52</v>
      </c>
      <c r="K4" s="4" t="s">
        <v>3</v>
      </c>
      <c r="L4" s="4" t="s">
        <v>40</v>
      </c>
      <c r="M4" s="4" t="s">
        <v>24</v>
      </c>
      <c r="N4" s="4" t="s">
        <v>53</v>
      </c>
    </row>
    <row r="5" customFormat="false" ht="15" hidden="false" customHeight="false" outlineLevel="0" collapsed="false">
      <c r="A5" s="11" t="n">
        <v>43853</v>
      </c>
      <c r="B5" s="11" t="n">
        <v>43867</v>
      </c>
      <c r="C5" s="11" t="n">
        <v>43860</v>
      </c>
      <c r="D5" s="5" t="s">
        <v>35</v>
      </c>
      <c r="E5" s="5" t="s">
        <v>14</v>
      </c>
      <c r="F5" s="5" t="s">
        <v>14</v>
      </c>
      <c r="G5" s="5" t="s">
        <v>3</v>
      </c>
      <c r="H5" s="6" t="n">
        <v>114224</v>
      </c>
      <c r="J5" s="5" t="s">
        <v>14</v>
      </c>
      <c r="K5" s="6" t="n">
        <f aca="false">SUMIFS($H$5:$H$11,$E$5:$E$11,J5,$G$5:$G$11,"Corn")</f>
        <v>114224</v>
      </c>
      <c r="L5" s="6" t="n">
        <f aca="false">SUMIFS($H$5:$H$11,$E$5:$E$11,J5,$G$5:$G$11,"Soybean")</f>
        <v>0</v>
      </c>
      <c r="M5" s="6" t="n">
        <f aca="false">K5+L5</f>
        <v>114224</v>
      </c>
      <c r="N5" s="6" t="n">
        <f aca="false">COUNTIFS($E$5:$E$11,J5)</f>
        <v>1</v>
      </c>
    </row>
    <row r="6" customFormat="false" ht="15" hidden="false" customHeight="false" outlineLevel="0" collapsed="false">
      <c r="A6" s="11" t="n">
        <v>43853</v>
      </c>
      <c r="B6" s="11" t="n">
        <v>43867</v>
      </c>
      <c r="C6" s="11" t="n">
        <v>43860</v>
      </c>
      <c r="D6" s="5" t="s">
        <v>35</v>
      </c>
      <c r="E6" s="5" t="s">
        <v>15</v>
      </c>
      <c r="F6" s="5" t="s">
        <v>14</v>
      </c>
      <c r="G6" s="5" t="s">
        <v>3</v>
      </c>
      <c r="H6" s="6" t="n">
        <v>29724</v>
      </c>
      <c r="J6" s="5" t="s">
        <v>15</v>
      </c>
      <c r="K6" s="6" t="n">
        <f aca="false">SUMIFS($H$5:$H$11,$E$5:$E$11,J6,$G$5:$G$11,"Corn")</f>
        <v>145301</v>
      </c>
      <c r="L6" s="6" t="n">
        <f aca="false">SUMIFS($H$5:$H$11,$E$5:$E$11,J6,$G$5:$G$11,"Soybean")</f>
        <v>0</v>
      </c>
      <c r="M6" s="6" t="n">
        <f aca="false">K6+L6</f>
        <v>145301</v>
      </c>
      <c r="N6" s="6" t="n">
        <f aca="false">COUNTIFS($E$5:$E$11,J6)</f>
        <v>2</v>
      </c>
    </row>
    <row r="7" customFormat="false" ht="15" hidden="false" customHeight="false" outlineLevel="0" collapsed="false">
      <c r="A7" s="11" t="n">
        <v>44239</v>
      </c>
      <c r="B7" s="11" t="n">
        <v>44259</v>
      </c>
      <c r="C7" s="11" t="n">
        <v>44252</v>
      </c>
      <c r="D7" s="5" t="s">
        <v>35</v>
      </c>
      <c r="E7" s="5" t="s">
        <v>15</v>
      </c>
      <c r="F7" s="5" t="s">
        <v>15</v>
      </c>
      <c r="G7" s="5" t="s">
        <v>3</v>
      </c>
      <c r="H7" s="6" t="n">
        <v>115577</v>
      </c>
      <c r="J7" s="5" t="s">
        <v>16</v>
      </c>
      <c r="K7" s="6" t="n">
        <f aca="false">SUMIFS($H$5:$H$11,$E$5:$E$11,J7,$G$5:$G$11,"Corn")</f>
        <v>275083</v>
      </c>
      <c r="L7" s="6" t="n">
        <f aca="false">SUMIFS($H$5:$H$11,$E$5:$E$11,J7,$G$5:$G$11,"Soybean")</f>
        <v>0</v>
      </c>
      <c r="M7" s="6" t="n">
        <f aca="false">K7+L7</f>
        <v>275083</v>
      </c>
      <c r="N7" s="6" t="n">
        <f aca="false">COUNTIFS($E$5:$E$11,J7)</f>
        <v>2</v>
      </c>
    </row>
    <row r="8" customFormat="false" ht="15" hidden="false" customHeight="false" outlineLevel="0" collapsed="false">
      <c r="A8" s="11" t="n">
        <v>44309</v>
      </c>
      <c r="B8" s="11" t="n">
        <v>44329</v>
      </c>
      <c r="C8" s="11" t="n">
        <v>44322</v>
      </c>
      <c r="D8" s="5" t="s">
        <v>35</v>
      </c>
      <c r="E8" s="5" t="s">
        <v>16</v>
      </c>
      <c r="F8" s="5" t="s">
        <v>15</v>
      </c>
      <c r="G8" s="5" t="s">
        <v>3</v>
      </c>
      <c r="H8" s="6" t="n">
        <v>136680</v>
      </c>
      <c r="J8" s="5" t="s">
        <v>18</v>
      </c>
      <c r="K8" s="6" t="n">
        <f aca="false">SUMIFS($H$5:$H$11,$E$5:$E$11,J8,$G$5:$G$11,"Corn")</f>
        <v>124545</v>
      </c>
      <c r="L8" s="6" t="n">
        <f aca="false">SUMIFS($H$5:$H$11,$E$5:$E$11,J8,$G$5:$G$11,"Soybean")</f>
        <v>0</v>
      </c>
      <c r="M8" s="6" t="n">
        <f aca="false">K8+L8</f>
        <v>124545</v>
      </c>
      <c r="N8" s="6" t="n">
        <f aca="false">COUNTIFS($E$5:$E$11,J8)</f>
        <v>1</v>
      </c>
    </row>
    <row r="9" customFormat="false" ht="15" hidden="false" customHeight="false" outlineLevel="0" collapsed="false">
      <c r="A9" s="11" t="n">
        <v>44462</v>
      </c>
      <c r="B9" s="11" t="n">
        <v>44476</v>
      </c>
      <c r="C9" s="11" t="n">
        <v>44469</v>
      </c>
      <c r="D9" s="5" t="s">
        <v>35</v>
      </c>
      <c r="E9" s="5" t="s">
        <v>16</v>
      </c>
      <c r="F9" s="5" t="s">
        <v>16</v>
      </c>
      <c r="G9" s="5" t="s">
        <v>3</v>
      </c>
      <c r="H9" s="6" t="n">
        <v>138403</v>
      </c>
      <c r="J9" s="5" t="s">
        <v>20</v>
      </c>
      <c r="K9" s="6" t="n">
        <f aca="false">SUMIFS($H$5:$H$11,$E$5:$E$11,J9,$G$5:$G$11,"Corn")</f>
        <v>105000</v>
      </c>
      <c r="L9" s="6" t="n">
        <f aca="false">SUMIFS($H$5:$H$11,$E$5:$E$11,J9,$G$5:$G$11,"Soybean")</f>
        <v>0</v>
      </c>
      <c r="M9" s="6" t="n">
        <f aca="false">K9+L9</f>
        <v>105000</v>
      </c>
      <c r="N9" s="6" t="n">
        <f aca="false">COUNTIFS($E$5:$E$11,J9)</f>
        <v>1</v>
      </c>
    </row>
    <row r="10" customFormat="false" ht="15" hidden="false" customHeight="false" outlineLevel="0" collapsed="false">
      <c r="A10" s="11" t="n">
        <v>45211</v>
      </c>
      <c r="B10" s="11" t="n">
        <v>45225</v>
      </c>
      <c r="C10" s="11" t="n">
        <v>45218</v>
      </c>
      <c r="D10" s="5" t="s">
        <v>35</v>
      </c>
      <c r="E10" s="5" t="s">
        <v>18</v>
      </c>
      <c r="F10" s="5" t="s">
        <v>18</v>
      </c>
      <c r="G10" s="5" t="s">
        <v>3</v>
      </c>
      <c r="H10" s="6" t="n">
        <v>124545</v>
      </c>
      <c r="J10" s="8" t="s">
        <v>24</v>
      </c>
      <c r="K10" s="9" t="n">
        <f aca="false">SUM(K5:K9)</f>
        <v>764153</v>
      </c>
      <c r="L10" s="9" t="n">
        <f aca="false">SUM(L5:L9)</f>
        <v>0</v>
      </c>
      <c r="M10" s="9" t="n">
        <f aca="false">SUM(M5:M9)</f>
        <v>764153</v>
      </c>
      <c r="N10" s="9" t="n">
        <f aca="false">SUM(N5:N9)</f>
        <v>7</v>
      </c>
    </row>
    <row r="11" customFormat="false" ht="15" hidden="false" customHeight="false" outlineLevel="0" collapsed="false">
      <c r="A11" s="11" t="n">
        <v>45876</v>
      </c>
      <c r="B11" s="11" t="n">
        <v>45890</v>
      </c>
      <c r="C11" s="11" t="n">
        <v>45883</v>
      </c>
      <c r="D11" s="5" t="s">
        <v>35</v>
      </c>
      <c r="E11" s="5" t="s">
        <v>20</v>
      </c>
      <c r="F11" s="5" t="s">
        <v>19</v>
      </c>
      <c r="G11" s="5" t="s">
        <v>3</v>
      </c>
      <c r="H11" s="6" t="n">
        <v>105000</v>
      </c>
    </row>
    <row r="13" customFormat="false" ht="15" hidden="false" customHeight="false" outlineLevel="0" collapsed="false">
      <c r="J13" s="10" t="s">
        <v>42</v>
      </c>
    </row>
    <row r="14" customFormat="false" ht="15" hidden="false" customHeight="false" outlineLevel="0" collapsed="false">
      <c r="J14" s="4" t="s">
        <v>54</v>
      </c>
      <c r="K14" s="4" t="s">
        <v>3</v>
      </c>
      <c r="L14" s="4" t="s">
        <v>40</v>
      </c>
      <c r="M14" s="4" t="s">
        <v>24</v>
      </c>
      <c r="N14" s="4" t="s">
        <v>53</v>
      </c>
    </row>
    <row r="15" customFormat="false" ht="15" hidden="false" customHeight="false" outlineLevel="0" collapsed="false">
      <c r="J15" s="5" t="s">
        <v>14</v>
      </c>
      <c r="K15" s="6" t="n">
        <f aca="false">SUMIFS($H$5:$H$11,$F$5:$F$11,J15,$G$5:$G$11,"Corn")</f>
        <v>143948</v>
      </c>
      <c r="L15" s="6" t="n">
        <f aca="false">SUMIFS($H$5:$H$11,$F$5:$F$11,J15,$G$5:$G$11,"Soybean")</f>
        <v>0</v>
      </c>
      <c r="M15" s="6" t="n">
        <f aca="false">K15+L15</f>
        <v>143948</v>
      </c>
      <c r="N15" s="6" t="n">
        <f aca="false">COUNTIFS($F$5:$F$11,J15)</f>
        <v>2</v>
      </c>
    </row>
    <row r="16" customFormat="false" ht="15" hidden="false" customHeight="false" outlineLevel="0" collapsed="false">
      <c r="J16" s="5" t="s">
        <v>15</v>
      </c>
      <c r="K16" s="6" t="n">
        <f aca="false">SUMIFS($H$5:$H$11,$F$5:$F$11,J16,$G$5:$G$11,"Corn")</f>
        <v>252257</v>
      </c>
      <c r="L16" s="6" t="n">
        <f aca="false">SUMIFS($H$5:$H$11,$F$5:$F$11,J16,$G$5:$G$11,"Soybean")</f>
        <v>0</v>
      </c>
      <c r="M16" s="6" t="n">
        <f aca="false">K16+L16</f>
        <v>252257</v>
      </c>
      <c r="N16" s="6" t="n">
        <f aca="false">COUNTIFS($F$5:$F$11,J16)</f>
        <v>2</v>
      </c>
    </row>
    <row r="17" customFormat="false" ht="15" hidden="false" customHeight="false" outlineLevel="0" collapsed="false">
      <c r="J17" s="5" t="s">
        <v>16</v>
      </c>
      <c r="K17" s="6" t="n">
        <f aca="false">SUMIFS($H$5:$H$11,$F$5:$F$11,J17,$G$5:$G$11,"Corn")</f>
        <v>138403</v>
      </c>
      <c r="L17" s="6" t="n">
        <f aca="false">SUMIFS($H$5:$H$11,$F$5:$F$11,J17,$G$5:$G$11,"Soybean")</f>
        <v>0</v>
      </c>
      <c r="M17" s="6" t="n">
        <f aca="false">K17+L17</f>
        <v>138403</v>
      </c>
      <c r="N17" s="6" t="n">
        <f aca="false">COUNTIFS($F$5:$F$11,J17)</f>
        <v>1</v>
      </c>
    </row>
    <row r="18" customFormat="false" ht="15" hidden="false" customHeight="false" outlineLevel="0" collapsed="false">
      <c r="J18" s="5" t="s">
        <v>18</v>
      </c>
      <c r="K18" s="6" t="n">
        <f aca="false">SUMIFS($H$5:$H$11,$F$5:$F$11,J18,$G$5:$G$11,"Corn")</f>
        <v>124545</v>
      </c>
      <c r="L18" s="6" t="n">
        <f aca="false">SUMIFS($H$5:$H$11,$F$5:$F$11,J18,$G$5:$G$11,"Soybean")</f>
        <v>0</v>
      </c>
      <c r="M18" s="6" t="n">
        <f aca="false">K18+L18</f>
        <v>124545</v>
      </c>
      <c r="N18" s="6" t="n">
        <f aca="false">COUNTIFS($F$5:$F$11,J18)</f>
        <v>1</v>
      </c>
    </row>
    <row r="19" customFormat="false" ht="15" hidden="false" customHeight="false" outlineLevel="0" collapsed="false">
      <c r="J19" s="5" t="s">
        <v>19</v>
      </c>
      <c r="K19" s="6" t="n">
        <f aca="false">SUMIFS($H$5:$H$11,$F$5:$F$11,J19,$G$5:$G$11,"Corn")</f>
        <v>105000</v>
      </c>
      <c r="L19" s="6" t="n">
        <f aca="false">SUMIFS($H$5:$H$11,$F$5:$F$11,J19,$G$5:$G$11,"Soybean")</f>
        <v>0</v>
      </c>
      <c r="M19" s="6" t="n">
        <f aca="false">K19+L19</f>
        <v>105000</v>
      </c>
      <c r="N19" s="6" t="n">
        <f aca="false">COUNTIFS($F$5:$F$11,J19)</f>
        <v>1</v>
      </c>
    </row>
    <row r="20" customFormat="false" ht="15" hidden="false" customHeight="false" outlineLevel="0" collapsed="false">
      <c r="J20" s="8" t="s">
        <v>24</v>
      </c>
      <c r="K20" s="9" t="n">
        <f aca="false">SUM(K15:K19)</f>
        <v>764153</v>
      </c>
      <c r="L20" s="9" t="n">
        <f aca="false">SUM(L15:L19)</f>
        <v>0</v>
      </c>
      <c r="M20" s="9" t="n">
        <f aca="false">SUM(M15:M19)</f>
        <v>764153</v>
      </c>
      <c r="N20" s="9" t="n">
        <f aca="false">SUM(N15:N19)</f>
        <v>7</v>
      </c>
    </row>
  </sheetData>
  <autoFilter ref="A4:H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9"/>
  </cols>
  <sheetData>
    <row r="1" customFormat="false" ht="16.1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J3" s="10" t="s">
        <v>2</v>
      </c>
    </row>
    <row r="4" customFormat="false" ht="30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</v>
      </c>
      <c r="E4" s="4" t="s">
        <v>48</v>
      </c>
      <c r="F4" s="4" t="s">
        <v>49</v>
      </c>
      <c r="G4" s="4" t="s">
        <v>50</v>
      </c>
      <c r="H4" s="4" t="s">
        <v>51</v>
      </c>
      <c r="J4" s="4" t="s">
        <v>52</v>
      </c>
      <c r="K4" s="4" t="s">
        <v>3</v>
      </c>
      <c r="L4" s="4" t="s">
        <v>40</v>
      </c>
      <c r="M4" s="4" t="s">
        <v>24</v>
      </c>
      <c r="N4" s="4" t="s">
        <v>53</v>
      </c>
    </row>
    <row r="5" customFormat="false" ht="15" hidden="false" customHeight="false" outlineLevel="0" collapsed="false">
      <c r="A5" s="11" t="n">
        <v>42062</v>
      </c>
      <c r="B5" s="11" t="n">
        <v>42082</v>
      </c>
      <c r="C5" s="11" t="n">
        <v>42075</v>
      </c>
      <c r="D5" s="5" t="s">
        <v>36</v>
      </c>
      <c r="E5" s="5" t="s">
        <v>9</v>
      </c>
      <c r="F5" s="5" t="s">
        <v>9</v>
      </c>
      <c r="G5" s="5" t="s">
        <v>3</v>
      </c>
      <c r="H5" s="6" t="n">
        <v>140000</v>
      </c>
      <c r="J5" s="5" t="s">
        <v>9</v>
      </c>
      <c r="K5" s="6" t="n">
        <f aca="false">SUMIFS($H$5:$H$10,$E$5:$E$10,J5,$G$5:$G$10,"Corn")</f>
        <v>140000</v>
      </c>
      <c r="L5" s="6" t="n">
        <f aca="false">SUMIFS($H$5:$H$10,$E$5:$E$10,J5,$G$5:$G$10,"Soybean")</f>
        <v>0</v>
      </c>
      <c r="M5" s="6" t="n">
        <f aca="false">K5+L5</f>
        <v>140000</v>
      </c>
      <c r="N5" s="6" t="n">
        <f aca="false">COUNTIFS($E$5:$E$10,J5)</f>
        <v>1</v>
      </c>
    </row>
    <row r="6" customFormat="false" ht="15" hidden="false" customHeight="false" outlineLevel="0" collapsed="false">
      <c r="A6" s="11" t="n">
        <v>42501</v>
      </c>
      <c r="B6" s="11" t="n">
        <v>42516</v>
      </c>
      <c r="C6" s="11" t="n">
        <v>42509</v>
      </c>
      <c r="D6" s="5" t="s">
        <v>36</v>
      </c>
      <c r="E6" s="5" t="s">
        <v>10</v>
      </c>
      <c r="F6" s="5" t="s">
        <v>10</v>
      </c>
      <c r="G6" s="5" t="s">
        <v>3</v>
      </c>
      <c r="H6" s="6" t="n">
        <v>210000</v>
      </c>
      <c r="J6" s="5" t="s">
        <v>10</v>
      </c>
      <c r="K6" s="6" t="n">
        <f aca="false">SUMIFS($H$5:$H$10,$E$5:$E$10,J6,$G$5:$G$10,"Corn")</f>
        <v>210000</v>
      </c>
      <c r="L6" s="6" t="n">
        <f aca="false">SUMIFS($H$5:$H$10,$E$5:$E$10,J6,$G$5:$G$10,"Soybean")</f>
        <v>0</v>
      </c>
      <c r="M6" s="6" t="n">
        <f aca="false">K6+L6</f>
        <v>210000</v>
      </c>
      <c r="N6" s="6" t="n">
        <f aca="false">COUNTIFS($E$5:$E$10,J6)</f>
        <v>1</v>
      </c>
    </row>
    <row r="7" customFormat="false" ht="15" hidden="false" customHeight="false" outlineLevel="0" collapsed="false">
      <c r="A7" s="11" t="n">
        <v>42684</v>
      </c>
      <c r="B7" s="11" t="n">
        <v>42698</v>
      </c>
      <c r="C7" s="11" t="n">
        <v>42691</v>
      </c>
      <c r="D7" s="5" t="s">
        <v>36</v>
      </c>
      <c r="E7" s="5" t="s">
        <v>11</v>
      </c>
      <c r="F7" s="5" t="s">
        <v>11</v>
      </c>
      <c r="G7" s="5" t="s">
        <v>3</v>
      </c>
      <c r="H7" s="6" t="n">
        <v>140000</v>
      </c>
      <c r="J7" s="5" t="s">
        <v>11</v>
      </c>
      <c r="K7" s="6" t="n">
        <f aca="false">SUMIFS($H$5:$H$10,$E$5:$E$10,J7,$G$5:$G$10,"Corn")</f>
        <v>140000</v>
      </c>
      <c r="L7" s="6" t="n">
        <f aca="false">SUMIFS($H$5:$H$10,$E$5:$E$10,J7,$G$5:$G$10,"Soybean")</f>
        <v>0</v>
      </c>
      <c r="M7" s="6" t="n">
        <f aca="false">K7+L7</f>
        <v>140000</v>
      </c>
      <c r="N7" s="6" t="n">
        <f aca="false">COUNTIFS($E$5:$E$10,J7)</f>
        <v>1</v>
      </c>
    </row>
    <row r="8" customFormat="false" ht="15" hidden="false" customHeight="false" outlineLevel="0" collapsed="false">
      <c r="A8" s="11" t="n">
        <v>43243</v>
      </c>
      <c r="B8" s="11" t="n">
        <v>43258</v>
      </c>
      <c r="C8" s="11" t="n">
        <v>43251</v>
      </c>
      <c r="D8" s="5" t="s">
        <v>36</v>
      </c>
      <c r="E8" s="5" t="s">
        <v>12</v>
      </c>
      <c r="F8" s="5" t="s">
        <v>12</v>
      </c>
      <c r="G8" s="5" t="s">
        <v>3</v>
      </c>
      <c r="H8" s="6" t="n">
        <v>70000</v>
      </c>
      <c r="J8" s="5" t="s">
        <v>12</v>
      </c>
      <c r="K8" s="6" t="n">
        <f aca="false">SUMIFS($H$5:$H$10,$E$5:$E$10,J8,$G$5:$G$10,"Corn")</f>
        <v>70000</v>
      </c>
      <c r="L8" s="6" t="n">
        <f aca="false">SUMIFS($H$5:$H$10,$E$5:$E$10,J8,$G$5:$G$10,"Soybean")</f>
        <v>0</v>
      </c>
      <c r="M8" s="6" t="n">
        <f aca="false">K8+L8</f>
        <v>70000</v>
      </c>
      <c r="N8" s="6" t="n">
        <f aca="false">COUNTIFS($E$5:$E$10,J8)</f>
        <v>1</v>
      </c>
    </row>
    <row r="9" customFormat="false" ht="15" hidden="false" customHeight="false" outlineLevel="0" collapsed="false">
      <c r="A9" s="11" t="n">
        <v>43243</v>
      </c>
      <c r="B9" s="11" t="n">
        <v>43258</v>
      </c>
      <c r="C9" s="11" t="n">
        <v>43251</v>
      </c>
      <c r="D9" s="5" t="s">
        <v>36</v>
      </c>
      <c r="E9" s="5" t="s">
        <v>13</v>
      </c>
      <c r="F9" s="5" t="s">
        <v>12</v>
      </c>
      <c r="G9" s="5" t="s">
        <v>3</v>
      </c>
      <c r="H9" s="6" t="n">
        <v>70000</v>
      </c>
      <c r="J9" s="5" t="s">
        <v>13</v>
      </c>
      <c r="K9" s="6" t="n">
        <f aca="false">SUMIFS($H$5:$H$10,$E$5:$E$10,J9,$G$5:$G$10,"Corn")</f>
        <v>70000</v>
      </c>
      <c r="L9" s="6" t="n">
        <f aca="false">SUMIFS($H$5:$H$10,$E$5:$E$10,J9,$G$5:$G$10,"Soybean")</f>
        <v>0</v>
      </c>
      <c r="M9" s="6" t="n">
        <f aca="false">K9+L9</f>
        <v>70000</v>
      </c>
      <c r="N9" s="6" t="n">
        <f aca="false">COUNTIFS($E$5:$E$10,J9)</f>
        <v>1</v>
      </c>
    </row>
    <row r="10" customFormat="false" ht="15" hidden="false" customHeight="false" outlineLevel="0" collapsed="false">
      <c r="A10" s="11" t="n">
        <v>43822</v>
      </c>
      <c r="B10" s="11" t="n">
        <v>43839</v>
      </c>
      <c r="C10" s="11" t="n">
        <v>43832</v>
      </c>
      <c r="D10" s="5" t="s">
        <v>36</v>
      </c>
      <c r="E10" s="5" t="s">
        <v>14</v>
      </c>
      <c r="F10" s="5" t="s">
        <v>14</v>
      </c>
      <c r="G10" s="5" t="s">
        <v>40</v>
      </c>
      <c r="H10" s="6" t="n">
        <v>66000</v>
      </c>
      <c r="J10" s="5" t="s">
        <v>14</v>
      </c>
      <c r="K10" s="6" t="n">
        <f aca="false">SUMIFS($H$5:$H$10,$E$5:$E$10,J10,$G$5:$G$10,"Corn")</f>
        <v>0</v>
      </c>
      <c r="L10" s="6" t="n">
        <f aca="false">SUMIFS($H$5:$H$10,$E$5:$E$10,J10,$G$5:$G$10,"Soybean")</f>
        <v>66000</v>
      </c>
      <c r="M10" s="6" t="n">
        <f aca="false">K10+L10</f>
        <v>66000</v>
      </c>
      <c r="N10" s="6" t="n">
        <f aca="false">COUNTIFS($E$5:$E$10,J10)</f>
        <v>1</v>
      </c>
    </row>
    <row r="11" customFormat="false" ht="15" hidden="false" customHeight="false" outlineLevel="0" collapsed="false">
      <c r="J11" s="8" t="s">
        <v>24</v>
      </c>
      <c r="K11" s="9" t="n">
        <f aca="false">SUM(K5:K10)</f>
        <v>630000</v>
      </c>
      <c r="L11" s="9" t="n">
        <f aca="false">SUM(L5:L10)</f>
        <v>66000</v>
      </c>
      <c r="M11" s="9" t="n">
        <f aca="false">SUM(M5:M10)</f>
        <v>696000</v>
      </c>
      <c r="N11" s="9" t="n">
        <f aca="false">SUM(N5:N10)</f>
        <v>6</v>
      </c>
    </row>
    <row r="14" customFormat="false" ht="15" hidden="false" customHeight="false" outlineLevel="0" collapsed="false">
      <c r="J14" s="10" t="s">
        <v>42</v>
      </c>
    </row>
    <row r="15" customFormat="false" ht="15" hidden="false" customHeight="false" outlineLevel="0" collapsed="false">
      <c r="J15" s="4" t="s">
        <v>54</v>
      </c>
      <c r="K15" s="4" t="s">
        <v>3</v>
      </c>
      <c r="L15" s="4" t="s">
        <v>40</v>
      </c>
      <c r="M15" s="4" t="s">
        <v>24</v>
      </c>
      <c r="N15" s="4" t="s">
        <v>53</v>
      </c>
    </row>
    <row r="16" customFormat="false" ht="15" hidden="false" customHeight="false" outlineLevel="0" collapsed="false">
      <c r="J16" s="5" t="s">
        <v>9</v>
      </c>
      <c r="K16" s="6" t="n">
        <f aca="false">SUMIFS($H$5:$H$10,$F$5:$F$10,J16,$G$5:$G$10,"Corn")</f>
        <v>140000</v>
      </c>
      <c r="L16" s="6" t="n">
        <f aca="false">SUMIFS($H$5:$H$10,$F$5:$F$10,J16,$G$5:$G$10,"Soybean")</f>
        <v>0</v>
      </c>
      <c r="M16" s="6" t="n">
        <f aca="false">K16+L16</f>
        <v>140000</v>
      </c>
      <c r="N16" s="6" t="n">
        <f aca="false">COUNTIFS($F$5:$F$10,J16)</f>
        <v>1</v>
      </c>
    </row>
    <row r="17" customFormat="false" ht="15" hidden="false" customHeight="false" outlineLevel="0" collapsed="false">
      <c r="J17" s="5" t="s">
        <v>10</v>
      </c>
      <c r="K17" s="6" t="n">
        <f aca="false">SUMIFS($H$5:$H$10,$F$5:$F$10,J17,$G$5:$G$10,"Corn")</f>
        <v>210000</v>
      </c>
      <c r="L17" s="6" t="n">
        <f aca="false">SUMIFS($H$5:$H$10,$F$5:$F$10,J17,$G$5:$G$10,"Soybean")</f>
        <v>0</v>
      </c>
      <c r="M17" s="6" t="n">
        <f aca="false">K17+L17</f>
        <v>210000</v>
      </c>
      <c r="N17" s="6" t="n">
        <f aca="false">COUNTIFS($F$5:$F$10,J17)</f>
        <v>1</v>
      </c>
    </row>
    <row r="18" customFormat="false" ht="15" hidden="false" customHeight="false" outlineLevel="0" collapsed="false">
      <c r="J18" s="5" t="s">
        <v>11</v>
      </c>
      <c r="K18" s="6" t="n">
        <f aca="false">SUMIFS($H$5:$H$10,$F$5:$F$10,J18,$G$5:$G$10,"Corn")</f>
        <v>140000</v>
      </c>
      <c r="L18" s="6" t="n">
        <f aca="false">SUMIFS($H$5:$H$10,$F$5:$F$10,J18,$G$5:$G$10,"Soybean")</f>
        <v>0</v>
      </c>
      <c r="M18" s="6" t="n">
        <f aca="false">K18+L18</f>
        <v>140000</v>
      </c>
      <c r="N18" s="6" t="n">
        <f aca="false">COUNTIFS($F$5:$F$10,J18)</f>
        <v>1</v>
      </c>
    </row>
    <row r="19" customFormat="false" ht="15" hidden="false" customHeight="false" outlineLevel="0" collapsed="false">
      <c r="J19" s="5" t="s">
        <v>12</v>
      </c>
      <c r="K19" s="6" t="n">
        <f aca="false">SUMIFS($H$5:$H$10,$F$5:$F$10,J19,$G$5:$G$10,"Corn")</f>
        <v>140000</v>
      </c>
      <c r="L19" s="6" t="n">
        <f aca="false">SUMIFS($H$5:$H$10,$F$5:$F$10,J19,$G$5:$G$10,"Soybean")</f>
        <v>0</v>
      </c>
      <c r="M19" s="6" t="n">
        <f aca="false">K19+L19</f>
        <v>140000</v>
      </c>
      <c r="N19" s="6" t="n">
        <f aca="false">COUNTIFS($F$5:$F$10,J19)</f>
        <v>2</v>
      </c>
    </row>
    <row r="20" customFormat="false" ht="15" hidden="false" customHeight="false" outlineLevel="0" collapsed="false">
      <c r="J20" s="5" t="s">
        <v>14</v>
      </c>
      <c r="K20" s="6" t="n">
        <f aca="false">SUMIFS($H$5:$H$10,$F$5:$F$10,J20,$G$5:$G$10,"Corn")</f>
        <v>0</v>
      </c>
      <c r="L20" s="6" t="n">
        <f aca="false">SUMIFS($H$5:$H$10,$F$5:$F$10,J20,$G$5:$G$10,"Soybean")</f>
        <v>66000</v>
      </c>
      <c r="M20" s="6" t="n">
        <f aca="false">K20+L20</f>
        <v>66000</v>
      </c>
      <c r="N20" s="6" t="n">
        <f aca="false">COUNTIFS($F$5:$F$10,J20)</f>
        <v>1</v>
      </c>
    </row>
    <row r="21" customFormat="false" ht="15" hidden="false" customHeight="false" outlineLevel="0" collapsed="false">
      <c r="J21" s="8" t="s">
        <v>24</v>
      </c>
      <c r="K21" s="9" t="n">
        <f aca="false">SUM(K16:K20)</f>
        <v>630000</v>
      </c>
      <c r="L21" s="9" t="n">
        <f aca="false">SUM(L16:L20)</f>
        <v>66000</v>
      </c>
      <c r="M21" s="9" t="n">
        <f aca="false">SUM(M16:M20)</f>
        <v>696000</v>
      </c>
      <c r="N21" s="9" t="n">
        <f aca="false">SUM(N16:N20)</f>
        <v>6</v>
      </c>
    </row>
  </sheetData>
  <autoFilter ref="A4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9"/>
  </cols>
  <sheetData>
    <row r="1" customFormat="false" ht="16.1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J3" s="10" t="s">
        <v>2</v>
      </c>
    </row>
    <row r="4" customFormat="false" ht="30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</v>
      </c>
      <c r="E4" s="4" t="s">
        <v>48</v>
      </c>
      <c r="F4" s="4" t="s">
        <v>49</v>
      </c>
      <c r="G4" s="4" t="s">
        <v>50</v>
      </c>
      <c r="H4" s="4" t="s">
        <v>51</v>
      </c>
      <c r="J4" s="4" t="s">
        <v>52</v>
      </c>
      <c r="K4" s="4" t="s">
        <v>3</v>
      </c>
      <c r="L4" s="4" t="s">
        <v>40</v>
      </c>
      <c r="M4" s="4" t="s">
        <v>24</v>
      </c>
      <c r="N4" s="4" t="s">
        <v>53</v>
      </c>
    </row>
    <row r="5" customFormat="false" ht="15" hidden="false" customHeight="false" outlineLevel="0" collapsed="false">
      <c r="A5" s="11" t="n">
        <v>43200</v>
      </c>
      <c r="B5" s="11" t="n">
        <v>43216</v>
      </c>
      <c r="C5" s="11" t="n">
        <v>43209</v>
      </c>
      <c r="D5" s="5" t="s">
        <v>37</v>
      </c>
      <c r="E5" s="5" t="s">
        <v>13</v>
      </c>
      <c r="F5" s="5" t="s">
        <v>12</v>
      </c>
      <c r="G5" s="5" t="s">
        <v>40</v>
      </c>
      <c r="H5" s="6" t="n">
        <v>120000</v>
      </c>
      <c r="J5" s="5" t="s">
        <v>12</v>
      </c>
      <c r="K5" s="6" t="n">
        <f aca="false">SUMIFS($H$5:$H$10,$E$5:$E$10,J5,$G$5:$G$10,"Corn")</f>
        <v>80000</v>
      </c>
      <c r="L5" s="6" t="n">
        <f aca="false">SUMIFS($H$5:$H$10,$E$5:$E$10,J5,$G$5:$G$10,"Soybean")</f>
        <v>60000</v>
      </c>
      <c r="M5" s="6" t="n">
        <f aca="false">K5+L5</f>
        <v>140000</v>
      </c>
      <c r="N5" s="6" t="n">
        <f aca="false">COUNTIFS($E$5:$E$10,J5)</f>
        <v>2</v>
      </c>
    </row>
    <row r="6" customFormat="false" ht="15" hidden="false" customHeight="false" outlineLevel="0" collapsed="false">
      <c r="A6" s="11" t="n">
        <v>43201</v>
      </c>
      <c r="B6" s="11" t="n">
        <v>43216</v>
      </c>
      <c r="C6" s="11" t="n">
        <v>43209</v>
      </c>
      <c r="D6" s="5" t="s">
        <v>37</v>
      </c>
      <c r="E6" s="5" t="s">
        <v>13</v>
      </c>
      <c r="F6" s="5" t="s">
        <v>12</v>
      </c>
      <c r="G6" s="5" t="s">
        <v>40</v>
      </c>
      <c r="H6" s="6" t="n">
        <v>120000</v>
      </c>
      <c r="J6" s="5" t="s">
        <v>13</v>
      </c>
      <c r="K6" s="6" t="n">
        <f aca="false">SUMIFS($H$5:$H$10,$E$5:$E$10,J6,$G$5:$G$10,"Corn")</f>
        <v>0</v>
      </c>
      <c r="L6" s="6" t="n">
        <f aca="false">SUMIFS($H$5:$H$10,$E$5:$E$10,J6,$G$5:$G$10,"Soybean")</f>
        <v>430000</v>
      </c>
      <c r="M6" s="6" t="n">
        <f aca="false">K6+L6</f>
        <v>430000</v>
      </c>
      <c r="N6" s="6" t="n">
        <f aca="false">COUNTIFS($E$5:$E$10,J6)</f>
        <v>4</v>
      </c>
    </row>
    <row r="7" customFormat="false" ht="15" hidden="false" customHeight="false" outlineLevel="0" collapsed="false">
      <c r="A7" s="11" t="n">
        <v>43214</v>
      </c>
      <c r="B7" s="11" t="n">
        <v>43230</v>
      </c>
      <c r="C7" s="11" t="n">
        <v>43223</v>
      </c>
      <c r="D7" s="5" t="s">
        <v>37</v>
      </c>
      <c r="E7" s="5" t="s">
        <v>12</v>
      </c>
      <c r="F7" s="5" t="s">
        <v>12</v>
      </c>
      <c r="G7" s="5" t="s">
        <v>40</v>
      </c>
      <c r="H7" s="6" t="n">
        <v>60000</v>
      </c>
      <c r="J7" s="8" t="s">
        <v>24</v>
      </c>
      <c r="K7" s="9" t="n">
        <f aca="false">SUM(K5:K6)</f>
        <v>80000</v>
      </c>
      <c r="L7" s="9" t="n">
        <f aca="false">SUM(L5:L6)</f>
        <v>490000</v>
      </c>
      <c r="M7" s="9" t="n">
        <f aca="false">SUM(M5:M6)</f>
        <v>570000</v>
      </c>
      <c r="N7" s="9" t="n">
        <f aca="false">SUM(N5:N6)</f>
        <v>6</v>
      </c>
    </row>
    <row r="8" customFormat="false" ht="15" hidden="false" customHeight="false" outlineLevel="0" collapsed="false">
      <c r="A8" s="11" t="n">
        <v>43214</v>
      </c>
      <c r="B8" s="11" t="n">
        <v>43230</v>
      </c>
      <c r="C8" s="11" t="n">
        <v>43223</v>
      </c>
      <c r="D8" s="5" t="s">
        <v>37</v>
      </c>
      <c r="E8" s="5" t="s">
        <v>13</v>
      </c>
      <c r="F8" s="5" t="s">
        <v>12</v>
      </c>
      <c r="G8" s="5" t="s">
        <v>40</v>
      </c>
      <c r="H8" s="6" t="n">
        <v>70000</v>
      </c>
    </row>
    <row r="9" customFormat="false" ht="15" hidden="false" customHeight="false" outlineLevel="0" collapsed="false">
      <c r="A9" s="11" t="n">
        <v>43220</v>
      </c>
      <c r="B9" s="11" t="n">
        <v>43237</v>
      </c>
      <c r="C9" s="11" t="n">
        <v>43230</v>
      </c>
      <c r="D9" s="5" t="s">
        <v>37</v>
      </c>
      <c r="E9" s="5" t="s">
        <v>13</v>
      </c>
      <c r="F9" s="5" t="s">
        <v>12</v>
      </c>
      <c r="G9" s="5" t="s">
        <v>40</v>
      </c>
      <c r="H9" s="6" t="n">
        <v>120000</v>
      </c>
    </row>
    <row r="10" customFormat="false" ht="15" hidden="false" customHeight="false" outlineLevel="0" collapsed="false">
      <c r="A10" s="11" t="n">
        <v>43301</v>
      </c>
      <c r="B10" s="11" t="n">
        <v>43321</v>
      </c>
      <c r="C10" s="11" t="n">
        <v>43314</v>
      </c>
      <c r="D10" s="5" t="s">
        <v>37</v>
      </c>
      <c r="E10" s="5" t="s">
        <v>12</v>
      </c>
      <c r="F10" s="5" t="s">
        <v>12</v>
      </c>
      <c r="G10" s="5" t="s">
        <v>3</v>
      </c>
      <c r="H10" s="6" t="n">
        <v>80000</v>
      </c>
      <c r="J10" s="10" t="s">
        <v>42</v>
      </c>
    </row>
    <row r="11" customFormat="false" ht="15" hidden="false" customHeight="false" outlineLevel="0" collapsed="false">
      <c r="J11" s="4" t="s">
        <v>54</v>
      </c>
      <c r="K11" s="4" t="s">
        <v>3</v>
      </c>
      <c r="L11" s="4" t="s">
        <v>40</v>
      </c>
      <c r="M11" s="4" t="s">
        <v>24</v>
      </c>
      <c r="N11" s="4" t="s">
        <v>53</v>
      </c>
    </row>
    <row r="12" customFormat="false" ht="15" hidden="false" customHeight="false" outlineLevel="0" collapsed="false">
      <c r="J12" s="5" t="s">
        <v>12</v>
      </c>
      <c r="K12" s="6" t="n">
        <f aca="false">SUMIFS($H$5:$H$10,$F$5:$F$10,J12,$G$5:$G$10,"Corn")</f>
        <v>80000</v>
      </c>
      <c r="L12" s="6" t="n">
        <f aca="false">SUMIFS($H$5:$H$10,$F$5:$F$10,J12,$G$5:$G$10,"Soybean")</f>
        <v>490000</v>
      </c>
      <c r="M12" s="6" t="n">
        <f aca="false">K12+L12</f>
        <v>570000</v>
      </c>
      <c r="N12" s="6" t="n">
        <f aca="false">COUNTIFS($F$5:$F$10,J12)</f>
        <v>6</v>
      </c>
    </row>
    <row r="13" customFormat="false" ht="15" hidden="false" customHeight="false" outlineLevel="0" collapsed="false">
      <c r="J13" s="8" t="s">
        <v>24</v>
      </c>
      <c r="K13" s="9" t="n">
        <f aca="false">SUM(K12:K12)</f>
        <v>80000</v>
      </c>
      <c r="L13" s="9" t="n">
        <f aca="false">SUM(L12:L12)</f>
        <v>490000</v>
      </c>
      <c r="M13" s="9" t="n">
        <f aca="false">SUM(M12:M12)</f>
        <v>570000</v>
      </c>
      <c r="N13" s="9" t="n">
        <f aca="false">SUM(N12:N12)</f>
        <v>6</v>
      </c>
    </row>
  </sheetData>
  <autoFilter ref="A4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9"/>
  </cols>
  <sheetData>
    <row r="1" customFormat="false" ht="16.1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J3" s="10" t="s">
        <v>2</v>
      </c>
    </row>
    <row r="4" customFormat="false" ht="30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</v>
      </c>
      <c r="E4" s="4" t="s">
        <v>48</v>
      </c>
      <c r="F4" s="4" t="s">
        <v>49</v>
      </c>
      <c r="G4" s="4" t="s">
        <v>50</v>
      </c>
      <c r="H4" s="4" t="s">
        <v>51</v>
      </c>
      <c r="J4" s="4" t="s">
        <v>52</v>
      </c>
      <c r="K4" s="4" t="s">
        <v>3</v>
      </c>
      <c r="L4" s="4" t="s">
        <v>40</v>
      </c>
      <c r="M4" s="4" t="s">
        <v>24</v>
      </c>
      <c r="N4" s="4" t="s">
        <v>53</v>
      </c>
    </row>
    <row r="5" customFormat="false" ht="15" hidden="false" customHeight="false" outlineLevel="0" collapsed="false">
      <c r="A5" s="11" t="n">
        <v>43299</v>
      </c>
      <c r="B5" s="11" t="n">
        <v>43314</v>
      </c>
      <c r="C5" s="11" t="n">
        <v>43307</v>
      </c>
      <c r="D5" s="5" t="s">
        <v>38</v>
      </c>
      <c r="E5" s="5" t="s">
        <v>13</v>
      </c>
      <c r="F5" s="5" t="s">
        <v>12</v>
      </c>
      <c r="G5" s="5" t="s">
        <v>40</v>
      </c>
      <c r="H5" s="6" t="n">
        <v>199500</v>
      </c>
      <c r="J5" s="5" t="s">
        <v>13</v>
      </c>
      <c r="K5" s="6" t="n">
        <f aca="false">SUMIFS($H$5:$H$10,$E$5:$E$10,J5,$G$5:$G$10,"Corn")</f>
        <v>0</v>
      </c>
      <c r="L5" s="6" t="n">
        <f aca="false">SUMIFS($H$5:$H$10,$E$5:$E$10,J5,$G$5:$G$10,"Soybean")</f>
        <v>199500</v>
      </c>
      <c r="M5" s="6" t="n">
        <f aca="false">K5+L5</f>
        <v>199500</v>
      </c>
      <c r="N5" s="6" t="n">
        <f aca="false">COUNTIFS($E$5:$E$10,J5)</f>
        <v>1</v>
      </c>
    </row>
    <row r="6" customFormat="false" ht="15" hidden="false" customHeight="false" outlineLevel="0" collapsed="false">
      <c r="A6" s="11" t="n">
        <v>44095</v>
      </c>
      <c r="B6" s="11" t="n">
        <v>44112</v>
      </c>
      <c r="C6" s="11" t="n">
        <v>44105</v>
      </c>
      <c r="D6" s="5" t="s">
        <v>38</v>
      </c>
      <c r="E6" s="5" t="s">
        <v>15</v>
      </c>
      <c r="F6" s="5" t="s">
        <v>15</v>
      </c>
      <c r="G6" s="5" t="s">
        <v>40</v>
      </c>
      <c r="H6" s="6" t="n">
        <v>132000</v>
      </c>
      <c r="J6" s="5" t="s">
        <v>15</v>
      </c>
      <c r="K6" s="6" t="n">
        <f aca="false">SUMIFS($H$5:$H$10,$E$5:$E$10,J6,$G$5:$G$10,"Corn")</f>
        <v>0</v>
      </c>
      <c r="L6" s="6" t="n">
        <f aca="false">SUMIFS($H$5:$H$10,$E$5:$E$10,J6,$G$5:$G$10,"Soybean")</f>
        <v>132000</v>
      </c>
      <c r="M6" s="6" t="n">
        <f aca="false">K6+L6</f>
        <v>132000</v>
      </c>
      <c r="N6" s="6" t="n">
        <f aca="false">COUNTIFS($E$5:$E$10,J6)</f>
        <v>1</v>
      </c>
    </row>
    <row r="7" customFormat="false" ht="15" hidden="false" customHeight="false" outlineLevel="0" collapsed="false">
      <c r="A7" s="11" t="n">
        <v>44714</v>
      </c>
      <c r="B7" s="11" t="n">
        <v>44728</v>
      </c>
      <c r="C7" s="11" t="n">
        <v>44721</v>
      </c>
      <c r="D7" s="5" t="s">
        <v>38</v>
      </c>
      <c r="E7" s="5" t="s">
        <v>16</v>
      </c>
      <c r="F7" s="5" t="s">
        <v>16</v>
      </c>
      <c r="G7" s="5" t="s">
        <v>40</v>
      </c>
      <c r="H7" s="6" t="n">
        <v>55000</v>
      </c>
      <c r="J7" s="5" t="s">
        <v>16</v>
      </c>
      <c r="K7" s="6" t="n">
        <f aca="false">SUMIFS($H$5:$H$10,$E$5:$E$10,J7,$G$5:$G$10,"Corn")</f>
        <v>0</v>
      </c>
      <c r="L7" s="6" t="n">
        <f aca="false">SUMIFS($H$5:$H$10,$E$5:$E$10,J7,$G$5:$G$10,"Soybean")</f>
        <v>55000</v>
      </c>
      <c r="M7" s="6" t="n">
        <f aca="false">K7+L7</f>
        <v>55000</v>
      </c>
      <c r="N7" s="6" t="n">
        <f aca="false">COUNTIFS($E$5:$E$10,J7)</f>
        <v>1</v>
      </c>
    </row>
    <row r="8" customFormat="false" ht="15" hidden="false" customHeight="false" outlineLevel="0" collapsed="false">
      <c r="A8" s="11" t="n">
        <v>44714</v>
      </c>
      <c r="B8" s="11" t="n">
        <v>44728</v>
      </c>
      <c r="C8" s="11" t="n">
        <v>44721</v>
      </c>
      <c r="D8" s="5" t="s">
        <v>38</v>
      </c>
      <c r="E8" s="5" t="s">
        <v>17</v>
      </c>
      <c r="F8" s="5" t="s">
        <v>16</v>
      </c>
      <c r="G8" s="5" t="s">
        <v>40</v>
      </c>
      <c r="H8" s="6" t="n">
        <v>297000</v>
      </c>
      <c r="J8" s="5" t="s">
        <v>17</v>
      </c>
      <c r="K8" s="6" t="n">
        <f aca="false">SUMIFS($H$5:$H$10,$E$5:$E$10,J8,$G$5:$G$10,"Corn")</f>
        <v>0</v>
      </c>
      <c r="L8" s="6" t="n">
        <f aca="false">SUMIFS($H$5:$H$10,$E$5:$E$10,J8,$G$5:$G$10,"Soybean")</f>
        <v>297000</v>
      </c>
      <c r="M8" s="6" t="n">
        <f aca="false">K8+L8</f>
        <v>297000</v>
      </c>
      <c r="N8" s="6" t="n">
        <f aca="false">COUNTIFS($E$5:$E$10,J8)</f>
        <v>1</v>
      </c>
    </row>
    <row r="9" customFormat="false" ht="15" hidden="false" customHeight="false" outlineLevel="0" collapsed="false">
      <c r="A9" s="11" t="n">
        <v>45785</v>
      </c>
      <c r="B9" s="11" t="n">
        <v>45799</v>
      </c>
      <c r="C9" s="11" t="n">
        <v>45792</v>
      </c>
      <c r="D9" s="5" t="s">
        <v>38</v>
      </c>
      <c r="E9" s="5" t="s">
        <v>20</v>
      </c>
      <c r="F9" s="5" t="s">
        <v>19</v>
      </c>
      <c r="G9" s="5" t="s">
        <v>40</v>
      </c>
      <c r="H9" s="6" t="n">
        <v>225000</v>
      </c>
      <c r="J9" s="5" t="s">
        <v>20</v>
      </c>
      <c r="K9" s="6" t="n">
        <f aca="false">SUMIFS($H$5:$H$10,$E$5:$E$10,J9,$G$5:$G$10,"Corn")</f>
        <v>0</v>
      </c>
      <c r="L9" s="6" t="n">
        <f aca="false">SUMIFS($H$5:$H$10,$E$5:$E$10,J9,$G$5:$G$10,"Soybean")</f>
        <v>345000</v>
      </c>
      <c r="M9" s="6" t="n">
        <f aca="false">K9+L9</f>
        <v>345000</v>
      </c>
      <c r="N9" s="6" t="n">
        <f aca="false">COUNTIFS($E$5:$E$10,J9)</f>
        <v>2</v>
      </c>
    </row>
    <row r="10" customFormat="false" ht="15" hidden="false" customHeight="false" outlineLevel="0" collapsed="false">
      <c r="A10" s="11" t="n">
        <v>45786</v>
      </c>
      <c r="B10" s="11" t="n">
        <v>45806</v>
      </c>
      <c r="C10" s="11" t="n">
        <v>45799</v>
      </c>
      <c r="D10" s="5" t="s">
        <v>38</v>
      </c>
      <c r="E10" s="5" t="s">
        <v>20</v>
      </c>
      <c r="F10" s="5" t="s">
        <v>19</v>
      </c>
      <c r="G10" s="5" t="s">
        <v>40</v>
      </c>
      <c r="H10" s="6" t="n">
        <v>120000</v>
      </c>
      <c r="J10" s="8" t="s">
        <v>24</v>
      </c>
      <c r="K10" s="9" t="n">
        <f aca="false">SUM(K5:K9)</f>
        <v>0</v>
      </c>
      <c r="L10" s="9" t="n">
        <f aca="false">SUM(L5:L9)</f>
        <v>1028500</v>
      </c>
      <c r="M10" s="9" t="n">
        <f aca="false">SUM(M5:M9)</f>
        <v>1028500</v>
      </c>
      <c r="N10" s="9" t="n">
        <f aca="false">SUM(N5:N9)</f>
        <v>6</v>
      </c>
    </row>
    <row r="13" customFormat="false" ht="15" hidden="false" customHeight="false" outlineLevel="0" collapsed="false">
      <c r="J13" s="10" t="s">
        <v>42</v>
      </c>
    </row>
    <row r="14" customFormat="false" ht="15" hidden="false" customHeight="false" outlineLevel="0" collapsed="false">
      <c r="J14" s="4" t="s">
        <v>54</v>
      </c>
      <c r="K14" s="4" t="s">
        <v>3</v>
      </c>
      <c r="L14" s="4" t="s">
        <v>40</v>
      </c>
      <c r="M14" s="4" t="s">
        <v>24</v>
      </c>
      <c r="N14" s="4" t="s">
        <v>53</v>
      </c>
    </row>
    <row r="15" customFormat="false" ht="15" hidden="false" customHeight="false" outlineLevel="0" collapsed="false">
      <c r="J15" s="5" t="s">
        <v>12</v>
      </c>
      <c r="K15" s="6" t="n">
        <f aca="false">SUMIFS($H$5:$H$10,$F$5:$F$10,J15,$G$5:$G$10,"Corn")</f>
        <v>0</v>
      </c>
      <c r="L15" s="6" t="n">
        <f aca="false">SUMIFS($H$5:$H$10,$F$5:$F$10,J15,$G$5:$G$10,"Soybean")</f>
        <v>199500</v>
      </c>
      <c r="M15" s="6" t="n">
        <f aca="false">K15+L15</f>
        <v>199500</v>
      </c>
      <c r="N15" s="6" t="n">
        <f aca="false">COUNTIFS($F$5:$F$10,J15)</f>
        <v>1</v>
      </c>
    </row>
    <row r="16" customFormat="false" ht="15" hidden="false" customHeight="false" outlineLevel="0" collapsed="false">
      <c r="J16" s="5" t="s">
        <v>15</v>
      </c>
      <c r="K16" s="6" t="n">
        <f aca="false">SUMIFS($H$5:$H$10,$F$5:$F$10,J16,$G$5:$G$10,"Corn")</f>
        <v>0</v>
      </c>
      <c r="L16" s="6" t="n">
        <f aca="false">SUMIFS($H$5:$H$10,$F$5:$F$10,J16,$G$5:$G$10,"Soybean")</f>
        <v>132000</v>
      </c>
      <c r="M16" s="6" t="n">
        <f aca="false">K16+L16</f>
        <v>132000</v>
      </c>
      <c r="N16" s="6" t="n">
        <f aca="false">COUNTIFS($F$5:$F$10,J16)</f>
        <v>1</v>
      </c>
    </row>
    <row r="17" customFormat="false" ht="15" hidden="false" customHeight="false" outlineLevel="0" collapsed="false">
      <c r="J17" s="5" t="s">
        <v>16</v>
      </c>
      <c r="K17" s="6" t="n">
        <f aca="false">SUMIFS($H$5:$H$10,$F$5:$F$10,J17,$G$5:$G$10,"Corn")</f>
        <v>0</v>
      </c>
      <c r="L17" s="6" t="n">
        <f aca="false">SUMIFS($H$5:$H$10,$F$5:$F$10,J17,$G$5:$G$10,"Soybean")</f>
        <v>352000</v>
      </c>
      <c r="M17" s="6" t="n">
        <f aca="false">K17+L17</f>
        <v>352000</v>
      </c>
      <c r="N17" s="6" t="n">
        <f aca="false">COUNTIFS($F$5:$F$10,J17)</f>
        <v>2</v>
      </c>
    </row>
    <row r="18" customFormat="false" ht="15" hidden="false" customHeight="false" outlineLevel="0" collapsed="false">
      <c r="J18" s="5" t="s">
        <v>19</v>
      </c>
      <c r="K18" s="6" t="n">
        <f aca="false">SUMIFS($H$5:$H$10,$F$5:$F$10,J18,$G$5:$G$10,"Corn")</f>
        <v>0</v>
      </c>
      <c r="L18" s="6" t="n">
        <f aca="false">SUMIFS($H$5:$H$10,$F$5:$F$10,J18,$G$5:$G$10,"Soybean")</f>
        <v>345000</v>
      </c>
      <c r="M18" s="6" t="n">
        <f aca="false">K18+L18</f>
        <v>345000</v>
      </c>
      <c r="N18" s="6" t="n">
        <f aca="false">COUNTIFS($F$5:$F$10,J18)</f>
        <v>2</v>
      </c>
    </row>
    <row r="19" customFormat="false" ht="15" hidden="false" customHeight="false" outlineLevel="0" collapsed="false">
      <c r="J19" s="8" t="s">
        <v>24</v>
      </c>
      <c r="K19" s="9" t="n">
        <f aca="false">SUM(K15:K18)</f>
        <v>0</v>
      </c>
      <c r="L19" s="9" t="n">
        <f aca="false">SUM(L15:L18)</f>
        <v>1028500</v>
      </c>
      <c r="M19" s="9" t="n">
        <f aca="false">SUM(M15:M18)</f>
        <v>1028500</v>
      </c>
      <c r="N19" s="9" t="n">
        <f aca="false">SUM(N15:N18)</f>
        <v>6</v>
      </c>
    </row>
  </sheetData>
  <autoFilter ref="A4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3" min="11" style="0" width="13"/>
    <col collapsed="false" customWidth="true" hidden="false" outlineLevel="0" max="14" min="14" style="0" width="9"/>
  </cols>
  <sheetData>
    <row r="1" customFormat="false" ht="16.1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3" customFormat="false" ht="15" hidden="false" customHeight="false" outlineLevel="0" collapsed="false">
      <c r="J3" s="10" t="s">
        <v>2</v>
      </c>
    </row>
    <row r="4" customFormat="false" ht="30" hidden="false" customHeight="true" outlineLevel="0" collapsed="false">
      <c r="A4" s="4" t="s">
        <v>45</v>
      </c>
      <c r="B4" s="4" t="s">
        <v>46</v>
      </c>
      <c r="C4" s="4" t="s">
        <v>47</v>
      </c>
      <c r="D4" s="4" t="s">
        <v>4</v>
      </c>
      <c r="E4" s="4" t="s">
        <v>48</v>
      </c>
      <c r="F4" s="4" t="s">
        <v>49</v>
      </c>
      <c r="G4" s="4" t="s">
        <v>50</v>
      </c>
      <c r="H4" s="4" t="s">
        <v>51</v>
      </c>
      <c r="J4" s="4" t="s">
        <v>52</v>
      </c>
      <c r="K4" s="4" t="s">
        <v>3</v>
      </c>
      <c r="L4" s="4" t="s">
        <v>40</v>
      </c>
      <c r="M4" s="4" t="s">
        <v>24</v>
      </c>
      <c r="N4" s="4" t="s">
        <v>53</v>
      </c>
    </row>
    <row r="5" customFormat="false" ht="15" hidden="false" customHeight="false" outlineLevel="0" collapsed="false">
      <c r="A5" s="11" t="n">
        <v>41570</v>
      </c>
      <c r="B5" s="11" t="n">
        <v>41585</v>
      </c>
      <c r="C5" s="11" t="n">
        <v>41578</v>
      </c>
      <c r="D5" s="5" t="s">
        <v>70</v>
      </c>
      <c r="E5" s="5" t="s">
        <v>8</v>
      </c>
      <c r="F5" s="5" t="s">
        <v>8</v>
      </c>
      <c r="G5" s="5" t="s">
        <v>40</v>
      </c>
      <c r="H5" s="6" t="n">
        <v>120000</v>
      </c>
      <c r="J5" s="5" t="s">
        <v>8</v>
      </c>
      <c r="K5" s="6" t="n">
        <f aca="false">SUMIFS($H$5:$H$19,$E$5:$E$19,J5,$G$5:$G$19,"Corn")</f>
        <v>0</v>
      </c>
      <c r="L5" s="6" t="n">
        <f aca="false">SUMIFS($H$5:$H$19,$E$5:$E$19,J5,$G$5:$G$19,"Soybean")</f>
        <v>120000</v>
      </c>
      <c r="M5" s="6" t="n">
        <f aca="false">K5+L5</f>
        <v>120000</v>
      </c>
      <c r="N5" s="6" t="n">
        <f aca="false">COUNTIFS($E$5:$E$19,J5)</f>
        <v>1</v>
      </c>
    </row>
    <row r="6" customFormat="false" ht="15" hidden="false" customHeight="false" outlineLevel="0" collapsed="false">
      <c r="A6" s="11" t="n">
        <v>42373</v>
      </c>
      <c r="B6" s="11" t="n">
        <v>42390</v>
      </c>
      <c r="C6" s="11" t="n">
        <v>42383</v>
      </c>
      <c r="D6" s="5" t="s">
        <v>71</v>
      </c>
      <c r="E6" s="5" t="s">
        <v>10</v>
      </c>
      <c r="F6" s="5" t="s">
        <v>10</v>
      </c>
      <c r="G6" s="5" t="s">
        <v>40</v>
      </c>
      <c r="H6" s="6" t="n">
        <v>217000</v>
      </c>
      <c r="J6" s="5" t="s">
        <v>10</v>
      </c>
      <c r="K6" s="6" t="n">
        <f aca="false">SUMIFS($H$5:$H$19,$E$5:$E$19,J6,$G$5:$G$19,"Corn")</f>
        <v>132000</v>
      </c>
      <c r="L6" s="6" t="n">
        <f aca="false">SUMIFS($H$5:$H$19,$E$5:$E$19,J6,$G$5:$G$19,"Soybean")</f>
        <v>217000</v>
      </c>
      <c r="M6" s="6" t="n">
        <f aca="false">K6+L6</f>
        <v>349000</v>
      </c>
      <c r="N6" s="6" t="n">
        <f aca="false">COUNTIFS($E$5:$E$19,J6)</f>
        <v>2</v>
      </c>
    </row>
    <row r="7" customFormat="false" ht="15" hidden="false" customHeight="false" outlineLevel="0" collapsed="false">
      <c r="A7" s="11" t="n">
        <v>42496</v>
      </c>
      <c r="B7" s="11" t="n">
        <v>42516</v>
      </c>
      <c r="C7" s="11" t="n">
        <v>42509</v>
      </c>
      <c r="D7" s="5" t="s">
        <v>72</v>
      </c>
      <c r="E7" s="5" t="s">
        <v>10</v>
      </c>
      <c r="F7" s="5" t="s">
        <v>10</v>
      </c>
      <c r="G7" s="5" t="s">
        <v>3</v>
      </c>
      <c r="H7" s="6" t="n">
        <v>132000</v>
      </c>
      <c r="J7" s="5" t="s">
        <v>11</v>
      </c>
      <c r="K7" s="6" t="n">
        <f aca="false">SUMIFS($H$5:$H$19,$E$5:$E$19,J7,$G$5:$G$19,"Corn")</f>
        <v>100973</v>
      </c>
      <c r="L7" s="6" t="n">
        <f aca="false">SUMIFS($H$5:$H$19,$E$5:$E$19,J7,$G$5:$G$19,"Soybean")</f>
        <v>110000</v>
      </c>
      <c r="M7" s="6" t="n">
        <f aca="false">K7+L7</f>
        <v>210973</v>
      </c>
      <c r="N7" s="6" t="n">
        <f aca="false">COUNTIFS($E$5:$E$19,J7)</f>
        <v>2</v>
      </c>
    </row>
    <row r="8" customFormat="false" ht="15" hidden="false" customHeight="false" outlineLevel="0" collapsed="false">
      <c r="A8" s="11" t="n">
        <v>42674</v>
      </c>
      <c r="B8" s="11" t="n">
        <v>42691</v>
      </c>
      <c r="C8" s="11" t="n">
        <v>42684</v>
      </c>
      <c r="D8" s="5" t="s">
        <v>73</v>
      </c>
      <c r="E8" s="5" t="s">
        <v>11</v>
      </c>
      <c r="F8" s="5" t="s">
        <v>11</v>
      </c>
      <c r="G8" s="5" t="s">
        <v>3</v>
      </c>
      <c r="H8" s="6" t="n">
        <v>100973</v>
      </c>
      <c r="J8" s="5" t="s">
        <v>12</v>
      </c>
      <c r="K8" s="6" t="n">
        <f aca="false">SUMIFS($H$5:$H$19,$E$5:$E$19,J8,$G$5:$G$19,"Corn")</f>
        <v>110000</v>
      </c>
      <c r="L8" s="6" t="n">
        <f aca="false">SUMIFS($H$5:$H$19,$E$5:$E$19,J8,$G$5:$G$19,"Soybean")</f>
        <v>0</v>
      </c>
      <c r="M8" s="6" t="n">
        <f aca="false">K8+L8</f>
        <v>110000</v>
      </c>
      <c r="N8" s="6" t="n">
        <f aca="false">COUNTIFS($E$5:$E$19,J8)</f>
        <v>1</v>
      </c>
    </row>
    <row r="9" customFormat="false" ht="15" hidden="false" customHeight="false" outlineLevel="0" collapsed="false">
      <c r="A9" s="11" t="n">
        <v>42912</v>
      </c>
      <c r="B9" s="11" t="n">
        <v>42929</v>
      </c>
      <c r="C9" s="11" t="n">
        <v>42922</v>
      </c>
      <c r="D9" s="5" t="s">
        <v>74</v>
      </c>
      <c r="E9" s="5" t="s">
        <v>11</v>
      </c>
      <c r="F9" s="5" t="s">
        <v>11</v>
      </c>
      <c r="G9" s="5" t="s">
        <v>40</v>
      </c>
      <c r="H9" s="6" t="n">
        <v>110000</v>
      </c>
      <c r="J9" s="5" t="s">
        <v>13</v>
      </c>
      <c r="K9" s="6" t="n">
        <f aca="false">SUMIFS($H$5:$H$19,$E$5:$E$19,J9,$G$5:$G$19,"Corn")</f>
        <v>247000</v>
      </c>
      <c r="L9" s="6" t="n">
        <f aca="false">SUMIFS($H$5:$H$19,$E$5:$E$19,J9,$G$5:$G$19,"Soybean")</f>
        <v>0</v>
      </c>
      <c r="M9" s="6" t="n">
        <f aca="false">K9+L9</f>
        <v>247000</v>
      </c>
      <c r="N9" s="6" t="n">
        <f aca="false">COUNTIFS($E$5:$E$19,J9)</f>
        <v>2</v>
      </c>
    </row>
    <row r="10" customFormat="false" ht="15" hidden="false" customHeight="false" outlineLevel="0" collapsed="false">
      <c r="A10" s="11" t="n">
        <v>43179</v>
      </c>
      <c r="B10" s="11" t="n">
        <v>43195</v>
      </c>
      <c r="C10" s="11" t="n">
        <v>43188</v>
      </c>
      <c r="D10" s="5" t="s">
        <v>75</v>
      </c>
      <c r="E10" s="5" t="s">
        <v>12</v>
      </c>
      <c r="F10" s="5" t="s">
        <v>12</v>
      </c>
      <c r="G10" s="5" t="s">
        <v>3</v>
      </c>
      <c r="H10" s="6" t="n">
        <v>110000</v>
      </c>
      <c r="J10" s="5" t="s">
        <v>14</v>
      </c>
      <c r="K10" s="6" t="n">
        <f aca="false">SUMIFS($H$5:$H$19,$E$5:$E$19,J10,$G$5:$G$19,"Corn")</f>
        <v>104100</v>
      </c>
      <c r="L10" s="6" t="n">
        <f aca="false">SUMIFS($H$5:$H$19,$E$5:$E$19,J10,$G$5:$G$19,"Soybean")</f>
        <v>154500</v>
      </c>
      <c r="M10" s="6" t="n">
        <f aca="false">K10+L10</f>
        <v>258600</v>
      </c>
      <c r="N10" s="6" t="n">
        <f aca="false">COUNTIFS($E$5:$E$19,J10)</f>
        <v>2</v>
      </c>
    </row>
    <row r="11" customFormat="false" ht="15" hidden="false" customHeight="false" outlineLevel="0" collapsed="false">
      <c r="A11" s="11" t="n">
        <v>43273</v>
      </c>
      <c r="B11" s="11" t="n">
        <v>43293</v>
      </c>
      <c r="C11" s="11" t="n">
        <v>43286</v>
      </c>
      <c r="D11" s="5" t="s">
        <v>76</v>
      </c>
      <c r="E11" s="5" t="s">
        <v>13</v>
      </c>
      <c r="F11" s="5" t="s">
        <v>12</v>
      </c>
      <c r="G11" s="5" t="s">
        <v>3</v>
      </c>
      <c r="H11" s="6" t="n">
        <v>117000</v>
      </c>
      <c r="J11" s="5" t="s">
        <v>15</v>
      </c>
      <c r="K11" s="6" t="n">
        <f aca="false">SUMIFS($H$5:$H$19,$E$5:$E$19,J11,$G$5:$G$19,"Corn")</f>
        <v>100000</v>
      </c>
      <c r="L11" s="6" t="n">
        <f aca="false">SUMIFS($H$5:$H$19,$E$5:$E$19,J11,$G$5:$G$19,"Soybean")</f>
        <v>55000</v>
      </c>
      <c r="M11" s="6" t="n">
        <f aca="false">K11+L11</f>
        <v>155000</v>
      </c>
      <c r="N11" s="6" t="n">
        <f aca="false">COUNTIFS($E$5:$E$19,J11)</f>
        <v>2</v>
      </c>
    </row>
    <row r="12" customFormat="false" ht="15" hidden="false" customHeight="false" outlineLevel="0" collapsed="false">
      <c r="A12" s="11" t="n">
        <v>43315</v>
      </c>
      <c r="B12" s="11" t="n">
        <v>43335</v>
      </c>
      <c r="C12" s="11" t="n">
        <v>43328</v>
      </c>
      <c r="D12" s="5" t="s">
        <v>77</v>
      </c>
      <c r="E12" s="5" t="s">
        <v>13</v>
      </c>
      <c r="F12" s="5" t="s">
        <v>12</v>
      </c>
      <c r="G12" s="5" t="s">
        <v>3</v>
      </c>
      <c r="H12" s="6" t="n">
        <v>130000</v>
      </c>
      <c r="J12" s="5" t="s">
        <v>16</v>
      </c>
      <c r="K12" s="6" t="n">
        <f aca="false">SUMIFS($H$5:$H$19,$E$5:$E$19,J12,$G$5:$G$19,"Corn")</f>
        <v>0</v>
      </c>
      <c r="L12" s="6" t="n">
        <f aca="false">SUMIFS($H$5:$H$19,$E$5:$E$19,J12,$G$5:$G$19,"Soybean")</f>
        <v>55000</v>
      </c>
      <c r="M12" s="6" t="n">
        <f aca="false">K12+L12</f>
        <v>55000</v>
      </c>
      <c r="N12" s="6" t="n">
        <f aca="false">COUNTIFS($E$5:$E$19,J12)</f>
        <v>1</v>
      </c>
    </row>
    <row r="13" customFormat="false" ht="15" hidden="false" customHeight="false" outlineLevel="0" collapsed="false">
      <c r="A13" s="11" t="n">
        <v>43658</v>
      </c>
      <c r="B13" s="11" t="n">
        <v>43678</v>
      </c>
      <c r="C13" s="11" t="n">
        <v>43671</v>
      </c>
      <c r="D13" s="5" t="s">
        <v>76</v>
      </c>
      <c r="E13" s="5" t="s">
        <v>14</v>
      </c>
      <c r="F13" s="5" t="s">
        <v>13</v>
      </c>
      <c r="G13" s="5" t="s">
        <v>3</v>
      </c>
      <c r="H13" s="6" t="n">
        <v>104100</v>
      </c>
      <c r="J13" s="5" t="s">
        <v>17</v>
      </c>
      <c r="K13" s="6" t="n">
        <f aca="false">SUMIFS($H$5:$H$19,$E$5:$E$19,J13,$G$5:$G$19,"Corn")</f>
        <v>105000</v>
      </c>
      <c r="L13" s="6" t="n">
        <f aca="false">SUMIFS($H$5:$H$19,$E$5:$E$19,J13,$G$5:$G$19,"Soybean")</f>
        <v>0</v>
      </c>
      <c r="M13" s="6" t="n">
        <f aca="false">K13+L13</f>
        <v>105000</v>
      </c>
      <c r="N13" s="6" t="n">
        <f aca="false">COUNTIFS($E$5:$E$19,J13)</f>
        <v>1</v>
      </c>
    </row>
    <row r="14" customFormat="false" ht="15" hidden="false" customHeight="false" outlineLevel="0" collapsed="false">
      <c r="A14" s="11" t="n">
        <v>43822</v>
      </c>
      <c r="B14" s="11" t="n">
        <v>43839</v>
      </c>
      <c r="C14" s="11" t="n">
        <v>43832</v>
      </c>
      <c r="D14" s="5" t="s">
        <v>71</v>
      </c>
      <c r="E14" s="5" t="s">
        <v>14</v>
      </c>
      <c r="F14" s="5" t="s">
        <v>14</v>
      </c>
      <c r="G14" s="5" t="s">
        <v>40</v>
      </c>
      <c r="H14" s="6" t="n">
        <v>154500</v>
      </c>
      <c r="J14" s="5" t="s">
        <v>19</v>
      </c>
      <c r="K14" s="6" t="n">
        <f aca="false">SUMIFS($H$5:$H$19,$E$5:$E$19,J14,$G$5:$G$19,"Corn")</f>
        <v>110000</v>
      </c>
      <c r="L14" s="6" t="n">
        <f aca="false">SUMIFS($H$5:$H$19,$E$5:$E$19,J14,$G$5:$G$19,"Soybean")</f>
        <v>0</v>
      </c>
      <c r="M14" s="6" t="n">
        <f aca="false">K14+L14</f>
        <v>110000</v>
      </c>
      <c r="N14" s="6" t="n">
        <f aca="false">COUNTIFS($E$5:$E$19,J14)</f>
        <v>1</v>
      </c>
    </row>
    <row r="15" customFormat="false" ht="15" hidden="false" customHeight="false" outlineLevel="0" collapsed="false">
      <c r="A15" s="11" t="n">
        <v>44215</v>
      </c>
      <c r="B15" s="11" t="n">
        <v>44231</v>
      </c>
      <c r="C15" s="11" t="n">
        <v>44224</v>
      </c>
      <c r="D15" s="5" t="s">
        <v>72</v>
      </c>
      <c r="E15" s="5" t="s">
        <v>15</v>
      </c>
      <c r="F15" s="5" t="s">
        <v>15</v>
      </c>
      <c r="G15" s="5" t="s">
        <v>3</v>
      </c>
      <c r="H15" s="6" t="n">
        <v>100000</v>
      </c>
      <c r="J15" s="8" t="s">
        <v>24</v>
      </c>
      <c r="K15" s="9" t="n">
        <f aca="false">SUM(K5:K14)</f>
        <v>1009073</v>
      </c>
      <c r="L15" s="9" t="n">
        <f aca="false">SUM(L5:L14)</f>
        <v>711500</v>
      </c>
      <c r="M15" s="9" t="n">
        <f aca="false">SUM(M5:M14)</f>
        <v>1720573</v>
      </c>
      <c r="N15" s="9" t="n">
        <f aca="false">SUM(N5:N14)</f>
        <v>15</v>
      </c>
    </row>
    <row r="16" customFormat="false" ht="15" hidden="false" customHeight="false" outlineLevel="0" collapsed="false">
      <c r="A16" s="11" t="n">
        <v>44298</v>
      </c>
      <c r="B16" s="11" t="n">
        <v>44315</v>
      </c>
      <c r="C16" s="11" t="n">
        <v>44308</v>
      </c>
      <c r="D16" s="5" t="s">
        <v>74</v>
      </c>
      <c r="E16" s="5" t="s">
        <v>15</v>
      </c>
      <c r="F16" s="5" t="s">
        <v>15</v>
      </c>
      <c r="G16" s="5" t="s">
        <v>40</v>
      </c>
      <c r="H16" s="6" t="n">
        <v>55000</v>
      </c>
    </row>
    <row r="17" customFormat="false" ht="15" hidden="false" customHeight="false" outlineLevel="0" collapsed="false">
      <c r="A17" s="11" t="n">
        <v>44298</v>
      </c>
      <c r="B17" s="11" t="n">
        <v>44315</v>
      </c>
      <c r="C17" s="11" t="n">
        <v>44308</v>
      </c>
      <c r="D17" s="5" t="s">
        <v>74</v>
      </c>
      <c r="E17" s="5" t="s">
        <v>16</v>
      </c>
      <c r="F17" s="5" t="s">
        <v>15</v>
      </c>
      <c r="G17" s="5" t="s">
        <v>40</v>
      </c>
      <c r="H17" s="6" t="n">
        <v>55000</v>
      </c>
    </row>
    <row r="18" customFormat="false" ht="15" hidden="false" customHeight="false" outlineLevel="0" collapsed="false">
      <c r="A18" s="11" t="n">
        <v>44781</v>
      </c>
      <c r="B18" s="11" t="n">
        <v>44798</v>
      </c>
      <c r="C18" s="11" t="n">
        <v>44791</v>
      </c>
      <c r="D18" s="5" t="s">
        <v>78</v>
      </c>
      <c r="E18" s="5" t="s">
        <v>17</v>
      </c>
      <c r="F18" s="5" t="s">
        <v>16</v>
      </c>
      <c r="G18" s="5" t="s">
        <v>3</v>
      </c>
      <c r="H18" s="6" t="n">
        <v>105000</v>
      </c>
      <c r="J18" s="10" t="s">
        <v>42</v>
      </c>
    </row>
    <row r="19" customFormat="false" ht="15" hidden="false" customHeight="false" outlineLevel="0" collapsed="false">
      <c r="A19" s="11" t="n">
        <v>45762</v>
      </c>
      <c r="B19" s="11" t="n">
        <v>45778</v>
      </c>
      <c r="C19" s="11" t="n">
        <v>45771</v>
      </c>
      <c r="D19" s="5" t="s">
        <v>79</v>
      </c>
      <c r="E19" s="5" t="s">
        <v>19</v>
      </c>
      <c r="F19" s="5" t="s">
        <v>19</v>
      </c>
      <c r="G19" s="5" t="s">
        <v>3</v>
      </c>
      <c r="H19" s="6" t="n">
        <v>110000</v>
      </c>
      <c r="J19" s="4" t="s">
        <v>54</v>
      </c>
      <c r="K19" s="4" t="s">
        <v>3</v>
      </c>
      <c r="L19" s="4" t="s">
        <v>40</v>
      </c>
      <c r="M19" s="4" t="s">
        <v>24</v>
      </c>
      <c r="N19" s="4" t="s">
        <v>53</v>
      </c>
    </row>
    <row r="20" customFormat="false" ht="15" hidden="false" customHeight="false" outlineLevel="0" collapsed="false">
      <c r="J20" s="5" t="s">
        <v>8</v>
      </c>
      <c r="K20" s="6" t="n">
        <f aca="false">SUMIFS($H$5:$H$19,$F$5:$F$19,J20,$G$5:$G$19,"Corn")</f>
        <v>0</v>
      </c>
      <c r="L20" s="6" t="n">
        <f aca="false">SUMIFS($H$5:$H$19,$F$5:$F$19,J20,$G$5:$G$19,"Soybean")</f>
        <v>120000</v>
      </c>
      <c r="M20" s="6" t="n">
        <f aca="false">K20+L20</f>
        <v>120000</v>
      </c>
      <c r="N20" s="6" t="n">
        <f aca="false">COUNTIFS($F$5:$F$19,J20)</f>
        <v>1</v>
      </c>
    </row>
    <row r="21" customFormat="false" ht="15" hidden="false" customHeight="false" outlineLevel="0" collapsed="false">
      <c r="J21" s="5" t="s">
        <v>10</v>
      </c>
      <c r="K21" s="6" t="n">
        <f aca="false">SUMIFS($H$5:$H$19,$F$5:$F$19,J21,$G$5:$G$19,"Corn")</f>
        <v>132000</v>
      </c>
      <c r="L21" s="6" t="n">
        <f aca="false">SUMIFS($H$5:$H$19,$F$5:$F$19,J21,$G$5:$G$19,"Soybean")</f>
        <v>217000</v>
      </c>
      <c r="M21" s="6" t="n">
        <f aca="false">K21+L21</f>
        <v>349000</v>
      </c>
      <c r="N21" s="6" t="n">
        <f aca="false">COUNTIFS($F$5:$F$19,J21)</f>
        <v>2</v>
      </c>
    </row>
    <row r="22" customFormat="false" ht="15" hidden="false" customHeight="false" outlineLevel="0" collapsed="false">
      <c r="J22" s="5" t="s">
        <v>11</v>
      </c>
      <c r="K22" s="6" t="n">
        <f aca="false">SUMIFS($H$5:$H$19,$F$5:$F$19,J22,$G$5:$G$19,"Corn")</f>
        <v>100973</v>
      </c>
      <c r="L22" s="6" t="n">
        <f aca="false">SUMIFS($H$5:$H$19,$F$5:$F$19,J22,$G$5:$G$19,"Soybean")</f>
        <v>110000</v>
      </c>
      <c r="M22" s="6" t="n">
        <f aca="false">K22+L22</f>
        <v>210973</v>
      </c>
      <c r="N22" s="6" t="n">
        <f aca="false">COUNTIFS($F$5:$F$19,J22)</f>
        <v>2</v>
      </c>
    </row>
    <row r="23" customFormat="false" ht="15" hidden="false" customHeight="false" outlineLevel="0" collapsed="false">
      <c r="J23" s="5" t="s">
        <v>12</v>
      </c>
      <c r="K23" s="6" t="n">
        <f aca="false">SUMIFS($H$5:$H$19,$F$5:$F$19,J23,$G$5:$G$19,"Corn")</f>
        <v>357000</v>
      </c>
      <c r="L23" s="6" t="n">
        <f aca="false">SUMIFS($H$5:$H$19,$F$5:$F$19,J23,$G$5:$G$19,"Soybean")</f>
        <v>0</v>
      </c>
      <c r="M23" s="6" t="n">
        <f aca="false">K23+L23</f>
        <v>357000</v>
      </c>
      <c r="N23" s="6" t="n">
        <f aca="false">COUNTIFS($F$5:$F$19,J23)</f>
        <v>3</v>
      </c>
    </row>
    <row r="24" customFormat="false" ht="15" hidden="false" customHeight="false" outlineLevel="0" collapsed="false">
      <c r="J24" s="5" t="s">
        <v>13</v>
      </c>
      <c r="K24" s="6" t="n">
        <f aca="false">SUMIFS($H$5:$H$19,$F$5:$F$19,J24,$G$5:$G$19,"Corn")</f>
        <v>104100</v>
      </c>
      <c r="L24" s="6" t="n">
        <f aca="false">SUMIFS($H$5:$H$19,$F$5:$F$19,J24,$G$5:$G$19,"Soybean")</f>
        <v>0</v>
      </c>
      <c r="M24" s="6" t="n">
        <f aca="false">K24+L24</f>
        <v>104100</v>
      </c>
      <c r="N24" s="6" t="n">
        <f aca="false">COUNTIFS($F$5:$F$19,J24)</f>
        <v>1</v>
      </c>
    </row>
    <row r="25" customFormat="false" ht="15" hidden="false" customHeight="false" outlineLevel="0" collapsed="false">
      <c r="J25" s="5" t="s">
        <v>14</v>
      </c>
      <c r="K25" s="6" t="n">
        <f aca="false">SUMIFS($H$5:$H$19,$F$5:$F$19,J25,$G$5:$G$19,"Corn")</f>
        <v>0</v>
      </c>
      <c r="L25" s="6" t="n">
        <f aca="false">SUMIFS($H$5:$H$19,$F$5:$F$19,J25,$G$5:$G$19,"Soybean")</f>
        <v>154500</v>
      </c>
      <c r="M25" s="6" t="n">
        <f aca="false">K25+L25</f>
        <v>154500</v>
      </c>
      <c r="N25" s="6" t="n">
        <f aca="false">COUNTIFS($F$5:$F$19,J25)</f>
        <v>1</v>
      </c>
    </row>
    <row r="26" customFormat="false" ht="15" hidden="false" customHeight="false" outlineLevel="0" collapsed="false">
      <c r="J26" s="5" t="s">
        <v>15</v>
      </c>
      <c r="K26" s="6" t="n">
        <f aca="false">SUMIFS($H$5:$H$19,$F$5:$F$19,J26,$G$5:$G$19,"Corn")</f>
        <v>100000</v>
      </c>
      <c r="L26" s="6" t="n">
        <f aca="false">SUMIFS($H$5:$H$19,$F$5:$F$19,J26,$G$5:$G$19,"Soybean")</f>
        <v>110000</v>
      </c>
      <c r="M26" s="6" t="n">
        <f aca="false">K26+L26</f>
        <v>210000</v>
      </c>
      <c r="N26" s="6" t="n">
        <f aca="false">COUNTIFS($F$5:$F$19,J26)</f>
        <v>3</v>
      </c>
    </row>
    <row r="27" customFormat="false" ht="15" hidden="false" customHeight="false" outlineLevel="0" collapsed="false">
      <c r="J27" s="5" t="s">
        <v>16</v>
      </c>
      <c r="K27" s="6" t="n">
        <f aca="false">SUMIFS($H$5:$H$19,$F$5:$F$19,J27,$G$5:$G$19,"Corn")</f>
        <v>105000</v>
      </c>
      <c r="L27" s="6" t="n">
        <f aca="false">SUMIFS($H$5:$H$19,$F$5:$F$19,J27,$G$5:$G$19,"Soybean")</f>
        <v>0</v>
      </c>
      <c r="M27" s="6" t="n">
        <f aca="false">K27+L27</f>
        <v>105000</v>
      </c>
      <c r="N27" s="6" t="n">
        <f aca="false">COUNTIFS($F$5:$F$19,J27)</f>
        <v>1</v>
      </c>
    </row>
    <row r="28" customFormat="false" ht="15" hidden="false" customHeight="false" outlineLevel="0" collapsed="false">
      <c r="J28" s="5" t="s">
        <v>19</v>
      </c>
      <c r="K28" s="6" t="n">
        <f aca="false">SUMIFS($H$5:$H$19,$F$5:$F$19,J28,$G$5:$G$19,"Corn")</f>
        <v>110000</v>
      </c>
      <c r="L28" s="6" t="n">
        <f aca="false">SUMIFS($H$5:$H$19,$F$5:$F$19,J28,$G$5:$G$19,"Soybean")</f>
        <v>0</v>
      </c>
      <c r="M28" s="6" t="n">
        <f aca="false">K28+L28</f>
        <v>110000</v>
      </c>
      <c r="N28" s="6" t="n">
        <f aca="false">COUNTIFS($F$5:$F$19,J28)</f>
        <v>1</v>
      </c>
    </row>
    <row r="29" customFormat="false" ht="15" hidden="false" customHeight="false" outlineLevel="0" collapsed="false">
      <c r="J29" s="8" t="s">
        <v>24</v>
      </c>
      <c r="K29" s="9" t="n">
        <f aca="false">SUM(K20:K28)</f>
        <v>1009073</v>
      </c>
      <c r="L29" s="9" t="n">
        <f aca="false">SUM(L20:L28)</f>
        <v>711500</v>
      </c>
      <c r="M29" s="9" t="n">
        <f aca="false">SUM(M20:M28)</f>
        <v>1720573</v>
      </c>
      <c r="N29" s="9" t="n">
        <f aca="false">SUM(N20:N28)</f>
        <v>15</v>
      </c>
    </row>
  </sheetData>
  <autoFilter ref="A4:H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2026-10-26T11:22:01Z</dcterms:created>
  <dc:creator>openpyxl</dc:creator>
  <dc:description/>
  <dc:language>en-US</dc:language>
  <cp:lastModifiedBy/>
  <dcterms:modified xsi:type="dcterms:W3CDTF">2026-10-26T11:22:01Z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