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China vs RoW" sheetId="1" state="visible" r:id="rId3"/>
    <sheet name="September" sheetId="2" state="visible" r:id="rId4"/>
    <sheet name="Week 1 October" sheetId="3" state="visible" r:id="rId5"/>
    <sheet name="Week 2 October" sheetId="4" state="visible" r:id="rId6"/>
    <sheet name="Week 3 October" sheetId="5" state="visible" r:id="rId7"/>
    <sheet name="Week 4 Octob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<sst xmlns="http://schemas.openxmlformats.org/spreadsheetml/2006/main" count="245" uniqueCount="77">
  <si>
    <t xml:space="preserve">US Soybean Export Inspections — China vs Rest of World (weekly-report basis)</t>
  </si>
  <si>
    <t xml:space="preserve">All figures link to the period tabs. Soybean meal is not covered: FGIS inspection data include grains/oilseeds only.</t>
  </si>
  <si>
    <t xml:space="preserve">Period</t>
  </si>
  <si>
    <t xml:space="preserve">Group</t>
  </si>
  <si>
    <t xml:space="preserve">MT 2025</t>
  </si>
  <si>
    <t xml:space="preserve">MT 2026</t>
  </si>
  <si>
    <t xml:space="preserve">Δ MT</t>
  </si>
  <si>
    <t xml:space="preserve">Δ %</t>
  </si>
  <si>
    <t xml:space="preserve"># Insp 2025</t>
  </si>
  <si>
    <t xml:space="preserve"># Insp 2026</t>
  </si>
  <si>
    <t xml:space="preserve">Δ Insp</t>
  </si>
  <si>
    <t xml:space="preserve">Share of MT 2025</t>
  </si>
  <si>
    <t xml:space="preserve">Share of MT 2026</t>
  </si>
  <si>
    <t xml:space="preserve">September</t>
  </si>
  <si>
    <t xml:space="preserve">China</t>
  </si>
  <si>
    <t xml:space="preserve">Rest of World excl. China</t>
  </si>
  <si>
    <t xml:space="preserve">Total</t>
  </si>
  <si>
    <t xml:space="preserve">Week 1 October</t>
  </si>
  <si>
    <t xml:space="preserve">Week 2 October</t>
  </si>
  <si>
    <t xml:space="preserve">Week 3 October</t>
  </si>
  <si>
    <t xml:space="preserve">Week 4 October</t>
  </si>
  <si>
    <t xml:space="preserve">Sept + Oct (Wk 1–4)</t>
  </si>
  <si>
    <t xml:space="preserve">Revision note (CY2026 file, wk ending 22 Oct 2026 vs previous version of this workbook):</t>
  </si>
  <si>
    <t xml:space="preserve">Week 2 Oct 2026: 1,109,385 MT / 226 insp. previously → now 1,112,594 MT / 233 insp. (+3,209 MT, all RoW). Week 3 Oct 2026: 2,001,750 MT / 364 insp. previously → now 2,068,086 MT / 411 insp. (+66,336 MT: China +52,036 / 1 cargo, RoW +14,300). Sep and Week 1 Oct unchanged; 2025 unchanged.</t>
  </si>
  <si>
    <t xml:space="preserve">Earlier revisions: 19 Oct update Week 2 Oct +12,830 MT; 13 Oct update Sep +759 MT, Week 1 Oct +61,014 MT.</t>
  </si>
  <si>
    <t xml:space="preserve">US Soybean Export Inspections — weeks ending Thu 4/11/18/25 Sep 2025 vs Thu 3/10/17/24 Sep 2026 (weekly-report basis)</t>
  </si>
  <si>
    <t xml:space="preserve">Source: USDA AMS/FGIS export grain inspections, CY2025 and CY2026 files (Grain = SOYBEANS, grouped by "Thursday" week-ending date). CY2026 data as of file dated wk ending 22 Oct 2026, incl. revisions.</t>
  </si>
  <si>
    <t xml:space="preserve">Destination</t>
  </si>
  <si>
    <t xml:space="preserve">Metric tons</t>
  </si>
  <si>
    <t xml:space="preserve">Number of inspections</t>
  </si>
  <si>
    <t xml:space="preserve">2025</t>
  </si>
  <si>
    <t xml:space="preserve">2026</t>
  </si>
  <si>
    <t xml:space="preserve">Δ</t>
  </si>
  <si>
    <t xml:space="preserve">CHINA</t>
  </si>
  <si>
    <t xml:space="preserve">EGYPT</t>
  </si>
  <si>
    <t xml:space="preserve">MEXICO</t>
  </si>
  <si>
    <t xml:space="preserve">JAPAN</t>
  </si>
  <si>
    <t xml:space="preserve">ITALY</t>
  </si>
  <si>
    <t xml:space="preserve">INDONESIA</t>
  </si>
  <si>
    <t xml:space="preserve">ALGERIA</t>
  </si>
  <si>
    <t xml:space="preserve">BANGLADESH</t>
  </si>
  <si>
    <t xml:space="preserve">NETHERLANDS</t>
  </si>
  <si>
    <t xml:space="preserve">GERMANY</t>
  </si>
  <si>
    <t xml:space="preserve">VIETNAM</t>
  </si>
  <si>
    <t xml:space="preserve">COLOMBIA</t>
  </si>
  <si>
    <t xml:space="preserve">TAIWAN</t>
  </si>
  <si>
    <t xml:space="preserve">MALAYSIA</t>
  </si>
  <si>
    <t xml:space="preserve">COSTA RICA</t>
  </si>
  <si>
    <t xml:space="preserve">SAUDI ARABIA</t>
  </si>
  <si>
    <t xml:space="preserve">CANADA</t>
  </si>
  <si>
    <t xml:space="preserve">PHILIPPINES</t>
  </si>
  <si>
    <t xml:space="preserve">PANAMA</t>
  </si>
  <si>
    <t xml:space="preserve">THAILAND</t>
  </si>
  <si>
    <t xml:space="preserve">KOREA REP</t>
  </si>
  <si>
    <t xml:space="preserve">CAMBODIA</t>
  </si>
  <si>
    <t xml:space="preserve">SINGAPORE</t>
  </si>
  <si>
    <t xml:space="preserve">TURKEY</t>
  </si>
  <si>
    <t xml:space="preserve">UN KINGDOM</t>
  </si>
  <si>
    <t xml:space="preserve">PAKISTAN</t>
  </si>
  <si>
    <t xml:space="preserve">IRAQ</t>
  </si>
  <si>
    <t xml:space="preserve">SPAIN</t>
  </si>
  <si>
    <t xml:space="preserve">TUNISIA</t>
  </si>
  <si>
    <t xml:space="preserve">VENEZUELA</t>
  </si>
  <si>
    <t xml:space="preserve">NEPAL</t>
  </si>
  <si>
    <t xml:space="preserve">GRENADA</t>
  </si>
  <si>
    <t xml:space="preserve">TOTAL</t>
  </si>
  <si>
    <t xml:space="preserve">US Soybean Export Inspections — week ending Thu 2 Oct 2025 (26 Sep–2 Oct) vs week ending Thu 1 Oct 2026 (25 Sep–1 Oct) (weekly-report basis)</t>
  </si>
  <si>
    <t xml:space="preserve">PORTUGAL</t>
  </si>
  <si>
    <t xml:space="preserve">DOMINICN REP</t>
  </si>
  <si>
    <t xml:space="preserve">SRI LANKA</t>
  </si>
  <si>
    <t xml:space="preserve">US Soybean Export Inspections — week ending Thu 9 Oct 2025 (3–9 Oct) vs week ending Thu 8 Oct 2026 (2–8 Oct) (weekly-report basis)</t>
  </si>
  <si>
    <t xml:space="preserve">SENEGAL</t>
  </si>
  <si>
    <t xml:space="preserve">US Soybean Export Inspections — week ending Thu 16 Oct 2025 (10–16 Oct) vs week ending Thu 15 Oct 2026 (9–15 Oct) (weekly-report basis)</t>
  </si>
  <si>
    <t xml:space="preserve">PERU</t>
  </si>
  <si>
    <t xml:space="preserve">GREECE</t>
  </si>
  <si>
    <t xml:space="preserve">US Soybean Export Inspections — week ending Thu 23 Oct 2025 (17–23 Oct) vs week ending Thu 22 Oct 2026 (16–22 Oct) (weekly-report basis)</t>
  </si>
  <si>
    <t xml:space="preserve">ISRAEL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</si>
</sst>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\+0.0%;\-0.0%;0.0%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7A33"/>
      </font>
    </dxf>
    <dxf>
      <font>
        <name val="Calibri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11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n">
        <f aca="false">September!B39</f>
        <v>0</v>
      </c>
      <c r="D5" s="6" t="n">
        <f aca="false">September!C39</f>
        <v>1581810</v>
      </c>
      <c r="E5" s="6" t="n">
        <f aca="false">D5-C5</f>
        <v>1581810</v>
      </c>
      <c r="F5" s="7" t="str">
        <f aca="false">IF(C5=0,IF(D5=0,0,"new"),D5/C5-1)</f>
        <v>new</v>
      </c>
      <c r="G5" s="6" t="n">
        <f aca="false">September!F39</f>
        <v>0</v>
      </c>
      <c r="H5" s="6" t="n">
        <f aca="false">September!G39</f>
        <v>24</v>
      </c>
      <c r="I5" s="6" t="n">
        <f aca="false">H5-G5</f>
        <v>24</v>
      </c>
      <c r="J5" s="8" t="n">
        <f aca="false">IF(C$7=0,0,C5/C$7)</f>
        <v>0</v>
      </c>
      <c r="K5" s="8" t="n">
        <f aca="false">IF(D$7=0,0,D5/D$7)</f>
        <v>0.514993582969181</v>
      </c>
    </row>
    <row r="6" customFormat="false" ht="15" hidden="false" customHeight="false" outlineLevel="0" collapsed="false">
      <c r="A6" s="4"/>
      <c r="B6" s="5" t="s">
        <v>15</v>
      </c>
      <c r="C6" s="6" t="n">
        <f aca="false">September!B40</f>
        <v>2466553</v>
      </c>
      <c r="D6" s="6" t="n">
        <f aca="false">September!C40</f>
        <v>1489704</v>
      </c>
      <c r="E6" s="6" t="n">
        <f aca="false">D6-C6</f>
        <v>-976849</v>
      </c>
      <c r="F6" s="7" t="n">
        <f aca="false">IF(C6=0,IF(D6=0,0,"new"),D6/C6-1)</f>
        <v>-0.396038114729341</v>
      </c>
      <c r="G6" s="6" t="n">
        <f aca="false">September!F40</f>
        <v>892</v>
      </c>
      <c r="H6" s="6" t="n">
        <f aca="false">September!G40</f>
        <v>697</v>
      </c>
      <c r="I6" s="6" t="n">
        <f aca="false">H6-G6</f>
        <v>-195</v>
      </c>
      <c r="J6" s="8" t="n">
        <f aca="false">IF(C$7=0,0,C6/C$7)</f>
        <v>1</v>
      </c>
      <c r="K6" s="8" t="n">
        <f aca="false">IF(D$7=0,0,D6/D$7)</f>
        <v>0.485006417030819</v>
      </c>
    </row>
    <row r="7" customFormat="false" ht="15" hidden="false" customHeight="false" outlineLevel="0" collapsed="false">
      <c r="A7" s="4"/>
      <c r="B7" s="9" t="s">
        <v>16</v>
      </c>
      <c r="C7" s="10" t="n">
        <f aca="false">September!B38</f>
        <v>2466553</v>
      </c>
      <c r="D7" s="10" t="n">
        <f aca="false">September!C38</f>
        <v>3071514</v>
      </c>
      <c r="E7" s="10" t="n">
        <f aca="false">D7-C7</f>
        <v>604961</v>
      </c>
      <c r="F7" s="11" t="n">
        <f aca="false">IF(C7=0,IF(D7=0,0,"new"),D7/C7-1)</f>
        <v>0.245265761570905</v>
      </c>
      <c r="G7" s="10" t="n">
        <f aca="false">September!F38</f>
        <v>892</v>
      </c>
      <c r="H7" s="10" t="n">
        <f aca="false">September!G38</f>
        <v>721</v>
      </c>
      <c r="I7" s="10" t="n">
        <f aca="false">H7-G7</f>
        <v>-171</v>
      </c>
      <c r="J7" s="12" t="n">
        <f aca="false">IF(C$7=0,0,C7/C$7)</f>
        <v>1</v>
      </c>
      <c r="K7" s="12" t="n">
        <f aca="false">IF(D$7=0,0,D7/D$7)</f>
        <v>1</v>
      </c>
    </row>
    <row r="8" customFormat="false" ht="15" hidden="false" customHeight="false" outlineLevel="0" collapsed="false">
      <c r="A8" s="4" t="s">
        <v>17</v>
      </c>
      <c r="B8" s="5" t="s">
        <v>14</v>
      </c>
      <c r="C8" s="6" t="n">
        <f aca="false">'Week 1 October'!B31</f>
        <v>0</v>
      </c>
      <c r="D8" s="6" t="n">
        <f aca="false">'Week 1 October'!C31</f>
        <v>756492</v>
      </c>
      <c r="E8" s="6" t="n">
        <f aca="false">D8-C8</f>
        <v>756492</v>
      </c>
      <c r="F8" s="7" t="str">
        <f aca="false">IF(C8=0,IF(D8=0,0,"new"),D8/C8-1)</f>
        <v>new</v>
      </c>
      <c r="G8" s="6" t="n">
        <f aca="false">'Week 1 October'!F31</f>
        <v>0</v>
      </c>
      <c r="H8" s="6" t="n">
        <f aca="false">'Week 1 October'!G31</f>
        <v>12</v>
      </c>
      <c r="I8" s="6" t="n">
        <f aca="false">H8-G8</f>
        <v>12</v>
      </c>
      <c r="J8" s="8" t="n">
        <f aca="false">IF(C$10=0,0,C8/C$10)</f>
        <v>0</v>
      </c>
      <c r="K8" s="8" t="n">
        <f aca="false">IF(D$10=0,0,D8/D$10)</f>
        <v>0.630709587053851</v>
      </c>
    </row>
    <row r="9" customFormat="false" ht="15" hidden="false" customHeight="false" outlineLevel="0" collapsed="false">
      <c r="A9" s="4"/>
      <c r="B9" s="5" t="s">
        <v>15</v>
      </c>
      <c r="C9" s="6" t="n">
        <f aca="false">'Week 1 October'!B32</f>
        <v>783495</v>
      </c>
      <c r="D9" s="6" t="n">
        <f aca="false">'Week 1 October'!C32</f>
        <v>442938</v>
      </c>
      <c r="E9" s="6" t="n">
        <f aca="false">D9-C9</f>
        <v>-340557</v>
      </c>
      <c r="F9" s="7" t="n">
        <f aca="false">IF(C9=0,IF(D9=0,0,"new"),D9/C9-1)</f>
        <v>-0.434663909788831</v>
      </c>
      <c r="G9" s="6" t="n">
        <f aca="false">'Week 1 October'!F32</f>
        <v>313</v>
      </c>
      <c r="H9" s="6" t="n">
        <f aca="false">'Week 1 October'!G32</f>
        <v>130</v>
      </c>
      <c r="I9" s="6" t="n">
        <f aca="false">H9-G9</f>
        <v>-183</v>
      </c>
      <c r="J9" s="8" t="n">
        <f aca="false">IF(C$10=0,0,C9/C$10)</f>
        <v>1</v>
      </c>
      <c r="K9" s="8" t="n">
        <f aca="false">IF(D$10=0,0,D9/D$10)</f>
        <v>0.369290412946149</v>
      </c>
    </row>
    <row r="10" customFormat="false" ht="15" hidden="false" customHeight="false" outlineLevel="0" collapsed="false">
      <c r="A10" s="4"/>
      <c r="B10" s="9" t="s">
        <v>16</v>
      </c>
      <c r="C10" s="10" t="n">
        <f aca="false">'Week 1 October'!B30</f>
        <v>783495</v>
      </c>
      <c r="D10" s="10" t="n">
        <f aca="false">'Week 1 October'!C30</f>
        <v>1199430</v>
      </c>
      <c r="E10" s="10" t="n">
        <f aca="false">D10-C10</f>
        <v>415935</v>
      </c>
      <c r="F10" s="11" t="n">
        <f aca="false">IF(C10=0,IF(D10=0,0,"new"),D10/C10-1)</f>
        <v>0.530871288266039</v>
      </c>
      <c r="G10" s="10" t="n">
        <f aca="false">'Week 1 October'!F30</f>
        <v>313</v>
      </c>
      <c r="H10" s="10" t="n">
        <f aca="false">'Week 1 October'!G30</f>
        <v>142</v>
      </c>
      <c r="I10" s="10" t="n">
        <f aca="false">H10-G10</f>
        <v>-171</v>
      </c>
      <c r="J10" s="12" t="n">
        <f aca="false">IF(C$10=0,0,C10/C$10)</f>
        <v>1</v>
      </c>
      <c r="K10" s="12" t="n">
        <f aca="false">IF(D$10=0,0,D10/D$10)</f>
        <v>1</v>
      </c>
    </row>
    <row r="11" customFormat="false" ht="15" hidden="false" customHeight="false" outlineLevel="0" collapsed="false">
      <c r="A11" s="4" t="s">
        <v>18</v>
      </c>
      <c r="B11" s="5" t="s">
        <v>14</v>
      </c>
      <c r="C11" s="6" t="n">
        <f aca="false">'Week 2 October'!B32</f>
        <v>0</v>
      </c>
      <c r="D11" s="6" t="n">
        <f aca="false">'Week 2 October'!C32</f>
        <v>649252</v>
      </c>
      <c r="E11" s="6" t="n">
        <f aca="false">D11-C11</f>
        <v>649252</v>
      </c>
      <c r="F11" s="7" t="str">
        <f aca="false">IF(C11=0,IF(D11=0,0,"new"),D11/C11-1)</f>
        <v>new</v>
      </c>
      <c r="G11" s="6" t="n">
        <f aca="false">'Week 2 October'!F32</f>
        <v>0</v>
      </c>
      <c r="H11" s="6" t="n">
        <f aca="false">'Week 2 October'!G32</f>
        <v>10</v>
      </c>
      <c r="I11" s="6" t="n">
        <f aca="false">H11-G11</f>
        <v>10</v>
      </c>
      <c r="J11" s="8" t="n">
        <f aca="false">IF(C$13=0,0,C11/C$13)</f>
        <v>0</v>
      </c>
      <c r="K11" s="8" t="n">
        <f aca="false">IF(D$13=0,0,D11/D$13)</f>
        <v>0.583547996843413</v>
      </c>
    </row>
    <row r="12" customFormat="false" ht="15" hidden="false" customHeight="false" outlineLevel="0" collapsed="false">
      <c r="A12" s="4"/>
      <c r="B12" s="5" t="s">
        <v>15</v>
      </c>
      <c r="C12" s="6" t="n">
        <f aca="false">'Week 2 October'!B33</f>
        <v>1017196</v>
      </c>
      <c r="D12" s="6" t="n">
        <f aca="false">'Week 2 October'!C33</f>
        <v>463342</v>
      </c>
      <c r="E12" s="6" t="n">
        <f aca="false">D12-C12</f>
        <v>-553854</v>
      </c>
      <c r="F12" s="7" t="n">
        <f aca="false">IF(C12=0,IF(D12=0,0,"new"),D12/C12-1)</f>
        <v>-0.544490933900645</v>
      </c>
      <c r="G12" s="6" t="n">
        <f aca="false">'Week 2 October'!F33</f>
        <v>411</v>
      </c>
      <c r="H12" s="6" t="n">
        <f aca="false">'Week 2 October'!G33</f>
        <v>223</v>
      </c>
      <c r="I12" s="6" t="n">
        <f aca="false">H12-G12</f>
        <v>-188</v>
      </c>
      <c r="J12" s="8" t="n">
        <f aca="false">IF(C$13=0,0,C12/C$13)</f>
        <v>1</v>
      </c>
      <c r="K12" s="8" t="n">
        <f aca="false">IF(D$13=0,0,D12/D$13)</f>
        <v>0.416452003156587</v>
      </c>
    </row>
    <row r="13" customFormat="false" ht="15" hidden="false" customHeight="false" outlineLevel="0" collapsed="false">
      <c r="A13" s="4"/>
      <c r="B13" s="9" t="s">
        <v>16</v>
      </c>
      <c r="C13" s="10" t="n">
        <f aca="false">'Week 2 October'!B31</f>
        <v>1017196</v>
      </c>
      <c r="D13" s="10" t="n">
        <f aca="false">'Week 2 October'!C31</f>
        <v>1112594</v>
      </c>
      <c r="E13" s="10" t="n">
        <f aca="false">D13-C13</f>
        <v>95398</v>
      </c>
      <c r="F13" s="11" t="n">
        <f aca="false">IF(C13=0,IF(D13=0,0,"new"),D13/C13-1)</f>
        <v>0.0937852685224874</v>
      </c>
      <c r="G13" s="10" t="n">
        <f aca="false">'Week 2 October'!F31</f>
        <v>411</v>
      </c>
      <c r="H13" s="10" t="n">
        <f aca="false">'Week 2 October'!G31</f>
        <v>233</v>
      </c>
      <c r="I13" s="10" t="n">
        <f aca="false">H13-G13</f>
        <v>-178</v>
      </c>
      <c r="J13" s="12" t="n">
        <f aca="false">IF(C$13=0,0,C13/C$13)</f>
        <v>1</v>
      </c>
      <c r="K13" s="12" t="n">
        <f aca="false">IF(D$13=0,0,D13/D$13)</f>
        <v>1</v>
      </c>
    </row>
    <row r="14" customFormat="false" ht="15" hidden="false" customHeight="false" outlineLevel="0" collapsed="false">
      <c r="A14" s="4" t="s">
        <v>19</v>
      </c>
      <c r="B14" s="5" t="s">
        <v>14</v>
      </c>
      <c r="C14" s="6" t="n">
        <f aca="false">'Week 3 October'!B31</f>
        <v>0</v>
      </c>
      <c r="D14" s="6" t="n">
        <f aca="false">'Week 3 October'!C31</f>
        <v>1333625</v>
      </c>
      <c r="E14" s="6" t="n">
        <f aca="false">D14-C14</f>
        <v>1333625</v>
      </c>
      <c r="F14" s="7" t="str">
        <f aca="false">IF(C14=0,IF(D14=0,0,"new"),D14/C14-1)</f>
        <v>new</v>
      </c>
      <c r="G14" s="6" t="n">
        <f aca="false">'Week 3 October'!F31</f>
        <v>0</v>
      </c>
      <c r="H14" s="6" t="n">
        <f aca="false">'Week 3 October'!G31</f>
        <v>20</v>
      </c>
      <c r="I14" s="6" t="n">
        <f aca="false">H14-G14</f>
        <v>20</v>
      </c>
      <c r="J14" s="8" t="n">
        <f aca="false">IF(C$16=0,0,C14/C$16)</f>
        <v>0</v>
      </c>
      <c r="K14" s="8" t="n">
        <f aca="false">IF(D$16=0,0,D14/D$16)</f>
        <v>0.644859546459867</v>
      </c>
    </row>
    <row r="15" customFormat="false" ht="15" hidden="false" customHeight="false" outlineLevel="0" collapsed="false">
      <c r="A15" s="4"/>
      <c r="B15" s="5" t="s">
        <v>15</v>
      </c>
      <c r="C15" s="6" t="n">
        <f aca="false">'Week 3 October'!B32</f>
        <v>1591342</v>
      </c>
      <c r="D15" s="6" t="n">
        <f aca="false">'Week 3 October'!C32</f>
        <v>734461</v>
      </c>
      <c r="E15" s="6" t="n">
        <f aca="false">D15-C15</f>
        <v>-856881</v>
      </c>
      <c r="F15" s="7" t="n">
        <f aca="false">IF(C15=0,IF(D15=0,0,"new"),D15/C15-1)</f>
        <v>-0.538464390432729</v>
      </c>
      <c r="G15" s="6" t="n">
        <f aca="false">'Week 3 October'!F32</f>
        <v>503</v>
      </c>
      <c r="H15" s="6" t="n">
        <f aca="false">'Week 3 October'!G32</f>
        <v>391</v>
      </c>
      <c r="I15" s="6" t="n">
        <f aca="false">H15-G15</f>
        <v>-112</v>
      </c>
      <c r="J15" s="8" t="n">
        <f aca="false">IF(C$16=0,0,C15/C$16)</f>
        <v>1</v>
      </c>
      <c r="K15" s="8" t="n">
        <f aca="false">IF(D$16=0,0,D15/D$16)</f>
        <v>0.355140453540133</v>
      </c>
    </row>
    <row r="16" customFormat="false" ht="15" hidden="false" customHeight="false" outlineLevel="0" collapsed="false">
      <c r="A16" s="4"/>
      <c r="B16" s="9" t="s">
        <v>16</v>
      </c>
      <c r="C16" s="10" t="n">
        <f aca="false">'Week 3 October'!B30</f>
        <v>1591342</v>
      </c>
      <c r="D16" s="10" t="n">
        <f aca="false">'Week 3 October'!C30</f>
        <v>2068086</v>
      </c>
      <c r="E16" s="10" t="n">
        <f aca="false">D16-C16</f>
        <v>476744</v>
      </c>
      <c r="F16" s="11" t="n">
        <f aca="false">IF(C16=0,IF(D16=0,0,"new"),D16/C16-1)</f>
        <v>0.299586135475592</v>
      </c>
      <c r="G16" s="10" t="n">
        <f aca="false">'Week 3 October'!F30</f>
        <v>503</v>
      </c>
      <c r="H16" s="10" t="n">
        <f aca="false">'Week 3 October'!G30</f>
        <v>411</v>
      </c>
      <c r="I16" s="10" t="n">
        <f aca="false">H16-G16</f>
        <v>-92</v>
      </c>
      <c r="J16" s="12" t="n">
        <f aca="false">IF(C$16=0,0,C16/C$16)</f>
        <v>1</v>
      </c>
      <c r="K16" s="12" t="n">
        <f aca="false">IF(D$16=0,0,D16/D$16)</f>
        <v>1</v>
      </c>
    </row>
    <row r="17" customFormat="false" ht="15" hidden="false" customHeight="false" outlineLevel="0" collapsed="false">
      <c r="A17" s="4" t="s">
        <v>20</v>
      </c>
      <c r="B17" s="5" t="s">
        <v>14</v>
      </c>
      <c r="C17" s="6" t="n">
        <f aca="false">'Week 4 October'!B32</f>
        <v>0</v>
      </c>
      <c r="D17" s="6" t="n">
        <f aca="false">'Week 4 October'!C32</f>
        <v>1651940</v>
      </c>
      <c r="E17" s="6" t="n">
        <f aca="false">D17-C17</f>
        <v>1651940</v>
      </c>
      <c r="F17" s="7" t="str">
        <f aca="false">IF(C17=0,IF(D17=0,0,"new"),D17/C17-1)</f>
        <v>new</v>
      </c>
      <c r="G17" s="6" t="n">
        <f aca="false">'Week 4 October'!F32</f>
        <v>0</v>
      </c>
      <c r="H17" s="6" t="n">
        <f aca="false">'Week 4 October'!G32</f>
        <v>25</v>
      </c>
      <c r="I17" s="6" t="n">
        <f aca="false">H17-G17</f>
        <v>25</v>
      </c>
      <c r="J17" s="8" t="n">
        <f aca="false">IF(C$19=0,0,C17/C$19)</f>
        <v>0</v>
      </c>
      <c r="K17" s="8" t="n">
        <f aca="false">IF(D$19=0,0,D17/D$19)</f>
        <v>0.667058894313762</v>
      </c>
    </row>
    <row r="18" customFormat="false" ht="15" hidden="false" customHeight="false" outlineLevel="0" collapsed="false">
      <c r="A18" s="4"/>
      <c r="B18" s="5" t="s">
        <v>15</v>
      </c>
      <c r="C18" s="6" t="n">
        <f aca="false">'Week 4 October'!B33</f>
        <v>1161105</v>
      </c>
      <c r="D18" s="6" t="n">
        <f aca="false">'Week 4 October'!C33</f>
        <v>824513</v>
      </c>
      <c r="E18" s="6" t="n">
        <f aca="false">D18-C18</f>
        <v>-336592</v>
      </c>
      <c r="F18" s="7" t="n">
        <f aca="false">IF(C18=0,IF(D18=0,0,"new"),D18/C18-1)</f>
        <v>-0.289889372623492</v>
      </c>
      <c r="G18" s="6" t="n">
        <f aca="false">'Week 4 October'!F33</f>
        <v>454</v>
      </c>
      <c r="H18" s="6" t="n">
        <f aca="false">'Week 4 October'!G33</f>
        <v>318</v>
      </c>
      <c r="I18" s="6" t="n">
        <f aca="false">H18-G18</f>
        <v>-136</v>
      </c>
      <c r="J18" s="8" t="n">
        <f aca="false">IF(C$19=0,0,C18/C$19)</f>
        <v>1</v>
      </c>
      <c r="K18" s="8" t="n">
        <f aca="false">IF(D$19=0,0,D18/D$19)</f>
        <v>0.332941105686238</v>
      </c>
    </row>
    <row r="19" customFormat="false" ht="15" hidden="false" customHeight="false" outlineLevel="0" collapsed="false">
      <c r="A19" s="4"/>
      <c r="B19" s="9" t="s">
        <v>16</v>
      </c>
      <c r="C19" s="10" t="n">
        <f aca="false">'Week 4 October'!B31</f>
        <v>1161105</v>
      </c>
      <c r="D19" s="10" t="n">
        <f aca="false">'Week 4 October'!C31</f>
        <v>2476453</v>
      </c>
      <c r="E19" s="10" t="n">
        <f aca="false">D19-C19</f>
        <v>1315348</v>
      </c>
      <c r="F19" s="11" t="n">
        <f aca="false">IF(C19=0,IF(D19=0,0,"new"),D19/C19-1)</f>
        <v>1.13284156041013</v>
      </c>
      <c r="G19" s="10" t="n">
        <f aca="false">'Week 4 October'!F31</f>
        <v>454</v>
      </c>
      <c r="H19" s="10" t="n">
        <f aca="false">'Week 4 October'!G31</f>
        <v>343</v>
      </c>
      <c r="I19" s="10" t="n">
        <f aca="false">H19-G19</f>
        <v>-111</v>
      </c>
      <c r="J19" s="12" t="n">
        <f aca="false">IF(C$19=0,0,C19/C$19)</f>
        <v>1</v>
      </c>
      <c r="K19" s="12" t="n">
        <f aca="false">IF(D$19=0,0,D19/D$19)</f>
        <v>1</v>
      </c>
    </row>
    <row r="20" customFormat="false" ht="15" hidden="false" customHeight="false" outlineLevel="0" collapsed="false">
      <c r="A20" s="4" t="s">
        <v>21</v>
      </c>
      <c r="B20" s="5" t="s">
        <v>14</v>
      </c>
      <c r="C20" s="6" t="n">
        <f aca="false">C5+C8+C11+C14+C17</f>
        <v>0</v>
      </c>
      <c r="D20" s="6" t="n">
        <f aca="false">D5+D8+D11+D14+D17</f>
        <v>5973119</v>
      </c>
      <c r="E20" s="6" t="n">
        <f aca="false">D20-C20</f>
        <v>5973119</v>
      </c>
      <c r="F20" s="7" t="str">
        <f aca="false">IF(C20=0,IF(D20=0,0,"new"),D20/C20-1)</f>
        <v>new</v>
      </c>
      <c r="G20" s="6" t="n">
        <f aca="false">G5+G8+G11+G14+G17</f>
        <v>0</v>
      </c>
      <c r="H20" s="6" t="n">
        <f aca="false">H5+H8+H11+H14+H17</f>
        <v>91</v>
      </c>
      <c r="I20" s="6" t="n">
        <f aca="false">H20-G20</f>
        <v>91</v>
      </c>
      <c r="J20" s="8" t="n">
        <f aca="false">IF(C$22=0,0,C20/C$22)</f>
        <v>0</v>
      </c>
      <c r="K20" s="8" t="n">
        <f aca="false">IF(D$22=0,0,D20/D$22)</f>
        <v>0.601639068673621</v>
      </c>
    </row>
    <row r="21" customFormat="false" ht="15" hidden="false" customHeight="false" outlineLevel="0" collapsed="false">
      <c r="A21" s="4"/>
      <c r="B21" s="5" t="s">
        <v>15</v>
      </c>
      <c r="C21" s="6" t="n">
        <f aca="false">C6+C9+C12+C15+C18</f>
        <v>7019691</v>
      </c>
      <c r="D21" s="6" t="n">
        <f aca="false">D6+D9+D12+D15+D18</f>
        <v>3954958</v>
      </c>
      <c r="E21" s="6" t="n">
        <f aca="false">D21-C21</f>
        <v>-3064733</v>
      </c>
      <c r="F21" s="7" t="n">
        <f aca="false">IF(C21=0,IF(D21=0,0,"new"),D21/C21-1)</f>
        <v>-0.436590869883019</v>
      </c>
      <c r="G21" s="6" t="n">
        <f aca="false">G6+G9+G12+G15+G18</f>
        <v>2573</v>
      </c>
      <c r="H21" s="6" t="n">
        <f aca="false">H6+H9+H12+H15+H18</f>
        <v>1759</v>
      </c>
      <c r="I21" s="6" t="n">
        <f aca="false">H21-G21</f>
        <v>-814</v>
      </c>
      <c r="J21" s="8" t="n">
        <f aca="false">IF(C$22=0,0,C21/C$22)</f>
        <v>1</v>
      </c>
      <c r="K21" s="8" t="n">
        <f aca="false">IF(D$22=0,0,D21/D$22)</f>
        <v>0.398360931326379</v>
      </c>
    </row>
    <row r="22" customFormat="false" ht="15" hidden="false" customHeight="false" outlineLevel="0" collapsed="false">
      <c r="A22" s="4"/>
      <c r="B22" s="9" t="s">
        <v>16</v>
      </c>
      <c r="C22" s="10" t="n">
        <f aca="false">C7+C10+C13+C16+C19</f>
        <v>7019691</v>
      </c>
      <c r="D22" s="10" t="n">
        <f aca="false">D7+D10+D13+D16+D19</f>
        <v>9928077</v>
      </c>
      <c r="E22" s="10" t="n">
        <f aca="false">D22-C22</f>
        <v>2908386</v>
      </c>
      <c r="F22" s="11" t="n">
        <f aca="false">IF(C22=0,IF(D22=0,0,"new"),D22/C22-1)</f>
        <v>0.414318237084795</v>
      </c>
      <c r="G22" s="10" t="n">
        <f aca="false">G7+G10+G13+G16+G19</f>
        <v>2573</v>
      </c>
      <c r="H22" s="10" t="n">
        <f aca="false">H7+H10+H13+H16+H19</f>
        <v>1850</v>
      </c>
      <c r="I22" s="10" t="n">
        <f aca="false">H22-G22</f>
        <v>-723</v>
      </c>
      <c r="J22" s="12" t="n">
        <f aca="false">IF(C$22=0,0,C22/C$22)</f>
        <v>1</v>
      </c>
      <c r="K22" s="12" t="n">
        <f aca="false">IF(D$22=0,0,D22/D$22)</f>
        <v>1</v>
      </c>
    </row>
    <row r="24" customFormat="false" ht="15" hidden="false" customHeight="false" outlineLevel="0" collapsed="false">
      <c r="A24" s="4" t="s">
        <v>22</v>
      </c>
    </row>
    <row r="25" customFormat="false" ht="15" hidden="false" customHeight="false" outlineLevel="0" collapsed="false">
      <c r="A25" s="13" t="s">
        <v>23</v>
      </c>
    </row>
    <row r="26" customFormat="false" ht="15" hidden="false" customHeight="false" outlineLevel="0" collapsed="false">
      <c r="A26" s="13" t="s">
        <v>24</v>
      </c>
    </row>
  </sheetData>
  <conditionalFormatting sqref="E5:F22">
    <cfRule type="expression" priority="2" aboveAverage="0" equalAverage="0" bottom="0" percent="0" rank="0" text="" dxfId="0">
      <formula>AND(ISNUMBER(E5),E5&gt;0)</formula>
    </cfRule>
    <cfRule type="expression" priority="3" aboveAverage="0" equalAverage="0" bottom="0" percent="0" rank="0" text="" dxfId="1">
      <formula>AND(ISNUMBER(E5),E5&lt;0)</formula>
    </cfRule>
  </conditionalFormatting>
  <conditionalFormatting sqref="I5:I22">
    <cfRule type="expression" priority="4" aboveAverage="0" equalAverage="0" bottom="0" percent="0" rank="0" text="" dxfId="0">
      <formula>AND(ISNUMBER(I5),I5&gt;0)</formula>
    </cfRule>
    <cfRule type="expression" priority="5" aboveAverage="0" equalAverage="0" bottom="0" percent="0" rank="0" text="" dxfId="1">
      <formula>AND(ISNUMBER(I5),I5&lt;0)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4" t="s">
        <v>27</v>
      </c>
      <c r="B4" s="14" t="s">
        <v>28</v>
      </c>
      <c r="C4" s="14"/>
      <c r="D4" s="14"/>
      <c r="E4" s="14"/>
      <c r="F4" s="14" t="s">
        <v>29</v>
      </c>
      <c r="G4" s="14"/>
      <c r="H4" s="14"/>
    </row>
    <row r="5" customFormat="false" ht="15" hidden="false" customHeight="false" outlineLevel="0" collapsed="false">
      <c r="A5" s="14"/>
      <c r="B5" s="15" t="s">
        <v>30</v>
      </c>
      <c r="C5" s="15" t="s">
        <v>31</v>
      </c>
      <c r="D5" s="15" t="s">
        <v>6</v>
      </c>
      <c r="E5" s="15" t="s">
        <v>7</v>
      </c>
      <c r="F5" s="15" t="s">
        <v>30</v>
      </c>
      <c r="G5" s="15" t="s">
        <v>31</v>
      </c>
      <c r="H5" s="15" t="s">
        <v>32</v>
      </c>
    </row>
    <row r="6" customFormat="false" ht="15" hidden="false" customHeight="false" outlineLevel="0" collapsed="false">
      <c r="A6" s="5" t="s">
        <v>33</v>
      </c>
      <c r="B6" s="6" t="n">
        <v>0</v>
      </c>
      <c r="C6" s="6" t="n">
        <v>1581810</v>
      </c>
      <c r="D6" s="6" t="n">
        <f aca="false">C6-B6</f>
        <v>1581810</v>
      </c>
      <c r="E6" s="7" t="str">
        <f aca="false">IF(B6=0,IF(C6=0,0,"new"),C6/B6-1)</f>
        <v>new</v>
      </c>
      <c r="F6" s="6" t="n">
        <v>0</v>
      </c>
      <c r="G6" s="6" t="n">
        <v>24</v>
      </c>
      <c r="H6" s="6" t="n">
        <f aca="false">G6-F6</f>
        <v>24</v>
      </c>
    </row>
    <row r="7" customFormat="false" ht="15" hidden="false" customHeight="false" outlineLevel="0" collapsed="false">
      <c r="A7" s="5" t="s">
        <v>34</v>
      </c>
      <c r="B7" s="6" t="n">
        <v>392308</v>
      </c>
      <c r="C7" s="6" t="n">
        <v>287000</v>
      </c>
      <c r="D7" s="6" t="n">
        <f aca="false">C7-B7</f>
        <v>-105308</v>
      </c>
      <c r="E7" s="7" t="n">
        <f aca="false">IF(B7=0,IF(C7=0,0,"new"),C7/B7-1)</f>
        <v>-0.268431946327885</v>
      </c>
      <c r="F7" s="6" t="n">
        <v>7</v>
      </c>
      <c r="G7" s="6" t="n">
        <v>5</v>
      </c>
      <c r="H7" s="6" t="n">
        <f aca="false">G7-F7</f>
        <v>-2</v>
      </c>
    </row>
    <row r="8" customFormat="false" ht="15" hidden="false" customHeight="false" outlineLevel="0" collapsed="false">
      <c r="A8" s="5" t="s">
        <v>35</v>
      </c>
      <c r="B8" s="6" t="n">
        <v>332913</v>
      </c>
      <c r="C8" s="6" t="n">
        <v>196733</v>
      </c>
      <c r="D8" s="6" t="n">
        <f aca="false">C8-B8</f>
        <v>-136180</v>
      </c>
      <c r="E8" s="7" t="n">
        <f aca="false">IF(B8=0,IF(C8=0,0,"new"),C8/B8-1)</f>
        <v>-0.409055819388249</v>
      </c>
      <c r="F8" s="6" t="n">
        <v>39</v>
      </c>
      <c r="G8" s="6" t="n">
        <v>36</v>
      </c>
      <c r="H8" s="6" t="n">
        <f aca="false">G8-F8</f>
        <v>-3</v>
      </c>
    </row>
    <row r="9" customFormat="false" ht="15" hidden="false" customHeight="false" outlineLevel="0" collapsed="false">
      <c r="A9" s="5" t="s">
        <v>36</v>
      </c>
      <c r="B9" s="6" t="n">
        <v>257479</v>
      </c>
      <c r="C9" s="6" t="n">
        <v>170766</v>
      </c>
      <c r="D9" s="6" t="n">
        <f aca="false">C9-B9</f>
        <v>-86713</v>
      </c>
      <c r="E9" s="7" t="n">
        <f aca="false">IF(B9=0,IF(C9=0,0,"new"),C9/B9-1)</f>
        <v>-0.336776979870203</v>
      </c>
      <c r="F9" s="6" t="n">
        <v>19</v>
      </c>
      <c r="G9" s="6" t="n">
        <v>31</v>
      </c>
      <c r="H9" s="6" t="n">
        <f aca="false">G9-F9</f>
        <v>12</v>
      </c>
    </row>
    <row r="10" customFormat="false" ht="15" hidden="false" customHeight="false" outlineLevel="0" collapsed="false">
      <c r="A10" s="5" t="s">
        <v>37</v>
      </c>
      <c r="B10" s="6" t="n">
        <v>185744</v>
      </c>
      <c r="C10" s="6" t="n">
        <v>162784</v>
      </c>
      <c r="D10" s="6" t="n">
        <f aca="false">C10-B10</f>
        <v>-22960</v>
      </c>
      <c r="E10" s="7" t="n">
        <f aca="false">IF(B10=0,IF(C10=0,0,"new"),C10/B10-1)</f>
        <v>-0.123610991472134</v>
      </c>
      <c r="F10" s="6" t="n">
        <v>3</v>
      </c>
      <c r="G10" s="6" t="n">
        <v>3</v>
      </c>
      <c r="H10" s="6" t="n">
        <f aca="false">G10-F10</f>
        <v>0</v>
      </c>
    </row>
    <row r="11" customFormat="false" ht="15" hidden="false" customHeight="false" outlineLevel="0" collapsed="false">
      <c r="A11" s="5" t="s">
        <v>38</v>
      </c>
      <c r="B11" s="6" t="n">
        <v>188108</v>
      </c>
      <c r="C11" s="6" t="n">
        <v>133674</v>
      </c>
      <c r="D11" s="6" t="n">
        <f aca="false">C11-B11</f>
        <v>-54434</v>
      </c>
      <c r="E11" s="7" t="n">
        <f aca="false">IF(B11=0,IF(C11=0,0,"new"),C11/B11-1)</f>
        <v>-0.289376315733515</v>
      </c>
      <c r="F11" s="6" t="n">
        <v>212</v>
      </c>
      <c r="G11" s="6" t="n">
        <v>231</v>
      </c>
      <c r="H11" s="6" t="n">
        <f aca="false">G11-F11</f>
        <v>19</v>
      </c>
    </row>
    <row r="12" customFormat="false" ht="15" hidden="false" customHeight="false" outlineLevel="0" collapsed="false">
      <c r="A12" s="5" t="s">
        <v>39</v>
      </c>
      <c r="B12" s="6" t="n">
        <v>88670</v>
      </c>
      <c r="C12" s="6" t="n">
        <v>128695</v>
      </c>
      <c r="D12" s="6" t="n">
        <f aca="false">C12-B12</f>
        <v>40025</v>
      </c>
      <c r="E12" s="7" t="n">
        <f aca="false">IF(B12=0,IF(C12=0,0,"new"),C12/B12-1)</f>
        <v>0.451392804781775</v>
      </c>
      <c r="F12" s="6" t="n">
        <v>2</v>
      </c>
      <c r="G12" s="6" t="n">
        <v>3</v>
      </c>
      <c r="H12" s="6" t="n">
        <f aca="false">G12-F12</f>
        <v>1</v>
      </c>
    </row>
    <row r="13" customFormat="false" ht="15" hidden="false" customHeight="false" outlineLevel="0" collapsed="false">
      <c r="A13" s="5" t="s">
        <v>40</v>
      </c>
      <c r="B13" s="6" t="n">
        <v>169531</v>
      </c>
      <c r="C13" s="6" t="n">
        <v>114598</v>
      </c>
      <c r="D13" s="6" t="n">
        <f aca="false">C13-B13</f>
        <v>-54933</v>
      </c>
      <c r="E13" s="7" t="n">
        <f aca="false">IF(B13=0,IF(C13=0,0,"new"),C13/B13-1)</f>
        <v>-0.324029233591497</v>
      </c>
      <c r="F13" s="6" t="n">
        <v>3</v>
      </c>
      <c r="G13" s="6" t="n">
        <v>2</v>
      </c>
      <c r="H13" s="6" t="n">
        <f aca="false">G13-F13</f>
        <v>-1</v>
      </c>
    </row>
    <row r="14" customFormat="false" ht="15" hidden="false" customHeight="false" outlineLevel="0" collapsed="false">
      <c r="A14" s="5" t="s">
        <v>41</v>
      </c>
      <c r="B14" s="6" t="n">
        <v>69088</v>
      </c>
      <c r="C14" s="6" t="n">
        <v>59652</v>
      </c>
      <c r="D14" s="6" t="n">
        <f aca="false">C14-B14</f>
        <v>-9436</v>
      </c>
      <c r="E14" s="7" t="n">
        <f aca="false">IF(B14=0,IF(C14=0,0,"new"),C14/B14-1)</f>
        <v>-0.136579434923576</v>
      </c>
      <c r="F14" s="6" t="n">
        <v>1</v>
      </c>
      <c r="G14" s="6" t="n">
        <v>1</v>
      </c>
      <c r="H14" s="6" t="n">
        <f aca="false">G14-F14</f>
        <v>0</v>
      </c>
    </row>
    <row r="15" customFormat="false" ht="15" hidden="false" customHeight="false" outlineLevel="0" collapsed="false">
      <c r="A15" s="5" t="s">
        <v>42</v>
      </c>
      <c r="B15" s="6" t="n">
        <v>128961</v>
      </c>
      <c r="C15" s="6" t="n">
        <v>58374</v>
      </c>
      <c r="D15" s="6" t="n">
        <f aca="false">C15-B15</f>
        <v>-70587</v>
      </c>
      <c r="E15" s="7" t="n">
        <f aca="false">IF(B15=0,IF(C15=0,0,"new"),C15/B15-1)</f>
        <v>-0.547351524879615</v>
      </c>
      <c r="F15" s="6" t="n">
        <v>2</v>
      </c>
      <c r="G15" s="6" t="n">
        <v>1</v>
      </c>
      <c r="H15" s="6" t="n">
        <f aca="false">G15-F15</f>
        <v>-1</v>
      </c>
    </row>
    <row r="16" customFormat="false" ht="15" hidden="false" customHeight="false" outlineLevel="0" collapsed="false">
      <c r="A16" s="5" t="s">
        <v>43</v>
      </c>
      <c r="B16" s="6" t="n">
        <v>30794</v>
      </c>
      <c r="C16" s="6" t="n">
        <v>40096</v>
      </c>
      <c r="D16" s="6" t="n">
        <f aca="false">C16-B16</f>
        <v>9302</v>
      </c>
      <c r="E16" s="7" t="n">
        <f aca="false">IF(B16=0,IF(C16=0,0,"new"),C16/B16-1)</f>
        <v>0.302071832175099</v>
      </c>
      <c r="F16" s="6" t="n">
        <v>118</v>
      </c>
      <c r="G16" s="6" t="n">
        <v>162</v>
      </c>
      <c r="H16" s="6" t="n">
        <f aca="false">G16-F16</f>
        <v>44</v>
      </c>
    </row>
    <row r="17" customFormat="false" ht="15" hidden="false" customHeight="false" outlineLevel="0" collapsed="false">
      <c r="A17" s="5" t="s">
        <v>44</v>
      </c>
      <c r="B17" s="6" t="n">
        <v>27740</v>
      </c>
      <c r="C17" s="6" t="n">
        <v>33430</v>
      </c>
      <c r="D17" s="6" t="n">
        <f aca="false">C17-B17</f>
        <v>5690</v>
      </c>
      <c r="E17" s="7" t="n">
        <f aca="false">IF(B17=0,IF(C17=0,0,"new"),C17/B17-1)</f>
        <v>0.205118961788032</v>
      </c>
      <c r="F17" s="6" t="n">
        <v>3</v>
      </c>
      <c r="G17" s="6" t="n">
        <v>4</v>
      </c>
      <c r="H17" s="6" t="n">
        <f aca="false">G17-F17</f>
        <v>1</v>
      </c>
    </row>
    <row r="18" customFormat="false" ht="15" hidden="false" customHeight="false" outlineLevel="0" collapsed="false">
      <c r="A18" s="5" t="s">
        <v>45</v>
      </c>
      <c r="B18" s="6" t="n">
        <v>85344</v>
      </c>
      <c r="C18" s="6" t="n">
        <v>32370</v>
      </c>
      <c r="D18" s="6" t="n">
        <f aca="false">C18-B18</f>
        <v>-52974</v>
      </c>
      <c r="E18" s="7" t="n">
        <f aca="false">IF(B18=0,IF(C18=0,0,"new"),C18/B18-1)</f>
        <v>-0.620711473565804</v>
      </c>
      <c r="F18" s="6" t="n">
        <v>233</v>
      </c>
      <c r="G18" s="6" t="n">
        <v>96</v>
      </c>
      <c r="H18" s="6" t="n">
        <f aca="false">G18-F18</f>
        <v>-137</v>
      </c>
    </row>
    <row r="19" customFormat="false" ht="15" hidden="false" customHeight="false" outlineLevel="0" collapsed="false">
      <c r="A19" s="5" t="s">
        <v>46</v>
      </c>
      <c r="B19" s="6" t="n">
        <v>43375</v>
      </c>
      <c r="C19" s="6" t="n">
        <v>23412</v>
      </c>
      <c r="D19" s="6" t="n">
        <f aca="false">C19-B19</f>
        <v>-19963</v>
      </c>
      <c r="E19" s="7" t="n">
        <f aca="false">IF(B19=0,IF(C19=0,0,"new"),C19/B19-1)</f>
        <v>-0.460242074927954</v>
      </c>
      <c r="F19" s="6" t="n">
        <v>117</v>
      </c>
      <c r="G19" s="6" t="n">
        <v>63</v>
      </c>
      <c r="H19" s="6" t="n">
        <f aca="false">G19-F19</f>
        <v>-54</v>
      </c>
    </row>
    <row r="20" customFormat="false" ht="15" hidden="false" customHeight="false" outlineLevel="0" collapsed="false">
      <c r="A20" s="5" t="s">
        <v>47</v>
      </c>
      <c r="B20" s="6" t="n">
        <v>25355</v>
      </c>
      <c r="C20" s="6" t="n">
        <v>12500</v>
      </c>
      <c r="D20" s="6" t="n">
        <f aca="false">C20-B20</f>
        <v>-12855</v>
      </c>
      <c r="E20" s="7" t="n">
        <f aca="false">IF(B20=0,IF(C20=0,0,"new"),C20/B20-1)</f>
        <v>-0.50700059159929</v>
      </c>
      <c r="F20" s="6" t="n">
        <v>2</v>
      </c>
      <c r="G20" s="6" t="n">
        <v>1</v>
      </c>
      <c r="H20" s="6" t="n">
        <f aca="false">G20-F20</f>
        <v>-1</v>
      </c>
    </row>
    <row r="21" customFormat="false" ht="15" hidden="false" customHeight="false" outlineLevel="0" collapsed="false">
      <c r="A21" s="5" t="s">
        <v>48</v>
      </c>
      <c r="B21" s="6" t="n">
        <v>0</v>
      </c>
      <c r="C21" s="6" t="n">
        <v>9853</v>
      </c>
      <c r="D21" s="6" t="n">
        <f aca="false">C21-B21</f>
        <v>9853</v>
      </c>
      <c r="E21" s="7" t="str">
        <f aca="false">IF(B21=0,IF(C21=0,0,"new"),C21/B21-1)</f>
        <v>new</v>
      </c>
      <c r="F21" s="6" t="n">
        <v>0</v>
      </c>
      <c r="G21" s="6" t="n">
        <v>1</v>
      </c>
      <c r="H21" s="6" t="n">
        <f aca="false">G21-F21</f>
        <v>1</v>
      </c>
    </row>
    <row r="22" customFormat="false" ht="15" hidden="false" customHeight="false" outlineLevel="0" collapsed="false">
      <c r="A22" s="5" t="s">
        <v>49</v>
      </c>
      <c r="B22" s="6" t="n">
        <v>1996</v>
      </c>
      <c r="C22" s="6" t="n">
        <v>7963</v>
      </c>
      <c r="D22" s="6" t="n">
        <f aca="false">C22-B22</f>
        <v>5967</v>
      </c>
      <c r="E22" s="7" t="n">
        <f aca="false">IF(B22=0,IF(C22=0,0,"new"),C22/B22-1)</f>
        <v>2.98947895791583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50</v>
      </c>
      <c r="B23" s="6" t="n">
        <v>11038</v>
      </c>
      <c r="C23" s="6" t="n">
        <v>6656</v>
      </c>
      <c r="D23" s="6" t="n">
        <f aca="false">C23-B23</f>
        <v>-4382</v>
      </c>
      <c r="E23" s="7" t="n">
        <f aca="false">IF(B23=0,IF(C23=0,0,"new"),C23/B23-1)</f>
        <v>-0.396992208733466</v>
      </c>
      <c r="F23" s="6" t="n">
        <v>40</v>
      </c>
      <c r="G23" s="6" t="n">
        <v>26</v>
      </c>
      <c r="H23" s="6" t="n">
        <f aca="false">G23-F23</f>
        <v>-14</v>
      </c>
    </row>
    <row r="24" customFormat="false" ht="15" hidden="false" customHeight="false" outlineLevel="0" collapsed="false">
      <c r="A24" s="5" t="s">
        <v>51</v>
      </c>
      <c r="B24" s="6" t="n">
        <v>0</v>
      </c>
      <c r="C24" s="6" t="n">
        <v>4001</v>
      </c>
      <c r="D24" s="6" t="n">
        <f aca="false">C24-B24</f>
        <v>4001</v>
      </c>
      <c r="E24" s="7" t="str">
        <f aca="false">IF(B24=0,IF(C24=0,0,"new"),C24/B24-1)</f>
        <v>new</v>
      </c>
      <c r="F24" s="6" t="n">
        <v>0</v>
      </c>
      <c r="G24" s="6" t="n">
        <v>1</v>
      </c>
      <c r="H24" s="6" t="n">
        <f aca="false">G24-F24</f>
        <v>1</v>
      </c>
    </row>
    <row r="25" customFormat="false" ht="15" hidden="false" customHeight="false" outlineLevel="0" collapsed="false">
      <c r="A25" s="5" t="s">
        <v>52</v>
      </c>
      <c r="B25" s="6" t="n">
        <v>17262</v>
      </c>
      <c r="C25" s="6" t="n">
        <v>3992</v>
      </c>
      <c r="D25" s="6" t="n">
        <f aca="false">C25-B25</f>
        <v>-13270</v>
      </c>
      <c r="E25" s="7" t="n">
        <f aca="false">IF(B25=0,IF(C25=0,0,"new"),C25/B25-1)</f>
        <v>-0.768740586258835</v>
      </c>
      <c r="F25" s="6" t="n">
        <v>60</v>
      </c>
      <c r="G25" s="6" t="n">
        <v>11</v>
      </c>
      <c r="H25" s="6" t="n">
        <f aca="false">G25-F25</f>
        <v>-49</v>
      </c>
    </row>
    <row r="26" customFormat="false" ht="15" hidden="false" customHeight="false" outlineLevel="0" collapsed="false">
      <c r="A26" s="5" t="s">
        <v>53</v>
      </c>
      <c r="B26" s="6" t="n">
        <v>342</v>
      </c>
      <c r="C26" s="6" t="n">
        <v>1685</v>
      </c>
      <c r="D26" s="6" t="n">
        <f aca="false">C26-B26</f>
        <v>1343</v>
      </c>
      <c r="E26" s="7" t="n">
        <f aca="false">IF(B26=0,IF(C26=0,0,"new"),C26/B26-1)</f>
        <v>3.92690058479532</v>
      </c>
      <c r="F26" s="6" t="n">
        <v>3</v>
      </c>
      <c r="G26" s="6" t="n">
        <v>12</v>
      </c>
      <c r="H26" s="6" t="n">
        <f aca="false">G26-F26</f>
        <v>9</v>
      </c>
    </row>
    <row r="27" customFormat="false" ht="15" hidden="false" customHeight="false" outlineLevel="0" collapsed="false">
      <c r="A27" s="5" t="s">
        <v>54</v>
      </c>
      <c r="B27" s="6" t="n">
        <v>2347</v>
      </c>
      <c r="C27" s="6" t="n">
        <v>1225</v>
      </c>
      <c r="D27" s="6" t="n">
        <f aca="false">C27-B27</f>
        <v>-1122</v>
      </c>
      <c r="E27" s="7" t="n">
        <f aca="false">IF(B27=0,IF(C27=0,0,"new"),C27/B27-1)</f>
        <v>-0.478057094162761</v>
      </c>
      <c r="F27" s="6" t="n">
        <v>13</v>
      </c>
      <c r="G27" s="6" t="n">
        <v>5</v>
      </c>
      <c r="H27" s="6" t="n">
        <f aca="false">G27-F27</f>
        <v>-8</v>
      </c>
    </row>
    <row r="28" customFormat="false" ht="15" hidden="false" customHeight="false" outlineLevel="0" collapsed="false">
      <c r="A28" s="5" t="s">
        <v>55</v>
      </c>
      <c r="B28" s="6" t="n">
        <v>0</v>
      </c>
      <c r="C28" s="6" t="n">
        <v>245</v>
      </c>
      <c r="D28" s="6" t="n">
        <f aca="false">C28-B28</f>
        <v>245</v>
      </c>
      <c r="E28" s="7" t="str">
        <f aca="false">IF(B28=0,IF(C28=0,0,"new"),C28/B28-1)</f>
        <v>new</v>
      </c>
      <c r="F28" s="6" t="n">
        <v>0</v>
      </c>
      <c r="G28" s="6" t="n">
        <v>1</v>
      </c>
      <c r="H28" s="6" t="n">
        <f aca="false">G28-F28</f>
        <v>1</v>
      </c>
    </row>
    <row r="29" customFormat="false" ht="15" hidden="false" customHeight="false" outlineLevel="0" collapsed="false">
      <c r="A29" s="5" t="s">
        <v>56</v>
      </c>
      <c r="B29" s="6" t="n">
        <v>140323</v>
      </c>
      <c r="C29" s="6" t="n">
        <v>0</v>
      </c>
      <c r="D29" s="6" t="n">
        <f aca="false">C29-B29</f>
        <v>-140323</v>
      </c>
      <c r="E29" s="7" t="n">
        <f aca="false">IF(B29=0,IF(C29=0,0,"new"),C29/B29-1)</f>
        <v>-1</v>
      </c>
      <c r="F29" s="6" t="n">
        <v>2</v>
      </c>
      <c r="G29" s="6" t="n">
        <v>0</v>
      </c>
      <c r="H29" s="6" t="n">
        <f aca="false">G29-F29</f>
        <v>-2</v>
      </c>
    </row>
    <row r="30" customFormat="false" ht="15" hidden="false" customHeight="false" outlineLevel="0" collapsed="false">
      <c r="A30" s="5" t="s">
        <v>57</v>
      </c>
      <c r="B30" s="6" t="n">
        <v>67129</v>
      </c>
      <c r="C30" s="6" t="n">
        <v>0</v>
      </c>
      <c r="D30" s="6" t="n">
        <f aca="false">C30-B30</f>
        <v>-67129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5" t="s">
        <v>58</v>
      </c>
      <c r="B31" s="6" t="n">
        <v>58648</v>
      </c>
      <c r="C31" s="6" t="n">
        <v>0</v>
      </c>
      <c r="D31" s="6" t="n">
        <f aca="false">C31-B31</f>
        <v>-58648</v>
      </c>
      <c r="E31" s="7" t="n">
        <f aca="false">IF(B31=0,IF(C31=0,0,"new"),C31/B31-1)</f>
        <v>-1</v>
      </c>
      <c r="F31" s="6" t="n">
        <v>1</v>
      </c>
      <c r="G31" s="6" t="n">
        <v>0</v>
      </c>
      <c r="H31" s="6" t="n">
        <f aca="false">G31-F31</f>
        <v>-1</v>
      </c>
    </row>
    <row r="32" customFormat="false" ht="15" hidden="false" customHeight="false" outlineLevel="0" collapsed="false">
      <c r="A32" s="5" t="s">
        <v>59</v>
      </c>
      <c r="B32" s="6" t="n">
        <v>52418</v>
      </c>
      <c r="C32" s="6" t="n">
        <v>0</v>
      </c>
      <c r="D32" s="6" t="n">
        <f aca="false">C32-B32</f>
        <v>-52418</v>
      </c>
      <c r="E32" s="7" t="n">
        <f aca="false">IF(B32=0,IF(C32=0,0,"new"),C32/B32-1)</f>
        <v>-1</v>
      </c>
      <c r="F32" s="6" t="n">
        <v>1</v>
      </c>
      <c r="G32" s="6" t="n">
        <v>0</v>
      </c>
      <c r="H32" s="6" t="n">
        <f aca="false">G32-F32</f>
        <v>-1</v>
      </c>
    </row>
    <row r="33" customFormat="false" ht="15" hidden="false" customHeight="false" outlineLevel="0" collapsed="false">
      <c r="A33" s="5" t="s">
        <v>60</v>
      </c>
      <c r="B33" s="6" t="n">
        <v>50899</v>
      </c>
      <c r="C33" s="6" t="n">
        <v>0</v>
      </c>
      <c r="D33" s="6" t="n">
        <f aca="false">C33-B33</f>
        <v>-50899</v>
      </c>
      <c r="E33" s="7" t="n">
        <f aca="false">IF(B33=0,IF(C33=0,0,"new"),C33/B33-1)</f>
        <v>-1</v>
      </c>
      <c r="F33" s="6" t="n">
        <v>1</v>
      </c>
      <c r="G33" s="6" t="n">
        <v>0</v>
      </c>
      <c r="H33" s="6" t="n">
        <f aca="false">G33-F33</f>
        <v>-1</v>
      </c>
    </row>
    <row r="34" customFormat="false" ht="15" hidden="false" customHeight="false" outlineLevel="0" collapsed="false">
      <c r="A34" s="5" t="s">
        <v>61</v>
      </c>
      <c r="B34" s="6" t="n">
        <v>29189</v>
      </c>
      <c r="C34" s="6" t="n">
        <v>0</v>
      </c>
      <c r="D34" s="6" t="n">
        <f aca="false">C34-B34</f>
        <v>-29189</v>
      </c>
      <c r="E34" s="7" t="n">
        <f aca="false">IF(B34=0,IF(C34=0,0,"new"),C34/B34-1)</f>
        <v>-1</v>
      </c>
      <c r="F34" s="6" t="n">
        <v>1</v>
      </c>
      <c r="G34" s="6" t="n">
        <v>0</v>
      </c>
      <c r="H34" s="6" t="n">
        <f aca="false">G34-F34</f>
        <v>-1</v>
      </c>
    </row>
    <row r="35" customFormat="false" ht="15" hidden="false" customHeight="false" outlineLevel="0" collapsed="false">
      <c r="A35" s="5" t="s">
        <v>62</v>
      </c>
      <c r="B35" s="6" t="n">
        <v>7205</v>
      </c>
      <c r="C35" s="6" t="n">
        <v>0</v>
      </c>
      <c r="D35" s="6" t="n">
        <f aca="false">C35-B35</f>
        <v>-7205</v>
      </c>
      <c r="E35" s="7" t="n">
        <f aca="false">IF(B35=0,IF(C35=0,0,"new"),C35/B35-1)</f>
        <v>-1</v>
      </c>
      <c r="F35" s="6" t="n">
        <v>1</v>
      </c>
      <c r="G35" s="6" t="n">
        <v>0</v>
      </c>
      <c r="H35" s="6" t="n">
        <f aca="false">G35-F35</f>
        <v>-1</v>
      </c>
    </row>
    <row r="36" customFormat="false" ht="15" hidden="false" customHeight="false" outlineLevel="0" collapsed="false">
      <c r="A36" s="5" t="s">
        <v>63</v>
      </c>
      <c r="B36" s="6" t="n">
        <v>1347</v>
      </c>
      <c r="C36" s="6" t="n">
        <v>0</v>
      </c>
      <c r="D36" s="6" t="n">
        <f aca="false">C36-B36</f>
        <v>-1347</v>
      </c>
      <c r="E36" s="7" t="n">
        <f aca="false">IF(B36=0,IF(C36=0,0,"new"),C36/B36-1)</f>
        <v>-1</v>
      </c>
      <c r="F36" s="6" t="n">
        <v>4</v>
      </c>
      <c r="G36" s="6" t="n">
        <v>0</v>
      </c>
      <c r="H36" s="6" t="n">
        <f aca="false">G36-F36</f>
        <v>-4</v>
      </c>
    </row>
    <row r="37" customFormat="false" ht="15" hidden="false" customHeight="false" outlineLevel="0" collapsed="false">
      <c r="A37" s="5" t="s">
        <v>64</v>
      </c>
      <c r="B37" s="6" t="n">
        <v>1000</v>
      </c>
      <c r="C37" s="6" t="n">
        <v>0</v>
      </c>
      <c r="D37" s="6" t="n">
        <f aca="false">C37-B37</f>
        <v>-1000</v>
      </c>
      <c r="E37" s="7" t="n">
        <f aca="false">IF(B37=0,IF(C37=0,0,"new"),C37/B37-1)</f>
        <v>-1</v>
      </c>
      <c r="F37" s="6" t="n">
        <v>1</v>
      </c>
      <c r="G37" s="6" t="n">
        <v>0</v>
      </c>
      <c r="H37" s="6" t="n">
        <f aca="false">G37-F37</f>
        <v>-1</v>
      </c>
    </row>
    <row r="38" customFormat="false" ht="15" hidden="false" customHeight="false" outlineLevel="0" collapsed="false">
      <c r="A38" s="9" t="s">
        <v>65</v>
      </c>
      <c r="B38" s="10" t="n">
        <f aca="false">SUM(B6:B37)</f>
        <v>2466553</v>
      </c>
      <c r="C38" s="10" t="n">
        <f aca="false">SUM(C6:C37)</f>
        <v>3071514</v>
      </c>
      <c r="D38" s="10" t="n">
        <f aca="false">C38-B38</f>
        <v>604961</v>
      </c>
      <c r="E38" s="11" t="n">
        <f aca="false">IF(B38=0,IF(C38=0,0,"new"),C38/B38-1)</f>
        <v>0.245265761570905</v>
      </c>
      <c r="F38" s="10" t="n">
        <f aca="false">SUM(F6:F37)</f>
        <v>892</v>
      </c>
      <c r="G38" s="10" t="n">
        <f aca="false">SUM(G6:G37)</f>
        <v>721</v>
      </c>
      <c r="H38" s="10" t="n">
        <f aca="false">G38-F38</f>
        <v>-171</v>
      </c>
    </row>
    <row r="39" customFormat="false" ht="15" hidden="false" customHeight="false" outlineLevel="0" collapsed="false">
      <c r="A39" s="4" t="s">
        <v>14</v>
      </c>
      <c r="B39" s="16" t="n">
        <f aca="false">SUMIF($A$6:$A$37,"CHINA",B6:B37)</f>
        <v>0</v>
      </c>
      <c r="C39" s="16" t="n">
        <f aca="false">SUMIF($A$6:$A$37,"CHINA",C6:C37)</f>
        <v>1581810</v>
      </c>
      <c r="D39" s="16" t="n">
        <f aca="false">C39-B39</f>
        <v>1581810</v>
      </c>
      <c r="E39" s="17" t="str">
        <f aca="false">IF(B39=0,IF(C39=0,0,"new"),C39/B39-1)</f>
        <v>new</v>
      </c>
      <c r="F39" s="16" t="n">
        <f aca="false">SUMIF($A$6:$A$37,"CHINA",F6:F37)</f>
        <v>0</v>
      </c>
      <c r="G39" s="16" t="n">
        <f aca="false">SUMIF($A$6:$A$37,"CHINA",G6:G37)</f>
        <v>24</v>
      </c>
      <c r="H39" s="16" t="n">
        <f aca="false">G39-F39</f>
        <v>24</v>
      </c>
    </row>
    <row r="40" customFormat="false" ht="15" hidden="false" customHeight="false" outlineLevel="0" collapsed="false">
      <c r="A40" s="4" t="s">
        <v>15</v>
      </c>
      <c r="B40" s="16" t="n">
        <f aca="false">B38-B39</f>
        <v>2466553</v>
      </c>
      <c r="C40" s="16" t="n">
        <f aca="false">C38-C39</f>
        <v>1489704</v>
      </c>
      <c r="D40" s="16" t="n">
        <f aca="false">C40-B40</f>
        <v>-976849</v>
      </c>
      <c r="E40" s="17" t="n">
        <f aca="false">IF(B40=0,IF(C40=0,0,"new"),C40/B40-1)</f>
        <v>-0.396038114729341</v>
      </c>
      <c r="F40" s="16" t="n">
        <f aca="false">F38-F39</f>
        <v>892</v>
      </c>
      <c r="G40" s="16" t="n">
        <f aca="false">G38-G39</f>
        <v>697</v>
      </c>
      <c r="H40" s="16" t="n">
        <f aca="false">G40-F40</f>
        <v>-195</v>
      </c>
    </row>
  </sheetData>
  <mergeCells count="3">
    <mergeCell ref="A4:A5"/>
    <mergeCell ref="B4:E4"/>
    <mergeCell ref="F4:H4"/>
  </mergeCells>
  <conditionalFormatting sqref="D6:E40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40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4" t="s">
        <v>27</v>
      </c>
      <c r="B4" s="14" t="s">
        <v>28</v>
      </c>
      <c r="C4" s="14"/>
      <c r="D4" s="14"/>
      <c r="E4" s="14"/>
      <c r="F4" s="14" t="s">
        <v>29</v>
      </c>
      <c r="G4" s="14"/>
      <c r="H4" s="14"/>
    </row>
    <row r="5" customFormat="false" ht="15" hidden="false" customHeight="false" outlineLevel="0" collapsed="false">
      <c r="A5" s="14"/>
      <c r="B5" s="15" t="s">
        <v>30</v>
      </c>
      <c r="C5" s="15" t="s">
        <v>31</v>
      </c>
      <c r="D5" s="15" t="s">
        <v>6</v>
      </c>
      <c r="E5" s="15" t="s">
        <v>7</v>
      </c>
      <c r="F5" s="15" t="s">
        <v>30</v>
      </c>
      <c r="G5" s="15" t="s">
        <v>31</v>
      </c>
      <c r="H5" s="15" t="s">
        <v>32</v>
      </c>
    </row>
    <row r="6" customFormat="false" ht="15" hidden="false" customHeight="false" outlineLevel="0" collapsed="false">
      <c r="A6" s="5" t="s">
        <v>33</v>
      </c>
      <c r="B6" s="6" t="n">
        <v>0</v>
      </c>
      <c r="C6" s="6" t="n">
        <v>756492</v>
      </c>
      <c r="D6" s="6" t="n">
        <f aca="false">C6-B6</f>
        <v>756492</v>
      </c>
      <c r="E6" s="7" t="str">
        <f aca="false">IF(B6=0,IF(C6=0,0,"new"),C6/B6-1)</f>
        <v>new</v>
      </c>
      <c r="F6" s="6" t="n">
        <v>0</v>
      </c>
      <c r="G6" s="6" t="n">
        <v>12</v>
      </c>
      <c r="H6" s="6" t="n">
        <f aca="false">G6-F6</f>
        <v>12</v>
      </c>
    </row>
    <row r="7" customFormat="false" ht="15" hidden="false" customHeight="false" outlineLevel="0" collapsed="false">
      <c r="A7" s="5" t="s">
        <v>39</v>
      </c>
      <c r="B7" s="6" t="n">
        <v>0</v>
      </c>
      <c r="C7" s="6" t="n">
        <v>126680</v>
      </c>
      <c r="D7" s="6" t="n">
        <f aca="false">C7-B7</f>
        <v>126680</v>
      </c>
      <c r="E7" s="7" t="str">
        <f aca="false">IF(B7=0,IF(C7=0,0,"new"),C7/B7-1)</f>
        <v>new</v>
      </c>
      <c r="F7" s="6" t="n">
        <v>0</v>
      </c>
      <c r="G7" s="6" t="n">
        <v>3</v>
      </c>
      <c r="H7" s="6" t="n">
        <f aca="false">G7-F7</f>
        <v>3</v>
      </c>
    </row>
    <row r="8" customFormat="false" ht="15" hidden="false" customHeight="false" outlineLevel="0" collapsed="false">
      <c r="A8" s="5" t="s">
        <v>40</v>
      </c>
      <c r="B8" s="6" t="n">
        <v>0</v>
      </c>
      <c r="C8" s="6" t="n">
        <v>59219</v>
      </c>
      <c r="D8" s="6" t="n">
        <f aca="false">C8-B8</f>
        <v>59219</v>
      </c>
      <c r="E8" s="7" t="str">
        <f aca="false">IF(B8=0,IF(C8=0,0,"new"),C8/B8-1)</f>
        <v>new</v>
      </c>
      <c r="F8" s="6" t="n">
        <v>0</v>
      </c>
      <c r="G8" s="6" t="n">
        <v>1</v>
      </c>
      <c r="H8" s="6" t="n">
        <f aca="false">G8-F8</f>
        <v>1</v>
      </c>
    </row>
    <row r="9" customFormat="false" ht="15" hidden="false" customHeight="false" outlineLevel="0" collapsed="false">
      <c r="A9" s="5" t="s">
        <v>42</v>
      </c>
      <c r="B9" s="6" t="n">
        <v>0</v>
      </c>
      <c r="C9" s="6" t="n">
        <v>58993</v>
      </c>
      <c r="D9" s="6" t="n">
        <f aca="false">C9-B9</f>
        <v>58993</v>
      </c>
      <c r="E9" s="7" t="str">
        <f aca="false">IF(B9=0,IF(C9=0,0,"new"),C9/B9-1)</f>
        <v>new</v>
      </c>
      <c r="F9" s="6" t="n">
        <v>0</v>
      </c>
      <c r="G9" s="6" t="n">
        <v>1</v>
      </c>
      <c r="H9" s="6" t="n">
        <f aca="false">G9-F9</f>
        <v>1</v>
      </c>
    </row>
    <row r="10" customFormat="false" ht="15" hidden="false" customHeight="false" outlineLevel="0" collapsed="false">
      <c r="A10" s="5" t="s">
        <v>56</v>
      </c>
      <c r="B10" s="6" t="n">
        <v>69297</v>
      </c>
      <c r="C10" s="6" t="n">
        <v>57366</v>
      </c>
      <c r="D10" s="6" t="n">
        <f aca="false">C10-B10</f>
        <v>-11931</v>
      </c>
      <c r="E10" s="7" t="n">
        <f aca="false">IF(B10=0,IF(C10=0,0,"new"),C10/B10-1)</f>
        <v>-0.172171955495909</v>
      </c>
      <c r="F10" s="6" t="n">
        <v>1</v>
      </c>
      <c r="G10" s="6" t="n">
        <v>1</v>
      </c>
      <c r="H10" s="6" t="n">
        <f aca="false">G10-F10</f>
        <v>0</v>
      </c>
    </row>
    <row r="11" customFormat="false" ht="15" hidden="false" customHeight="false" outlineLevel="0" collapsed="false">
      <c r="A11" s="5" t="s">
        <v>67</v>
      </c>
      <c r="B11" s="6" t="n">
        <v>0</v>
      </c>
      <c r="C11" s="6" t="n">
        <v>35887</v>
      </c>
      <c r="D11" s="6" t="n">
        <f aca="false">C11-B11</f>
        <v>35887</v>
      </c>
      <c r="E11" s="7" t="str">
        <f aca="false">IF(B11=0,IF(C11=0,0,"new"),C11/B11-1)</f>
        <v>new</v>
      </c>
      <c r="F11" s="6" t="n">
        <v>0</v>
      </c>
      <c r="G11" s="6" t="n">
        <v>1</v>
      </c>
      <c r="H11" s="6" t="n">
        <f aca="false">G11-F11</f>
        <v>1</v>
      </c>
    </row>
    <row r="12" customFormat="false" ht="15" hidden="false" customHeight="false" outlineLevel="0" collapsed="false">
      <c r="A12" s="5" t="s">
        <v>35</v>
      </c>
      <c r="B12" s="6" t="n">
        <v>217595</v>
      </c>
      <c r="C12" s="6" t="n">
        <v>32033</v>
      </c>
      <c r="D12" s="6" t="n">
        <f aca="false">C12-B12</f>
        <v>-185562</v>
      </c>
      <c r="E12" s="7" t="n">
        <f aca="false">IF(B12=0,IF(C12=0,0,"new"),C12/B12-1)</f>
        <v>-0.852786139387394</v>
      </c>
      <c r="F12" s="6" t="n">
        <v>15</v>
      </c>
      <c r="G12" s="6" t="n">
        <v>6</v>
      </c>
      <c r="H12" s="6" t="n">
        <f aca="false">G12-F12</f>
        <v>-9</v>
      </c>
    </row>
    <row r="13" customFormat="false" ht="15" hidden="false" customHeight="false" outlineLevel="0" collapsed="false">
      <c r="A13" s="5" t="s">
        <v>36</v>
      </c>
      <c r="B13" s="6" t="n">
        <v>10429</v>
      </c>
      <c r="C13" s="6" t="n">
        <v>21886</v>
      </c>
      <c r="D13" s="6" t="n">
        <f aca="false">C13-B13</f>
        <v>11457</v>
      </c>
      <c r="E13" s="7" t="n">
        <f aca="false">IF(B13=0,IF(C13=0,0,"new"),C13/B13-1)</f>
        <v>1.09857129159076</v>
      </c>
      <c r="F13" s="6" t="n">
        <v>6</v>
      </c>
      <c r="G13" s="6" t="n">
        <v>4</v>
      </c>
      <c r="H13" s="6" t="n">
        <f aca="false">G13-F13</f>
        <v>-2</v>
      </c>
    </row>
    <row r="14" customFormat="false" ht="15" hidden="false" customHeight="false" outlineLevel="0" collapsed="false">
      <c r="A14" s="5" t="s">
        <v>43</v>
      </c>
      <c r="B14" s="6" t="n">
        <v>12194</v>
      </c>
      <c r="C14" s="6" t="n">
        <v>11555</v>
      </c>
      <c r="D14" s="6" t="n">
        <f aca="false">C14-B14</f>
        <v>-639</v>
      </c>
      <c r="E14" s="7" t="n">
        <f aca="false">IF(B14=0,IF(C14=0,0,"new"),C14/B14-1)</f>
        <v>-0.0524028210595375</v>
      </c>
      <c r="F14" s="6" t="n">
        <v>39</v>
      </c>
      <c r="G14" s="6" t="n">
        <v>45</v>
      </c>
      <c r="H14" s="6" t="n">
        <f aca="false">G14-F14</f>
        <v>6</v>
      </c>
    </row>
    <row r="15" customFormat="false" ht="15" hidden="false" customHeight="false" outlineLevel="0" collapsed="false">
      <c r="A15" s="5" t="s">
        <v>44</v>
      </c>
      <c r="B15" s="6" t="n">
        <v>6285</v>
      </c>
      <c r="C15" s="6" t="n">
        <v>10628</v>
      </c>
      <c r="D15" s="6" t="n">
        <f aca="false">C15-B15</f>
        <v>4343</v>
      </c>
      <c r="E15" s="7" t="n">
        <f aca="false">IF(B15=0,IF(C15=0,0,"new"),C15/B15-1)</f>
        <v>0.691010342084328</v>
      </c>
      <c r="F15" s="6" t="n">
        <v>1</v>
      </c>
      <c r="G15" s="6" t="n">
        <v>1</v>
      </c>
      <c r="H15" s="6" t="n">
        <f aca="false">G15-F15</f>
        <v>0</v>
      </c>
    </row>
    <row r="16" customFormat="false" ht="15" hidden="false" customHeight="false" outlineLevel="0" collapsed="false">
      <c r="A16" s="5" t="s">
        <v>38</v>
      </c>
      <c r="B16" s="6" t="n">
        <v>44171</v>
      </c>
      <c r="C16" s="6" t="n">
        <v>9034</v>
      </c>
      <c r="D16" s="6" t="n">
        <f aca="false">C16-B16</f>
        <v>-35137</v>
      </c>
      <c r="E16" s="7" t="n">
        <f aca="false">IF(B16=0,IF(C16=0,0,"new"),C16/B16-1)</f>
        <v>-0.795476670213489</v>
      </c>
      <c r="F16" s="6" t="n">
        <v>128</v>
      </c>
      <c r="G16" s="6" t="n">
        <v>28</v>
      </c>
      <c r="H16" s="6" t="n">
        <f aca="false">G16-F16</f>
        <v>-100</v>
      </c>
    </row>
    <row r="17" customFormat="false" ht="15" hidden="false" customHeight="false" outlineLevel="0" collapsed="false">
      <c r="A17" s="5" t="s">
        <v>47</v>
      </c>
      <c r="B17" s="6" t="n">
        <v>12285</v>
      </c>
      <c r="C17" s="6" t="n">
        <v>7196</v>
      </c>
      <c r="D17" s="6" t="n">
        <f aca="false">C17-B17</f>
        <v>-5089</v>
      </c>
      <c r="E17" s="7" t="n">
        <f aca="false">IF(B17=0,IF(C17=0,0,"new"),C17/B17-1)</f>
        <v>-0.414245014245014</v>
      </c>
      <c r="F17" s="6" t="n">
        <v>1</v>
      </c>
      <c r="G17" s="6" t="n">
        <v>1</v>
      </c>
      <c r="H17" s="6" t="n">
        <f aca="false">G17-F17</f>
        <v>0</v>
      </c>
    </row>
    <row r="18" customFormat="false" ht="15" hidden="false" customHeight="false" outlineLevel="0" collapsed="false">
      <c r="A18" s="5" t="s">
        <v>45</v>
      </c>
      <c r="B18" s="6" t="n">
        <v>28900</v>
      </c>
      <c r="C18" s="6" t="n">
        <v>5777</v>
      </c>
      <c r="D18" s="6" t="n">
        <f aca="false">C18-B18</f>
        <v>-23123</v>
      </c>
      <c r="E18" s="7" t="n">
        <f aca="false">IF(B18=0,IF(C18=0,0,"new"),C18/B18-1)</f>
        <v>-0.800103806228374</v>
      </c>
      <c r="F18" s="6" t="n">
        <v>75</v>
      </c>
      <c r="G18" s="6" t="n">
        <v>17</v>
      </c>
      <c r="H18" s="6" t="n">
        <f aca="false">G18-F18</f>
        <v>-58</v>
      </c>
    </row>
    <row r="19" customFormat="false" ht="15" hidden="false" customHeight="false" outlineLevel="0" collapsed="false">
      <c r="A19" s="5" t="s">
        <v>46</v>
      </c>
      <c r="B19" s="6" t="n">
        <v>6244</v>
      </c>
      <c r="C19" s="6" t="n">
        <v>3967</v>
      </c>
      <c r="D19" s="6" t="n">
        <f aca="false">C19-B19</f>
        <v>-2277</v>
      </c>
      <c r="E19" s="7" t="n">
        <f aca="false">IF(B19=0,IF(C19=0,0,"new"),C19/B19-1)</f>
        <v>-0.364670083279949</v>
      </c>
      <c r="F19" s="6" t="n">
        <v>15</v>
      </c>
      <c r="G19" s="6" t="n">
        <v>11</v>
      </c>
      <c r="H19" s="6" t="n">
        <f aca="false">G19-F19</f>
        <v>-4</v>
      </c>
    </row>
    <row r="20" customFormat="false" ht="15" hidden="false" customHeight="false" outlineLevel="0" collapsed="false">
      <c r="A20" s="5" t="s">
        <v>50</v>
      </c>
      <c r="B20" s="6" t="n">
        <v>171</v>
      </c>
      <c r="C20" s="6" t="n">
        <v>1150</v>
      </c>
      <c r="D20" s="6" t="n">
        <f aca="false">C20-B20</f>
        <v>979</v>
      </c>
      <c r="E20" s="7" t="n">
        <f aca="false">IF(B20=0,IF(C20=0,0,"new"),C20/B20-1)</f>
        <v>5.72514619883041</v>
      </c>
      <c r="F20" s="6" t="n">
        <v>2</v>
      </c>
      <c r="G20" s="6" t="n">
        <v>5</v>
      </c>
      <c r="H20" s="6" t="n">
        <f aca="false">G20-F20</f>
        <v>3</v>
      </c>
    </row>
    <row r="21" customFormat="false" ht="15" hidden="false" customHeight="false" outlineLevel="0" collapsed="false">
      <c r="A21" s="5" t="s">
        <v>52</v>
      </c>
      <c r="B21" s="6" t="n">
        <v>5142</v>
      </c>
      <c r="C21" s="6" t="n">
        <v>979</v>
      </c>
      <c r="D21" s="6" t="n">
        <f aca="false">C21-B21</f>
        <v>-4163</v>
      </c>
      <c r="E21" s="7" t="n">
        <f aca="false">IF(B21=0,IF(C21=0,0,"new"),C21/B21-1)</f>
        <v>-0.809607156748347</v>
      </c>
      <c r="F21" s="6" t="n">
        <v>16</v>
      </c>
      <c r="G21" s="6" t="n">
        <v>3</v>
      </c>
      <c r="H21" s="6" t="n">
        <f aca="false">G21-F21</f>
        <v>-13</v>
      </c>
    </row>
    <row r="22" customFormat="false" ht="15" hidden="false" customHeight="false" outlineLevel="0" collapsed="false">
      <c r="A22" s="5" t="s">
        <v>53</v>
      </c>
      <c r="B22" s="6" t="n">
        <v>538</v>
      </c>
      <c r="C22" s="6" t="n">
        <v>343</v>
      </c>
      <c r="D22" s="6" t="n">
        <f aca="false">C22-B22</f>
        <v>-195</v>
      </c>
      <c r="E22" s="7" t="n">
        <f aca="false">IF(B22=0,IF(C22=0,0,"new"),C22/B22-1)</f>
        <v>-0.362453531598513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54</v>
      </c>
      <c r="B23" s="6" t="n">
        <v>612</v>
      </c>
      <c r="C23" s="6" t="n">
        <v>245</v>
      </c>
      <c r="D23" s="6" t="n">
        <f aca="false">C23-B23</f>
        <v>-367</v>
      </c>
      <c r="E23" s="7" t="n">
        <f aca="false">IF(B23=0,IF(C23=0,0,"new"),C23/B23-1)</f>
        <v>-0.599673202614379</v>
      </c>
      <c r="F23" s="6" t="n">
        <v>3</v>
      </c>
      <c r="G23" s="6" t="n">
        <v>1</v>
      </c>
      <c r="H23" s="6" t="n">
        <f aca="false">G23-F23</f>
        <v>-2</v>
      </c>
    </row>
    <row r="24" customFormat="false" ht="15" hidden="false" customHeight="false" outlineLevel="0" collapsed="false">
      <c r="A24" s="5" t="s">
        <v>34</v>
      </c>
      <c r="B24" s="6" t="n">
        <v>181571</v>
      </c>
      <c r="C24" s="6" t="n">
        <v>0</v>
      </c>
      <c r="D24" s="6" t="n">
        <f aca="false">C24-B24</f>
        <v>-181571</v>
      </c>
      <c r="E24" s="7" t="n">
        <f aca="false">IF(B24=0,IF(C24=0,0,"new"),C24/B24-1)</f>
        <v>-1</v>
      </c>
      <c r="F24" s="6" t="n">
        <v>3</v>
      </c>
      <c r="G24" s="6" t="n">
        <v>0</v>
      </c>
      <c r="H24" s="6" t="n">
        <f aca="false">G24-F24</f>
        <v>-3</v>
      </c>
    </row>
    <row r="25" customFormat="false" ht="15" hidden="false" customHeight="false" outlineLevel="0" collapsed="false">
      <c r="A25" s="5" t="s">
        <v>58</v>
      </c>
      <c r="B25" s="6" t="n">
        <v>115038</v>
      </c>
      <c r="C25" s="6" t="n">
        <v>0</v>
      </c>
      <c r="D25" s="6" t="n">
        <f aca="false">C25-B25</f>
        <v>-115038</v>
      </c>
      <c r="E25" s="7" t="n">
        <f aca="false">IF(B25=0,IF(C25=0,0,"new"),C25/B25-1)</f>
        <v>-1</v>
      </c>
      <c r="F25" s="6" t="n">
        <v>2</v>
      </c>
      <c r="G25" s="6" t="n">
        <v>0</v>
      </c>
      <c r="H25" s="6" t="n">
        <f aca="false">G25-F25</f>
        <v>-2</v>
      </c>
    </row>
    <row r="26" customFormat="false" ht="15" hidden="false" customHeight="false" outlineLevel="0" collapsed="false">
      <c r="A26" s="5" t="s">
        <v>37</v>
      </c>
      <c r="B26" s="6" t="n">
        <v>45900</v>
      </c>
      <c r="C26" s="6" t="n">
        <v>0</v>
      </c>
      <c r="D26" s="6" t="n">
        <f aca="false">C26-B26</f>
        <v>-45900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48</v>
      </c>
      <c r="B27" s="6" t="n">
        <v>21871</v>
      </c>
      <c r="C27" s="6" t="n">
        <v>0</v>
      </c>
      <c r="D27" s="6" t="n">
        <f aca="false">C27-B27</f>
        <v>-21871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68</v>
      </c>
      <c r="B28" s="6" t="n">
        <v>4958</v>
      </c>
      <c r="C28" s="6" t="n">
        <v>0</v>
      </c>
      <c r="D28" s="6" t="n">
        <f aca="false">C28-B28</f>
        <v>-4958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69</v>
      </c>
      <c r="B29" s="6" t="n">
        <v>294</v>
      </c>
      <c r="C29" s="6" t="n">
        <v>0</v>
      </c>
      <c r="D29" s="6" t="n">
        <f aca="false">C29-B29</f>
        <v>-294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9" t="s">
        <v>65</v>
      </c>
      <c r="B30" s="10" t="n">
        <f aca="false">SUM(B6:B29)</f>
        <v>783495</v>
      </c>
      <c r="C30" s="10" t="n">
        <f aca="false">SUM(C6:C29)</f>
        <v>1199430</v>
      </c>
      <c r="D30" s="10" t="n">
        <f aca="false">C30-B30</f>
        <v>415935</v>
      </c>
      <c r="E30" s="11" t="n">
        <f aca="false">IF(B30=0,IF(C30=0,0,"new"),C30/B30-1)</f>
        <v>0.530871288266039</v>
      </c>
      <c r="F30" s="10" t="n">
        <f aca="false">SUM(F6:F29)</f>
        <v>313</v>
      </c>
      <c r="G30" s="10" t="n">
        <f aca="false">SUM(G6:G29)</f>
        <v>142</v>
      </c>
      <c r="H30" s="10" t="n">
        <f aca="false">G30-F30</f>
        <v>-171</v>
      </c>
    </row>
    <row r="31" customFormat="false" ht="15" hidden="false" customHeight="false" outlineLevel="0" collapsed="false">
      <c r="A31" s="4" t="s">
        <v>14</v>
      </c>
      <c r="B31" s="16" t="n">
        <f aca="false">SUMIF($A$6:$A$29,"CHINA",B6:B29)</f>
        <v>0</v>
      </c>
      <c r="C31" s="16" t="n">
        <f aca="false">SUMIF($A$6:$A$29,"CHINA",C6:C29)</f>
        <v>756492</v>
      </c>
      <c r="D31" s="16" t="n">
        <f aca="false">C31-B31</f>
        <v>756492</v>
      </c>
      <c r="E31" s="17" t="str">
        <f aca="false">IF(B31=0,IF(C31=0,0,"new"),C31/B31-1)</f>
        <v>new</v>
      </c>
      <c r="F31" s="16" t="n">
        <f aca="false">SUMIF($A$6:$A$29,"CHINA",F6:F29)</f>
        <v>0</v>
      </c>
      <c r="G31" s="16" t="n">
        <f aca="false">SUMIF($A$6:$A$29,"CHINA",G6:G29)</f>
        <v>12</v>
      </c>
      <c r="H31" s="16" t="n">
        <f aca="false">G31-F31</f>
        <v>12</v>
      </c>
    </row>
    <row r="32" customFormat="false" ht="15" hidden="false" customHeight="false" outlineLevel="0" collapsed="false">
      <c r="A32" s="4" t="s">
        <v>15</v>
      </c>
      <c r="B32" s="16" t="n">
        <f aca="false">B30-B31</f>
        <v>783495</v>
      </c>
      <c r="C32" s="16" t="n">
        <f aca="false">C30-C31</f>
        <v>442938</v>
      </c>
      <c r="D32" s="16" t="n">
        <f aca="false">C32-B32</f>
        <v>-340557</v>
      </c>
      <c r="E32" s="17" t="n">
        <f aca="false">IF(B32=0,IF(C32=0,0,"new"),C32/B32-1)</f>
        <v>-0.434663909788831</v>
      </c>
      <c r="F32" s="16" t="n">
        <f aca="false">F30-F31</f>
        <v>313</v>
      </c>
      <c r="G32" s="16" t="n">
        <f aca="false">G30-G31</f>
        <v>130</v>
      </c>
      <c r="H32" s="16" t="n">
        <f aca="false">G32-F32</f>
        <v>-183</v>
      </c>
    </row>
  </sheetData>
  <mergeCells count="3">
    <mergeCell ref="A4:A5"/>
    <mergeCell ref="B4:E4"/>
    <mergeCell ref="F4:H4"/>
  </mergeCells>
  <conditionalFormatting sqref="D6:E32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2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4" t="s">
        <v>27</v>
      </c>
      <c r="B4" s="14" t="s">
        <v>28</v>
      </c>
      <c r="C4" s="14"/>
      <c r="D4" s="14"/>
      <c r="E4" s="14"/>
      <c r="F4" s="14" t="s">
        <v>29</v>
      </c>
      <c r="G4" s="14"/>
      <c r="H4" s="14"/>
    </row>
    <row r="5" customFormat="false" ht="15" hidden="false" customHeight="false" outlineLevel="0" collapsed="false">
      <c r="A5" s="14"/>
      <c r="B5" s="15" t="s">
        <v>30</v>
      </c>
      <c r="C5" s="15" t="s">
        <v>31</v>
      </c>
      <c r="D5" s="15" t="s">
        <v>6</v>
      </c>
      <c r="E5" s="15" t="s">
        <v>7</v>
      </c>
      <c r="F5" s="15" t="s">
        <v>30</v>
      </c>
      <c r="G5" s="15" t="s">
        <v>31</v>
      </c>
      <c r="H5" s="15" t="s">
        <v>32</v>
      </c>
    </row>
    <row r="6" customFormat="false" ht="15" hidden="false" customHeight="false" outlineLevel="0" collapsed="false">
      <c r="A6" s="5" t="s">
        <v>33</v>
      </c>
      <c r="B6" s="6" t="n">
        <v>0</v>
      </c>
      <c r="C6" s="6" t="n">
        <v>649252</v>
      </c>
      <c r="D6" s="6" t="n">
        <f aca="false">C6-B6</f>
        <v>649252</v>
      </c>
      <c r="E6" s="7" t="str">
        <f aca="false">IF(B6=0,IF(C6=0,0,"new"),C6/B6-1)</f>
        <v>new</v>
      </c>
      <c r="F6" s="6" t="n">
        <v>0</v>
      </c>
      <c r="G6" s="6" t="n">
        <v>10</v>
      </c>
      <c r="H6" s="6" t="n">
        <f aca="false">G6-F6</f>
        <v>10</v>
      </c>
    </row>
    <row r="7" customFormat="false" ht="15" hidden="false" customHeight="false" outlineLevel="0" collapsed="false">
      <c r="A7" s="5" t="s">
        <v>35</v>
      </c>
      <c r="B7" s="6" t="n">
        <v>195947</v>
      </c>
      <c r="C7" s="6" t="n">
        <v>99486</v>
      </c>
      <c r="D7" s="6" t="n">
        <f aca="false">C7-B7</f>
        <v>-96461</v>
      </c>
      <c r="E7" s="7" t="n">
        <f aca="false">IF(B7=0,IF(C7=0,0,"new"),C7/B7-1)</f>
        <v>-0.492281076005246</v>
      </c>
      <c r="F7" s="6" t="n">
        <v>44</v>
      </c>
      <c r="G7" s="6" t="n">
        <v>9</v>
      </c>
      <c r="H7" s="6" t="n">
        <f aca="false">G7-F7</f>
        <v>-35</v>
      </c>
    </row>
    <row r="8" customFormat="false" ht="15" hidden="false" customHeight="false" outlineLevel="0" collapsed="false">
      <c r="A8" s="5" t="s">
        <v>34</v>
      </c>
      <c r="B8" s="6" t="n">
        <v>0</v>
      </c>
      <c r="C8" s="6" t="n">
        <v>79022</v>
      </c>
      <c r="D8" s="6" t="n">
        <f aca="false">C8-B8</f>
        <v>79022</v>
      </c>
      <c r="E8" s="7" t="str">
        <f aca="false">IF(B8=0,IF(C8=0,0,"new"),C8/B8-1)</f>
        <v>new</v>
      </c>
      <c r="F8" s="6" t="n">
        <v>0</v>
      </c>
      <c r="G8" s="6" t="n">
        <v>2</v>
      </c>
      <c r="H8" s="6" t="n">
        <f aca="false">G8-F8</f>
        <v>2</v>
      </c>
    </row>
    <row r="9" customFormat="false" ht="15" hidden="false" customHeight="false" outlineLevel="0" collapsed="false">
      <c r="A9" s="5" t="s">
        <v>43</v>
      </c>
      <c r="B9" s="6" t="n">
        <v>19441</v>
      </c>
      <c r="C9" s="6" t="n">
        <v>75868</v>
      </c>
      <c r="D9" s="6" t="n">
        <f aca="false">C9-B9</f>
        <v>56427</v>
      </c>
      <c r="E9" s="7" t="n">
        <f aca="false">IF(B9=0,IF(C9=0,0,"new"),C9/B9-1)</f>
        <v>2.90247415256417</v>
      </c>
      <c r="F9" s="6" t="n">
        <v>62</v>
      </c>
      <c r="G9" s="6" t="n">
        <v>53</v>
      </c>
      <c r="H9" s="6" t="n">
        <f aca="false">G9-F9</f>
        <v>-9</v>
      </c>
    </row>
    <row r="10" customFormat="false" ht="15" hidden="false" customHeight="false" outlineLevel="0" collapsed="false">
      <c r="A10" s="5" t="s">
        <v>36</v>
      </c>
      <c r="B10" s="6" t="n">
        <v>19882</v>
      </c>
      <c r="C10" s="6" t="n">
        <v>58266</v>
      </c>
      <c r="D10" s="6" t="n">
        <f aca="false">C10-B10</f>
        <v>38384</v>
      </c>
      <c r="E10" s="7" t="n">
        <f aca="false">IF(B10=0,IF(C10=0,0,"new"),C10/B10-1)</f>
        <v>1.93059048385474</v>
      </c>
      <c r="F10" s="6" t="n">
        <v>4</v>
      </c>
      <c r="G10" s="6" t="n">
        <v>10</v>
      </c>
      <c r="H10" s="6" t="n">
        <f aca="false">G10-F10</f>
        <v>6</v>
      </c>
    </row>
    <row r="11" customFormat="false" ht="15" hidden="false" customHeight="false" outlineLevel="0" collapsed="false">
      <c r="A11" s="5" t="s">
        <v>42</v>
      </c>
      <c r="B11" s="6" t="n">
        <v>52471</v>
      </c>
      <c r="C11" s="6" t="n">
        <v>56965</v>
      </c>
      <c r="D11" s="6" t="n">
        <f aca="false">C11-B11</f>
        <v>4494</v>
      </c>
      <c r="E11" s="7" t="n">
        <f aca="false">IF(B11=0,IF(C11=0,0,"new"),C11/B11-1)</f>
        <v>0.0856473099426349</v>
      </c>
      <c r="F11" s="6" t="n">
        <v>1</v>
      </c>
      <c r="G11" s="6" t="n">
        <v>1</v>
      </c>
      <c r="H11" s="6" t="n">
        <f aca="false">G11-F11</f>
        <v>0</v>
      </c>
    </row>
    <row r="12" customFormat="false" ht="15" hidden="false" customHeight="false" outlineLevel="0" collapsed="false">
      <c r="A12" s="5" t="s">
        <v>39</v>
      </c>
      <c r="B12" s="6" t="n">
        <v>44999</v>
      </c>
      <c r="C12" s="6" t="n">
        <v>44003</v>
      </c>
      <c r="D12" s="6" t="n">
        <f aca="false">C12-B12</f>
        <v>-996</v>
      </c>
      <c r="E12" s="7" t="n">
        <f aca="false">IF(B12=0,IF(C12=0,0,"new"),C12/B12-1)</f>
        <v>-0.0221338251961155</v>
      </c>
      <c r="F12" s="6" t="n">
        <v>1</v>
      </c>
      <c r="G12" s="6" t="n">
        <v>1</v>
      </c>
      <c r="H12" s="6" t="n">
        <f aca="false">G12-F12</f>
        <v>0</v>
      </c>
    </row>
    <row r="13" customFormat="false" ht="15" hidden="false" customHeight="false" outlineLevel="0" collapsed="false">
      <c r="A13" s="5" t="s">
        <v>38</v>
      </c>
      <c r="B13" s="6" t="n">
        <v>44470</v>
      </c>
      <c r="C13" s="6" t="n">
        <v>21059</v>
      </c>
      <c r="D13" s="6" t="n">
        <f aca="false">C13-B13</f>
        <v>-23411</v>
      </c>
      <c r="E13" s="7" t="n">
        <f aca="false">IF(B13=0,IF(C13=0,0,"new"),C13/B13-1)</f>
        <v>-0.52644479424331</v>
      </c>
      <c r="F13" s="6" t="n">
        <v>131</v>
      </c>
      <c r="G13" s="6" t="n">
        <v>65</v>
      </c>
      <c r="H13" s="6" t="n">
        <f aca="false">G13-F13</f>
        <v>-66</v>
      </c>
    </row>
    <row r="14" customFormat="false" ht="15" hidden="false" customHeight="false" outlineLevel="0" collapsed="false">
      <c r="A14" s="5" t="s">
        <v>45</v>
      </c>
      <c r="B14" s="6" t="n">
        <v>44471</v>
      </c>
      <c r="C14" s="6" t="n">
        <v>11578</v>
      </c>
      <c r="D14" s="6" t="n">
        <f aca="false">C14-B14</f>
        <v>-32893</v>
      </c>
      <c r="E14" s="7" t="n">
        <f aca="false">IF(B14=0,IF(C14=0,0,"new"),C14/B14-1)</f>
        <v>-0.739650558791122</v>
      </c>
      <c r="F14" s="6" t="n">
        <v>124</v>
      </c>
      <c r="G14" s="6" t="n">
        <v>35</v>
      </c>
      <c r="H14" s="6" t="n">
        <f aca="false">G14-F14</f>
        <v>-89</v>
      </c>
    </row>
    <row r="15" customFormat="false" ht="15" hidden="false" customHeight="false" outlineLevel="0" collapsed="false">
      <c r="A15" s="5" t="s">
        <v>46</v>
      </c>
      <c r="B15" s="6" t="n">
        <v>5193</v>
      </c>
      <c r="C15" s="6" t="n">
        <v>9210</v>
      </c>
      <c r="D15" s="6" t="n">
        <f aca="false">C15-B15</f>
        <v>4017</v>
      </c>
      <c r="E15" s="7" t="n">
        <f aca="false">IF(B15=0,IF(C15=0,0,"new"),C15/B15-1)</f>
        <v>0.773541305603697</v>
      </c>
      <c r="F15" s="6" t="n">
        <v>12</v>
      </c>
      <c r="G15" s="6" t="n">
        <v>23</v>
      </c>
      <c r="H15" s="6" t="n">
        <f aca="false">G15-F15</f>
        <v>11</v>
      </c>
    </row>
    <row r="16" customFormat="false" ht="15" hidden="false" customHeight="false" outlineLevel="0" collapsed="false">
      <c r="A16" s="5" t="s">
        <v>52</v>
      </c>
      <c r="B16" s="6" t="n">
        <v>3967</v>
      </c>
      <c r="C16" s="6" t="n">
        <v>5634</v>
      </c>
      <c r="D16" s="6" t="n">
        <f aca="false">C16-B16</f>
        <v>1667</v>
      </c>
      <c r="E16" s="7" t="n">
        <f aca="false">IF(B16=0,IF(C16=0,0,"new"),C16/B16-1)</f>
        <v>0.420216788505168</v>
      </c>
      <c r="F16" s="6" t="n">
        <v>11</v>
      </c>
      <c r="G16" s="6" t="n">
        <v>14</v>
      </c>
      <c r="H16" s="6" t="n">
        <f aca="false">G16-F16</f>
        <v>3</v>
      </c>
    </row>
    <row r="17" customFormat="false" ht="15" hidden="false" customHeight="false" outlineLevel="0" collapsed="false">
      <c r="A17" s="5" t="s">
        <v>50</v>
      </c>
      <c r="B17" s="6" t="n">
        <v>1445</v>
      </c>
      <c r="C17" s="6" t="n">
        <v>1811</v>
      </c>
      <c r="D17" s="6" t="n">
        <f aca="false">C17-B17</f>
        <v>366</v>
      </c>
      <c r="E17" s="7" t="n">
        <f aca="false">IF(B17=0,IF(C17=0,0,"new"),C17/B17-1)</f>
        <v>0.253287197231834</v>
      </c>
      <c r="F17" s="6" t="n">
        <v>6</v>
      </c>
      <c r="G17" s="6" t="n">
        <v>6</v>
      </c>
      <c r="H17" s="6" t="n">
        <f aca="false">G17-F17</f>
        <v>0</v>
      </c>
    </row>
    <row r="18" customFormat="false" ht="15" hidden="false" customHeight="false" outlineLevel="0" collapsed="false">
      <c r="A18" s="5" t="s">
        <v>53</v>
      </c>
      <c r="B18" s="6" t="n">
        <v>59567</v>
      </c>
      <c r="C18" s="6" t="n">
        <v>220</v>
      </c>
      <c r="D18" s="6" t="n">
        <f aca="false">C18-B18</f>
        <v>-59347</v>
      </c>
      <c r="E18" s="7" t="n">
        <f aca="false">IF(B18=0,IF(C18=0,0,"new"),C18/B18-1)</f>
        <v>-0.996306679873084</v>
      </c>
      <c r="F18" s="6" t="n">
        <v>2</v>
      </c>
      <c r="G18" s="6" t="n">
        <v>2</v>
      </c>
      <c r="H18" s="6" t="n">
        <f aca="false">G18-F18</f>
        <v>0</v>
      </c>
    </row>
    <row r="19" customFormat="false" ht="15" hidden="false" customHeight="false" outlineLevel="0" collapsed="false">
      <c r="A19" s="5" t="s">
        <v>62</v>
      </c>
      <c r="B19" s="6" t="n">
        <v>0</v>
      </c>
      <c r="C19" s="6" t="n">
        <v>171</v>
      </c>
      <c r="D19" s="6" t="n">
        <f aca="false">C19-B19</f>
        <v>171</v>
      </c>
      <c r="E19" s="7" t="str">
        <f aca="false">IF(B19=0,IF(C19=0,0,"new"),C19/B19-1)</f>
        <v>new</v>
      </c>
      <c r="F19" s="6" t="n">
        <v>0</v>
      </c>
      <c r="G19" s="6" t="n">
        <v>1</v>
      </c>
      <c r="H19" s="6" t="n">
        <f aca="false">G19-F19</f>
        <v>1</v>
      </c>
    </row>
    <row r="20" customFormat="false" ht="15" hidden="false" customHeight="false" outlineLevel="0" collapsed="false">
      <c r="A20" s="5" t="s">
        <v>71</v>
      </c>
      <c r="B20" s="6" t="n">
        <v>0</v>
      </c>
      <c r="C20" s="6" t="n">
        <v>49</v>
      </c>
      <c r="D20" s="6" t="n">
        <f aca="false">C20-B20</f>
        <v>49</v>
      </c>
      <c r="E20" s="7" t="str">
        <f aca="false">IF(B20=0,IF(C20=0,0,"new"),C20/B20-1)</f>
        <v>new</v>
      </c>
      <c r="F20" s="6" t="n">
        <v>0</v>
      </c>
      <c r="G20" s="6" t="n">
        <v>1</v>
      </c>
      <c r="H20" s="6" t="n">
        <f aca="false">G20-F20</f>
        <v>1</v>
      </c>
    </row>
    <row r="21" customFormat="false" ht="15" hidden="false" customHeight="false" outlineLevel="0" collapsed="false">
      <c r="A21" s="5" t="s">
        <v>60</v>
      </c>
      <c r="B21" s="6" t="n">
        <v>182090</v>
      </c>
      <c r="C21" s="6" t="n">
        <v>0</v>
      </c>
      <c r="D21" s="6" t="n">
        <f aca="false">C21-B21</f>
        <v>-182090</v>
      </c>
      <c r="E21" s="7" t="n">
        <f aca="false">IF(B21=0,IF(C21=0,0,"new"),C21/B21-1)</f>
        <v>-1</v>
      </c>
      <c r="F21" s="6" t="n">
        <v>3</v>
      </c>
      <c r="G21" s="6" t="n">
        <v>0</v>
      </c>
      <c r="H21" s="6" t="n">
        <f aca="false">G21-F21</f>
        <v>-3</v>
      </c>
    </row>
    <row r="22" customFormat="false" ht="15" hidden="false" customHeight="false" outlineLevel="0" collapsed="false">
      <c r="A22" s="5" t="s">
        <v>40</v>
      </c>
      <c r="B22" s="6" t="n">
        <v>117598</v>
      </c>
      <c r="C22" s="6" t="n">
        <v>0</v>
      </c>
      <c r="D22" s="6" t="n">
        <f aca="false">C22-B22</f>
        <v>-117598</v>
      </c>
      <c r="E22" s="7" t="n">
        <f aca="false">IF(B22=0,IF(C22=0,0,"new"),C22/B22-1)</f>
        <v>-1</v>
      </c>
      <c r="F22" s="6" t="n">
        <v>2</v>
      </c>
      <c r="G22" s="6" t="n">
        <v>0</v>
      </c>
      <c r="H22" s="6" t="n">
        <f aca="false">G22-F22</f>
        <v>-2</v>
      </c>
    </row>
    <row r="23" customFormat="false" ht="15" hidden="false" customHeight="false" outlineLevel="0" collapsed="false">
      <c r="A23" s="5" t="s">
        <v>37</v>
      </c>
      <c r="B23" s="6" t="n">
        <v>72599</v>
      </c>
      <c r="C23" s="6" t="n">
        <v>0</v>
      </c>
      <c r="D23" s="6" t="n">
        <f aca="false">C23-B23</f>
        <v>-72599</v>
      </c>
      <c r="E23" s="7" t="n">
        <f aca="false">IF(B23=0,IF(C23=0,0,"new"),C23/B23-1)</f>
        <v>-1</v>
      </c>
      <c r="F23" s="6" t="n">
        <v>1</v>
      </c>
      <c r="G23" s="6" t="n">
        <v>0</v>
      </c>
      <c r="H23" s="6" t="n">
        <f aca="false">G23-F23</f>
        <v>-1</v>
      </c>
    </row>
    <row r="24" customFormat="false" ht="15" hidden="false" customHeight="false" outlineLevel="0" collapsed="false">
      <c r="A24" s="5" t="s">
        <v>41</v>
      </c>
      <c r="B24" s="6" t="n">
        <v>59208</v>
      </c>
      <c r="C24" s="6" t="n">
        <v>0</v>
      </c>
      <c r="D24" s="6" t="n">
        <f aca="false">C24-B24</f>
        <v>-59208</v>
      </c>
      <c r="E24" s="7" t="n">
        <f aca="false">IF(B24=0,IF(C24=0,0,"new"),C24/B24-1)</f>
        <v>-1</v>
      </c>
      <c r="F24" s="6" t="n">
        <v>1</v>
      </c>
      <c r="G24" s="6" t="n">
        <v>0</v>
      </c>
      <c r="H24" s="6" t="n">
        <f aca="false">G24-F24</f>
        <v>-1</v>
      </c>
    </row>
    <row r="25" customFormat="false" ht="15" hidden="false" customHeight="false" outlineLevel="0" collapsed="false">
      <c r="A25" s="5" t="s">
        <v>58</v>
      </c>
      <c r="B25" s="6" t="n">
        <v>57840</v>
      </c>
      <c r="C25" s="6" t="n">
        <v>0</v>
      </c>
      <c r="D25" s="6" t="n">
        <f aca="false">C25-B25</f>
        <v>-57840</v>
      </c>
      <c r="E25" s="7" t="n">
        <f aca="false">IF(B25=0,IF(C25=0,0,"new"),C25/B25-1)</f>
        <v>-1</v>
      </c>
      <c r="F25" s="6" t="n">
        <v>1</v>
      </c>
      <c r="G25" s="6" t="n">
        <v>0</v>
      </c>
      <c r="H25" s="6" t="n">
        <f aca="false">G25-F25</f>
        <v>-1</v>
      </c>
    </row>
    <row r="26" customFormat="false" ht="15" hidden="false" customHeight="false" outlineLevel="0" collapsed="false">
      <c r="A26" s="5" t="s">
        <v>56</v>
      </c>
      <c r="B26" s="6" t="n">
        <v>21172</v>
      </c>
      <c r="C26" s="6" t="n">
        <v>0</v>
      </c>
      <c r="D26" s="6" t="n">
        <f aca="false">C26-B26</f>
        <v>-21172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47</v>
      </c>
      <c r="B27" s="6" t="n">
        <v>7274</v>
      </c>
      <c r="C27" s="6" t="n">
        <v>0</v>
      </c>
      <c r="D27" s="6" t="n">
        <f aca="false">C27-B27</f>
        <v>-7274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44</v>
      </c>
      <c r="B28" s="6" t="n">
        <v>6999</v>
      </c>
      <c r="C28" s="6" t="n">
        <v>0</v>
      </c>
      <c r="D28" s="6" t="n">
        <f aca="false">C28-B28</f>
        <v>-6999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63</v>
      </c>
      <c r="B29" s="6" t="n">
        <v>490</v>
      </c>
      <c r="C29" s="6" t="n">
        <v>0</v>
      </c>
      <c r="D29" s="6" t="n">
        <f aca="false">C29-B29</f>
        <v>-490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5" t="s">
        <v>54</v>
      </c>
      <c r="B30" s="6" t="n">
        <v>73</v>
      </c>
      <c r="C30" s="6" t="n">
        <v>0</v>
      </c>
      <c r="D30" s="6" t="n">
        <f aca="false">C30-B30</f>
        <v>-73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9" t="s">
        <v>65</v>
      </c>
      <c r="B31" s="10" t="n">
        <f aca="false">SUM(B6:B30)</f>
        <v>1017196</v>
      </c>
      <c r="C31" s="10" t="n">
        <f aca="false">SUM(C6:C30)</f>
        <v>1112594</v>
      </c>
      <c r="D31" s="10" t="n">
        <f aca="false">C31-B31</f>
        <v>95398</v>
      </c>
      <c r="E31" s="11" t="n">
        <f aca="false">IF(B31=0,IF(C31=0,0,"new"),C31/B31-1)</f>
        <v>0.0937852685224874</v>
      </c>
      <c r="F31" s="10" t="n">
        <f aca="false">SUM(F6:F30)</f>
        <v>411</v>
      </c>
      <c r="G31" s="10" t="n">
        <f aca="false">SUM(G6:G30)</f>
        <v>233</v>
      </c>
      <c r="H31" s="10" t="n">
        <f aca="false">G31-F31</f>
        <v>-178</v>
      </c>
    </row>
    <row r="32" customFormat="false" ht="15" hidden="false" customHeight="false" outlineLevel="0" collapsed="false">
      <c r="A32" s="4" t="s">
        <v>14</v>
      </c>
      <c r="B32" s="16" t="n">
        <f aca="false">SUMIF($A$6:$A$30,"CHINA",B6:B30)</f>
        <v>0</v>
      </c>
      <c r="C32" s="16" t="n">
        <f aca="false">SUMIF($A$6:$A$30,"CHINA",C6:C30)</f>
        <v>649252</v>
      </c>
      <c r="D32" s="16" t="n">
        <f aca="false">C32-B32</f>
        <v>649252</v>
      </c>
      <c r="E32" s="17" t="str">
        <f aca="false">IF(B32=0,IF(C32=0,0,"new"),C32/B32-1)</f>
        <v>new</v>
      </c>
      <c r="F32" s="16" t="n">
        <f aca="false">SUMIF($A$6:$A$30,"CHINA",F6:F30)</f>
        <v>0</v>
      </c>
      <c r="G32" s="16" t="n">
        <f aca="false">SUMIF($A$6:$A$30,"CHINA",G6:G30)</f>
        <v>10</v>
      </c>
      <c r="H32" s="16" t="n">
        <f aca="false">G32-F32</f>
        <v>10</v>
      </c>
    </row>
    <row r="33" customFormat="false" ht="15" hidden="false" customHeight="false" outlineLevel="0" collapsed="false">
      <c r="A33" s="4" t="s">
        <v>15</v>
      </c>
      <c r="B33" s="16" t="n">
        <f aca="false">B31-B32</f>
        <v>1017196</v>
      </c>
      <c r="C33" s="16" t="n">
        <f aca="false">C31-C32</f>
        <v>463342</v>
      </c>
      <c r="D33" s="16" t="n">
        <f aca="false">C33-B33</f>
        <v>-553854</v>
      </c>
      <c r="E33" s="17" t="n">
        <f aca="false">IF(B33=0,IF(C33=0,0,"new"),C33/B33-1)</f>
        <v>-0.544490933900645</v>
      </c>
      <c r="F33" s="16" t="n">
        <f aca="false">F31-F32</f>
        <v>411</v>
      </c>
      <c r="G33" s="16" t="n">
        <f aca="false">G31-G32</f>
        <v>223</v>
      </c>
      <c r="H33" s="16" t="n">
        <f aca="false">G33-F33</f>
        <v>-188</v>
      </c>
    </row>
  </sheetData>
  <mergeCells count="3">
    <mergeCell ref="A4:A5"/>
    <mergeCell ref="B4:E4"/>
    <mergeCell ref="F4:H4"/>
  </mergeCells>
  <conditionalFormatting sqref="D6:E33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3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4" t="s">
        <v>27</v>
      </c>
      <c r="B4" s="14" t="s">
        <v>28</v>
      </c>
      <c r="C4" s="14"/>
      <c r="D4" s="14"/>
      <c r="E4" s="14"/>
      <c r="F4" s="14" t="s">
        <v>29</v>
      </c>
      <c r="G4" s="14"/>
      <c r="H4" s="14"/>
    </row>
    <row r="5" customFormat="false" ht="15" hidden="false" customHeight="false" outlineLevel="0" collapsed="false">
      <c r="A5" s="14"/>
      <c r="B5" s="15" t="s">
        <v>30</v>
      </c>
      <c r="C5" s="15" t="s">
        <v>31</v>
      </c>
      <c r="D5" s="15" t="s">
        <v>6</v>
      </c>
      <c r="E5" s="15" t="s">
        <v>7</v>
      </c>
      <c r="F5" s="15" t="s">
        <v>30</v>
      </c>
      <c r="G5" s="15" t="s">
        <v>31</v>
      </c>
      <c r="H5" s="15" t="s">
        <v>32</v>
      </c>
    </row>
    <row r="6" customFormat="false" ht="15" hidden="false" customHeight="false" outlineLevel="0" collapsed="false">
      <c r="A6" s="5" t="s">
        <v>33</v>
      </c>
      <c r="B6" s="6" t="n">
        <v>0</v>
      </c>
      <c r="C6" s="6" t="n">
        <v>1333625</v>
      </c>
      <c r="D6" s="6" t="n">
        <f aca="false">C6-B6</f>
        <v>1333625</v>
      </c>
      <c r="E6" s="7" t="str">
        <f aca="false">IF(B6=0,IF(C6=0,0,"new"),C6/B6-1)</f>
        <v>new</v>
      </c>
      <c r="F6" s="6" t="n">
        <v>0</v>
      </c>
      <c r="G6" s="6" t="n">
        <v>20</v>
      </c>
      <c r="H6" s="6" t="n">
        <f aca="false">G6-F6</f>
        <v>20</v>
      </c>
    </row>
    <row r="7" customFormat="false" ht="15" hidden="false" customHeight="false" outlineLevel="0" collapsed="false">
      <c r="A7" s="5" t="s">
        <v>35</v>
      </c>
      <c r="B7" s="6" t="n">
        <v>232745</v>
      </c>
      <c r="C7" s="6" t="n">
        <v>213260</v>
      </c>
      <c r="D7" s="6" t="n">
        <f aca="false">C7-B7</f>
        <v>-19485</v>
      </c>
      <c r="E7" s="7" t="n">
        <f aca="false">IF(B7=0,IF(C7=0,0,"new"),C7/B7-1)</f>
        <v>-0.0837182324002664</v>
      </c>
      <c r="F7" s="6" t="n">
        <v>20</v>
      </c>
      <c r="G7" s="6" t="n">
        <v>24</v>
      </c>
      <c r="H7" s="6" t="n">
        <f aca="false">G7-F7</f>
        <v>4</v>
      </c>
    </row>
    <row r="8" customFormat="false" ht="15" hidden="false" customHeight="false" outlineLevel="0" collapsed="false">
      <c r="A8" s="5" t="s">
        <v>36</v>
      </c>
      <c r="B8" s="6" t="n">
        <v>58763</v>
      </c>
      <c r="C8" s="6" t="n">
        <v>94911</v>
      </c>
      <c r="D8" s="6" t="n">
        <f aca="false">C8-B8</f>
        <v>36148</v>
      </c>
      <c r="E8" s="7" t="n">
        <f aca="false">IF(B8=0,IF(C8=0,0,"new"),C8/B8-1)</f>
        <v>0.61514898830897</v>
      </c>
      <c r="F8" s="6" t="n">
        <v>10</v>
      </c>
      <c r="G8" s="6" t="n">
        <v>10</v>
      </c>
      <c r="H8" s="6" t="n">
        <f aca="false">G8-F8</f>
        <v>0</v>
      </c>
    </row>
    <row r="9" customFormat="false" ht="15" hidden="false" customHeight="false" outlineLevel="0" collapsed="false">
      <c r="A9" s="5" t="s">
        <v>42</v>
      </c>
      <c r="B9" s="6" t="n">
        <v>136901</v>
      </c>
      <c r="C9" s="6" t="n">
        <v>84515</v>
      </c>
      <c r="D9" s="6" t="n">
        <f aca="false">C9-B9</f>
        <v>-52386</v>
      </c>
      <c r="E9" s="7" t="n">
        <f aca="false">IF(B9=0,IF(C9=0,0,"new"),C9/B9-1)</f>
        <v>-0.382656079940979</v>
      </c>
      <c r="F9" s="6" t="n">
        <v>4</v>
      </c>
      <c r="G9" s="6" t="n">
        <v>1</v>
      </c>
      <c r="H9" s="6" t="n">
        <f aca="false">G9-F9</f>
        <v>-3</v>
      </c>
    </row>
    <row r="10" customFormat="false" ht="15" hidden="false" customHeight="false" outlineLevel="0" collapsed="false">
      <c r="A10" s="5" t="s">
        <v>43</v>
      </c>
      <c r="B10" s="6" t="n">
        <v>166695</v>
      </c>
      <c r="C10" s="6" t="n">
        <v>75538</v>
      </c>
      <c r="D10" s="6" t="n">
        <f aca="false">C10-B10</f>
        <v>-91157</v>
      </c>
      <c r="E10" s="7" t="n">
        <f aca="false">IF(B10=0,IF(C10=0,0,"new"),C10/B10-1)</f>
        <v>-0.546849035663937</v>
      </c>
      <c r="F10" s="6" t="n">
        <v>75</v>
      </c>
      <c r="G10" s="6" t="n">
        <v>72</v>
      </c>
      <c r="H10" s="6" t="n">
        <f aca="false">G10-F10</f>
        <v>-3</v>
      </c>
    </row>
    <row r="11" customFormat="false" ht="15" hidden="false" customHeight="false" outlineLevel="0" collapsed="false">
      <c r="A11" s="5" t="s">
        <v>38</v>
      </c>
      <c r="B11" s="6" t="n">
        <v>61850</v>
      </c>
      <c r="C11" s="6" t="n">
        <v>60743</v>
      </c>
      <c r="D11" s="6" t="n">
        <f aca="false">C11-B11</f>
        <v>-1107</v>
      </c>
      <c r="E11" s="7" t="n">
        <f aca="false">IF(B11=0,IF(C11=0,0,"new"),C11/B11-1)</f>
        <v>-0.0178981406628941</v>
      </c>
      <c r="F11" s="6" t="n">
        <v>185</v>
      </c>
      <c r="G11" s="6" t="n">
        <v>115</v>
      </c>
      <c r="H11" s="6" t="n">
        <f aca="false">G11-F11</f>
        <v>-70</v>
      </c>
    </row>
    <row r="12" customFormat="false" ht="15" hidden="false" customHeight="false" outlineLevel="0" collapsed="false">
      <c r="A12" s="5" t="s">
        <v>56</v>
      </c>
      <c r="B12" s="6" t="n">
        <v>21109</v>
      </c>
      <c r="C12" s="6" t="n">
        <v>52964</v>
      </c>
      <c r="D12" s="6" t="n">
        <f aca="false">C12-B12</f>
        <v>31855</v>
      </c>
      <c r="E12" s="7" t="n">
        <f aca="false">IF(B12=0,IF(C12=0,0,"new"),C12/B12-1)</f>
        <v>1.50907195982756</v>
      </c>
      <c r="F12" s="6" t="n">
        <v>1</v>
      </c>
      <c r="G12" s="6" t="n">
        <v>1</v>
      </c>
      <c r="H12" s="6" t="n">
        <f aca="false">G12-F12</f>
        <v>0</v>
      </c>
    </row>
    <row r="13" customFormat="false" ht="15" hidden="false" customHeight="false" outlineLevel="0" collapsed="false">
      <c r="A13" s="5" t="s">
        <v>34</v>
      </c>
      <c r="B13" s="6" t="n">
        <v>163652</v>
      </c>
      <c r="C13" s="6" t="n">
        <v>52353</v>
      </c>
      <c r="D13" s="6" t="n">
        <f aca="false">C13-B13</f>
        <v>-111299</v>
      </c>
      <c r="E13" s="7" t="n">
        <f aca="false">IF(B13=0,IF(C13=0,0,"new"),C13/B13-1)</f>
        <v>-0.680095568645663</v>
      </c>
      <c r="F13" s="6" t="n">
        <v>3</v>
      </c>
      <c r="G13" s="6" t="n">
        <v>1</v>
      </c>
      <c r="H13" s="6" t="n">
        <f aca="false">G13-F13</f>
        <v>-2</v>
      </c>
    </row>
    <row r="14" customFormat="false" ht="15" hidden="false" customHeight="false" outlineLevel="0" collapsed="false">
      <c r="A14" s="5" t="s">
        <v>39</v>
      </c>
      <c r="B14" s="6" t="n">
        <v>0</v>
      </c>
      <c r="C14" s="6" t="n">
        <v>47306</v>
      </c>
      <c r="D14" s="6" t="n">
        <f aca="false">C14-B14</f>
        <v>47306</v>
      </c>
      <c r="E14" s="7" t="str">
        <f aca="false">IF(B14=0,IF(C14=0,0,"new"),C14/B14-1)</f>
        <v>new</v>
      </c>
      <c r="F14" s="6" t="n">
        <v>0</v>
      </c>
      <c r="G14" s="6" t="n">
        <v>1</v>
      </c>
      <c r="H14" s="6" t="n">
        <f aca="false">G14-F14</f>
        <v>1</v>
      </c>
    </row>
    <row r="15" customFormat="false" ht="15" hidden="false" customHeight="false" outlineLevel="0" collapsed="false">
      <c r="A15" s="5" t="s">
        <v>45</v>
      </c>
      <c r="B15" s="6" t="n">
        <v>122140</v>
      </c>
      <c r="C15" s="6" t="n">
        <v>24804</v>
      </c>
      <c r="D15" s="6" t="n">
        <f aca="false">C15-B15</f>
        <v>-97336</v>
      </c>
      <c r="E15" s="7" t="n">
        <f aca="false">IF(B15=0,IF(C15=0,0,"new"),C15/B15-1)</f>
        <v>-0.796921565416735</v>
      </c>
      <c r="F15" s="6" t="n">
        <v>138</v>
      </c>
      <c r="G15" s="6" t="n">
        <v>121</v>
      </c>
      <c r="H15" s="6" t="n">
        <f aca="false">G15-F15</f>
        <v>-17</v>
      </c>
    </row>
    <row r="16" customFormat="false" ht="15" hidden="false" customHeight="false" outlineLevel="0" collapsed="false">
      <c r="A16" s="5" t="s">
        <v>47</v>
      </c>
      <c r="B16" s="6" t="n">
        <v>0</v>
      </c>
      <c r="C16" s="6" t="n">
        <v>12050</v>
      </c>
      <c r="D16" s="6" t="n">
        <f aca="false">C16-B16</f>
        <v>12050</v>
      </c>
      <c r="E16" s="7" t="str">
        <f aca="false">IF(B16=0,IF(C16=0,0,"new"),C16/B16-1)</f>
        <v>new</v>
      </c>
      <c r="F16" s="6" t="n">
        <v>0</v>
      </c>
      <c r="G16" s="6" t="n">
        <v>1</v>
      </c>
      <c r="H16" s="6" t="n">
        <f aca="false">G16-F16</f>
        <v>1</v>
      </c>
    </row>
    <row r="17" customFormat="false" ht="15" hidden="false" customHeight="false" outlineLevel="0" collapsed="false">
      <c r="A17" s="5" t="s">
        <v>46</v>
      </c>
      <c r="B17" s="6" t="n">
        <v>10802</v>
      </c>
      <c r="C17" s="6" t="n">
        <v>8302</v>
      </c>
      <c r="D17" s="6" t="n">
        <f aca="false">C17-B17</f>
        <v>-2500</v>
      </c>
      <c r="E17" s="7" t="n">
        <f aca="false">IF(B17=0,IF(C17=0,0,"new"),C17/B17-1)</f>
        <v>-0.231438622477319</v>
      </c>
      <c r="F17" s="6" t="n">
        <v>25</v>
      </c>
      <c r="G17" s="6" t="n">
        <v>20</v>
      </c>
      <c r="H17" s="6" t="n">
        <f aca="false">G17-F17</f>
        <v>-5</v>
      </c>
    </row>
    <row r="18" customFormat="false" ht="15" hidden="false" customHeight="false" outlineLevel="0" collapsed="false">
      <c r="A18" s="5" t="s">
        <v>52</v>
      </c>
      <c r="B18" s="6" t="n">
        <v>65562</v>
      </c>
      <c r="C18" s="6" t="n">
        <v>5535</v>
      </c>
      <c r="D18" s="6" t="n">
        <f aca="false">C18-B18</f>
        <v>-60027</v>
      </c>
      <c r="E18" s="7" t="n">
        <f aca="false">IF(B18=0,IF(C18=0,0,"new"),C18/B18-1)</f>
        <v>-0.915576095909216</v>
      </c>
      <c r="F18" s="6" t="n">
        <v>16</v>
      </c>
      <c r="G18" s="6" t="n">
        <v>18</v>
      </c>
      <c r="H18" s="6" t="n">
        <f aca="false">G18-F18</f>
        <v>2</v>
      </c>
    </row>
    <row r="19" customFormat="false" ht="15" hidden="false" customHeight="false" outlineLevel="0" collapsed="false">
      <c r="A19" s="5" t="s">
        <v>50</v>
      </c>
      <c r="B19" s="6" t="n">
        <v>1812</v>
      </c>
      <c r="C19" s="6" t="n">
        <v>1102</v>
      </c>
      <c r="D19" s="6" t="n">
        <f aca="false">C19-B19</f>
        <v>-710</v>
      </c>
      <c r="E19" s="7" t="n">
        <f aca="false">IF(B19=0,IF(C19=0,0,"new"),C19/B19-1)</f>
        <v>-0.391832229580574</v>
      </c>
      <c r="F19" s="6" t="n">
        <v>7</v>
      </c>
      <c r="G19" s="6" t="n">
        <v>3</v>
      </c>
      <c r="H19" s="6" t="n">
        <f aca="false">G19-F19</f>
        <v>-4</v>
      </c>
    </row>
    <row r="20" customFormat="false" ht="15" hidden="false" customHeight="false" outlineLevel="0" collapsed="false">
      <c r="A20" s="5" t="s">
        <v>63</v>
      </c>
      <c r="B20" s="6" t="n">
        <v>2449</v>
      </c>
      <c r="C20" s="6" t="n">
        <v>833</v>
      </c>
      <c r="D20" s="6" t="n">
        <f aca="false">C20-B20</f>
        <v>-1616</v>
      </c>
      <c r="E20" s="7" t="n">
        <f aca="false">IF(B20=0,IF(C20=0,0,"new"),C20/B20-1)</f>
        <v>-0.659861167823602</v>
      </c>
      <c r="F20" s="6" t="n">
        <v>7</v>
      </c>
      <c r="G20" s="6" t="n">
        <v>2</v>
      </c>
      <c r="H20" s="6" t="n">
        <f aca="false">G20-F20</f>
        <v>-5</v>
      </c>
    </row>
    <row r="21" customFormat="false" ht="15" hidden="false" customHeight="false" outlineLevel="0" collapsed="false">
      <c r="A21" s="5" t="s">
        <v>54</v>
      </c>
      <c r="B21" s="6" t="n">
        <v>0</v>
      </c>
      <c r="C21" s="6" t="n">
        <v>245</v>
      </c>
      <c r="D21" s="6" t="n">
        <f aca="false">C21-B21</f>
        <v>245</v>
      </c>
      <c r="E21" s="7" t="str">
        <f aca="false">IF(B21=0,IF(C21=0,0,"new"),C21/B21-1)</f>
        <v>new</v>
      </c>
      <c r="F21" s="6" t="n">
        <v>0</v>
      </c>
      <c r="G21" s="6" t="n">
        <v>1</v>
      </c>
      <c r="H21" s="6" t="n">
        <f aca="false">G21-F21</f>
        <v>1</v>
      </c>
    </row>
    <row r="22" customFormat="false" ht="15" hidden="false" customHeight="false" outlineLevel="0" collapsed="false">
      <c r="A22" s="5" t="s">
        <v>40</v>
      </c>
      <c r="B22" s="6" t="n">
        <v>175411</v>
      </c>
      <c r="C22" s="6" t="n">
        <v>0</v>
      </c>
      <c r="D22" s="6" t="n">
        <f aca="false">C22-B22</f>
        <v>-175411</v>
      </c>
      <c r="E22" s="7" t="n">
        <f aca="false">IF(B22=0,IF(C22=0,0,"new"),C22/B22-1)</f>
        <v>-1</v>
      </c>
      <c r="F22" s="6" t="n">
        <v>3</v>
      </c>
      <c r="G22" s="6" t="n">
        <v>0</v>
      </c>
      <c r="H22" s="6" t="n">
        <f aca="false">G22-F22</f>
        <v>-3</v>
      </c>
    </row>
    <row r="23" customFormat="false" ht="15" hidden="false" customHeight="false" outlineLevel="0" collapsed="false">
      <c r="A23" s="5" t="s">
        <v>58</v>
      </c>
      <c r="B23" s="6" t="n">
        <v>167380</v>
      </c>
      <c r="C23" s="6" t="n">
        <v>0</v>
      </c>
      <c r="D23" s="6" t="n">
        <f aca="false">C23-B23</f>
        <v>-167380</v>
      </c>
      <c r="E23" s="7" t="n">
        <f aca="false">IF(B23=0,IF(C23=0,0,"new"),C23/B23-1)</f>
        <v>-1</v>
      </c>
      <c r="F23" s="6" t="n">
        <v>3</v>
      </c>
      <c r="G23" s="6" t="n">
        <v>0</v>
      </c>
      <c r="H23" s="6" t="n">
        <f aca="false">G23-F23</f>
        <v>-3</v>
      </c>
    </row>
    <row r="24" customFormat="false" ht="15" hidden="false" customHeight="false" outlineLevel="0" collapsed="false">
      <c r="A24" s="5" t="s">
        <v>59</v>
      </c>
      <c r="B24" s="6" t="n">
        <v>57055</v>
      </c>
      <c r="C24" s="6" t="n">
        <v>0</v>
      </c>
      <c r="D24" s="6" t="n">
        <f aca="false">C24-B24</f>
        <v>-57055</v>
      </c>
      <c r="E24" s="7" t="n">
        <f aca="false">IF(B24=0,IF(C24=0,0,"new"),C24/B24-1)</f>
        <v>-1</v>
      </c>
      <c r="F24" s="6" t="n">
        <v>1</v>
      </c>
      <c r="G24" s="6" t="n">
        <v>0</v>
      </c>
      <c r="H24" s="6" t="n">
        <f aca="false">G24-F24</f>
        <v>-1</v>
      </c>
    </row>
    <row r="25" customFormat="false" ht="15" hidden="false" customHeight="false" outlineLevel="0" collapsed="false">
      <c r="A25" s="5" t="s">
        <v>60</v>
      </c>
      <c r="B25" s="6" t="n">
        <v>54787</v>
      </c>
      <c r="C25" s="6" t="n">
        <v>0</v>
      </c>
      <c r="D25" s="6" t="n">
        <f aca="false">C25-B25</f>
        <v>-54787</v>
      </c>
      <c r="E25" s="7" t="n">
        <f aca="false">IF(B25=0,IF(C25=0,0,"new"),C25/B25-1)</f>
        <v>-1</v>
      </c>
      <c r="F25" s="6" t="n">
        <v>1</v>
      </c>
      <c r="G25" s="6" t="n">
        <v>0</v>
      </c>
      <c r="H25" s="6" t="n">
        <f aca="false">G25-F25</f>
        <v>-1</v>
      </c>
    </row>
    <row r="26" customFormat="false" ht="15" hidden="false" customHeight="false" outlineLevel="0" collapsed="false">
      <c r="A26" s="5" t="s">
        <v>67</v>
      </c>
      <c r="B26" s="6" t="n">
        <v>36798</v>
      </c>
      <c r="C26" s="6" t="n">
        <v>0</v>
      </c>
      <c r="D26" s="6" t="n">
        <f aca="false">C26-B26</f>
        <v>-36798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73</v>
      </c>
      <c r="B27" s="6" t="n">
        <v>35200</v>
      </c>
      <c r="C27" s="6" t="n">
        <v>0</v>
      </c>
      <c r="D27" s="6" t="n">
        <f aca="false">C27-B27</f>
        <v>-35200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74</v>
      </c>
      <c r="B28" s="6" t="n">
        <v>20109</v>
      </c>
      <c r="C28" s="6" t="n">
        <v>0</v>
      </c>
      <c r="D28" s="6" t="n">
        <f aca="false">C28-B28</f>
        <v>-20109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53</v>
      </c>
      <c r="B29" s="6" t="n">
        <v>122</v>
      </c>
      <c r="C29" s="6" t="n">
        <v>0</v>
      </c>
      <c r="D29" s="6" t="n">
        <f aca="false">C29-B29</f>
        <v>-122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9" t="s">
        <v>65</v>
      </c>
      <c r="B30" s="10" t="n">
        <f aca="false">SUM(B6:B29)</f>
        <v>1591342</v>
      </c>
      <c r="C30" s="10" t="n">
        <f aca="false">SUM(C6:C29)</f>
        <v>2068086</v>
      </c>
      <c r="D30" s="10" t="n">
        <f aca="false">C30-B30</f>
        <v>476744</v>
      </c>
      <c r="E30" s="11" t="n">
        <f aca="false">IF(B30=0,IF(C30=0,0,"new"),C30/B30-1)</f>
        <v>0.299586135475592</v>
      </c>
      <c r="F30" s="10" t="n">
        <f aca="false">SUM(F6:F29)</f>
        <v>503</v>
      </c>
      <c r="G30" s="10" t="n">
        <f aca="false">SUM(G6:G29)</f>
        <v>411</v>
      </c>
      <c r="H30" s="10" t="n">
        <f aca="false">G30-F30</f>
        <v>-92</v>
      </c>
    </row>
    <row r="31" customFormat="false" ht="15" hidden="false" customHeight="false" outlineLevel="0" collapsed="false">
      <c r="A31" s="4" t="s">
        <v>14</v>
      </c>
      <c r="B31" s="16" t="n">
        <f aca="false">SUMIF($A$6:$A$29,"CHINA",B6:B29)</f>
        <v>0</v>
      </c>
      <c r="C31" s="16" t="n">
        <f aca="false">SUMIF($A$6:$A$29,"CHINA",C6:C29)</f>
        <v>1333625</v>
      </c>
      <c r="D31" s="16" t="n">
        <f aca="false">C31-B31</f>
        <v>1333625</v>
      </c>
      <c r="E31" s="17" t="str">
        <f aca="false">IF(B31=0,IF(C31=0,0,"new"),C31/B31-1)</f>
        <v>new</v>
      </c>
      <c r="F31" s="16" t="n">
        <f aca="false">SUMIF($A$6:$A$29,"CHINA",F6:F29)</f>
        <v>0</v>
      </c>
      <c r="G31" s="16" t="n">
        <f aca="false">SUMIF($A$6:$A$29,"CHINA",G6:G29)</f>
        <v>20</v>
      </c>
      <c r="H31" s="16" t="n">
        <f aca="false">G31-F31</f>
        <v>20</v>
      </c>
    </row>
    <row r="32" customFormat="false" ht="15" hidden="false" customHeight="false" outlineLevel="0" collapsed="false">
      <c r="A32" s="4" t="s">
        <v>15</v>
      </c>
      <c r="B32" s="16" t="n">
        <f aca="false">B30-B31</f>
        <v>1591342</v>
      </c>
      <c r="C32" s="16" t="n">
        <f aca="false">C30-C31</f>
        <v>734461</v>
      </c>
      <c r="D32" s="16" t="n">
        <f aca="false">C32-B32</f>
        <v>-856881</v>
      </c>
      <c r="E32" s="17" t="n">
        <f aca="false">IF(B32=0,IF(C32=0,0,"new"),C32/B32-1)</f>
        <v>-0.538464390432729</v>
      </c>
      <c r="F32" s="16" t="n">
        <f aca="false">F30-F31</f>
        <v>503</v>
      </c>
      <c r="G32" s="16" t="n">
        <f aca="false">G30-G31</f>
        <v>391</v>
      </c>
      <c r="H32" s="16" t="n">
        <f aca="false">G32-F32</f>
        <v>-112</v>
      </c>
    </row>
  </sheetData>
  <mergeCells count="3">
    <mergeCell ref="A4:A5"/>
    <mergeCell ref="B4:E4"/>
    <mergeCell ref="F4:H4"/>
  </mergeCells>
  <conditionalFormatting sqref="D6:E32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2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4" t="s">
        <v>27</v>
      </c>
      <c r="B4" s="14" t="s">
        <v>28</v>
      </c>
      <c r="C4" s="14"/>
      <c r="D4" s="14"/>
      <c r="E4" s="14"/>
      <c r="F4" s="14" t="s">
        <v>29</v>
      </c>
      <c r="G4" s="14"/>
      <c r="H4" s="14"/>
    </row>
    <row r="5" customFormat="false" ht="15" hidden="false" customHeight="false" outlineLevel="0" collapsed="false">
      <c r="A5" s="14"/>
      <c r="B5" s="15" t="s">
        <v>30</v>
      </c>
      <c r="C5" s="15" t="s">
        <v>31</v>
      </c>
      <c r="D5" s="15" t="s">
        <v>6</v>
      </c>
      <c r="E5" s="15" t="s">
        <v>7</v>
      </c>
      <c r="F5" s="15" t="s">
        <v>30</v>
      </c>
      <c r="G5" s="15" t="s">
        <v>31</v>
      </c>
      <c r="H5" s="15" t="s">
        <v>32</v>
      </c>
    </row>
    <row r="6" customFormat="false" ht="15" hidden="false" customHeight="false" outlineLevel="0" collapsed="false">
      <c r="A6" s="5" t="s">
        <v>33</v>
      </c>
      <c r="B6" s="6" t="n">
        <v>0</v>
      </c>
      <c r="C6" s="6" t="n">
        <v>1651940</v>
      </c>
      <c r="D6" s="6" t="n">
        <f aca="false">C6-B6</f>
        <v>1651940</v>
      </c>
      <c r="E6" s="7" t="str">
        <f aca="false">IF(B6=0,IF(C6=0,0,"new"),C6/B6-1)</f>
        <v>new</v>
      </c>
      <c r="F6" s="6" t="n">
        <v>0</v>
      </c>
      <c r="G6" s="6" t="n">
        <v>25</v>
      </c>
      <c r="H6" s="6" t="n">
        <f aca="false">G6-F6</f>
        <v>25</v>
      </c>
    </row>
    <row r="7" customFormat="false" ht="15" hidden="false" customHeight="false" outlineLevel="0" collapsed="false">
      <c r="A7" s="5" t="s">
        <v>35</v>
      </c>
      <c r="B7" s="6" t="n">
        <v>166595</v>
      </c>
      <c r="C7" s="6" t="n">
        <v>264556</v>
      </c>
      <c r="D7" s="6" t="n">
        <f aca="false">C7-B7</f>
        <v>97961</v>
      </c>
      <c r="E7" s="7" t="n">
        <f aca="false">IF(B7=0,IF(C7=0,0,"new"),C7/B7-1)</f>
        <v>0.588018848104685</v>
      </c>
      <c r="F7" s="6" t="n">
        <v>15</v>
      </c>
      <c r="G7" s="6" t="n">
        <v>21</v>
      </c>
      <c r="H7" s="6" t="n">
        <f aca="false">G7-F7</f>
        <v>6</v>
      </c>
    </row>
    <row r="8" customFormat="false" ht="15" hidden="false" customHeight="false" outlineLevel="0" collapsed="false">
      <c r="A8" s="5" t="s">
        <v>34</v>
      </c>
      <c r="B8" s="6" t="n">
        <v>147560</v>
      </c>
      <c r="C8" s="6" t="n">
        <v>135046</v>
      </c>
      <c r="D8" s="6" t="n">
        <f aca="false">C8-B8</f>
        <v>-12514</v>
      </c>
      <c r="E8" s="7" t="n">
        <f aca="false">IF(B8=0,IF(C8=0,0,"new"),C8/B8-1)</f>
        <v>-0.0848061805367308</v>
      </c>
      <c r="F8" s="6" t="n">
        <v>3</v>
      </c>
      <c r="G8" s="6" t="n">
        <v>3</v>
      </c>
      <c r="H8" s="6" t="n">
        <f aca="false">G8-F8</f>
        <v>0</v>
      </c>
    </row>
    <row r="9" customFormat="false" ht="15" hidden="false" customHeight="false" outlineLevel="0" collapsed="false">
      <c r="A9" s="5" t="s">
        <v>39</v>
      </c>
      <c r="B9" s="6" t="n">
        <v>0</v>
      </c>
      <c r="C9" s="6" t="n">
        <v>96300</v>
      </c>
      <c r="D9" s="6" t="n">
        <f aca="false">C9-B9</f>
        <v>96300</v>
      </c>
      <c r="E9" s="7" t="str">
        <f aca="false">IF(B9=0,IF(C9=0,0,"new"),C9/B9-1)</f>
        <v>new</v>
      </c>
      <c r="F9" s="6" t="n">
        <v>0</v>
      </c>
      <c r="G9" s="6" t="n">
        <v>2</v>
      </c>
      <c r="H9" s="6" t="n">
        <f aca="false">G9-F9</f>
        <v>2</v>
      </c>
    </row>
    <row r="10" customFormat="false" ht="15" hidden="false" customHeight="false" outlineLevel="0" collapsed="false">
      <c r="A10" s="5" t="s">
        <v>43</v>
      </c>
      <c r="B10" s="6" t="n">
        <v>23187</v>
      </c>
      <c r="C10" s="6" t="n">
        <v>84591</v>
      </c>
      <c r="D10" s="6" t="n">
        <f aca="false">C10-B10</f>
        <v>61404</v>
      </c>
      <c r="E10" s="7" t="n">
        <f aca="false">IF(B10=0,IF(C10=0,0,"new"),C10/B10-1)</f>
        <v>2.64820804761289</v>
      </c>
      <c r="F10" s="6" t="n">
        <v>77</v>
      </c>
      <c r="G10" s="6" t="n">
        <v>95</v>
      </c>
      <c r="H10" s="6" t="n">
        <f aca="false">G10-F10</f>
        <v>18</v>
      </c>
    </row>
    <row r="11" customFormat="false" ht="15" hidden="false" customHeight="false" outlineLevel="0" collapsed="false">
      <c r="A11" s="5" t="s">
        <v>40</v>
      </c>
      <c r="B11" s="6" t="n">
        <v>57892</v>
      </c>
      <c r="C11" s="6" t="n">
        <v>59790</v>
      </c>
      <c r="D11" s="6" t="n">
        <f aca="false">C11-B11</f>
        <v>1898</v>
      </c>
      <c r="E11" s="7" t="n">
        <f aca="false">IF(B11=0,IF(C11=0,0,"new"),C11/B11-1)</f>
        <v>0.0327851862088027</v>
      </c>
      <c r="F11" s="6" t="n">
        <v>1</v>
      </c>
      <c r="G11" s="6" t="n">
        <v>1</v>
      </c>
      <c r="H11" s="6" t="n">
        <f aca="false">G11-F11</f>
        <v>0</v>
      </c>
    </row>
    <row r="12" customFormat="false" ht="15" hidden="false" customHeight="false" outlineLevel="0" collapsed="false">
      <c r="A12" s="5" t="s">
        <v>36</v>
      </c>
      <c r="B12" s="6" t="n">
        <v>42250</v>
      </c>
      <c r="C12" s="6" t="n">
        <v>50173</v>
      </c>
      <c r="D12" s="6" t="n">
        <f aca="false">C12-B12</f>
        <v>7923</v>
      </c>
      <c r="E12" s="7" t="n">
        <f aca="false">IF(B12=0,IF(C12=0,0,"new"),C12/B12-1)</f>
        <v>0.187526627218935</v>
      </c>
      <c r="F12" s="6" t="n">
        <v>4</v>
      </c>
      <c r="G12" s="6" t="n">
        <v>3</v>
      </c>
      <c r="H12" s="6" t="n">
        <f aca="false">G12-F12</f>
        <v>-1</v>
      </c>
    </row>
    <row r="13" customFormat="false" ht="15" hidden="false" customHeight="false" outlineLevel="0" collapsed="false">
      <c r="A13" s="5" t="s">
        <v>37</v>
      </c>
      <c r="B13" s="6" t="n">
        <v>127559</v>
      </c>
      <c r="C13" s="6" t="n">
        <v>43326</v>
      </c>
      <c r="D13" s="6" t="n">
        <f aca="false">C13-B13</f>
        <v>-84233</v>
      </c>
      <c r="E13" s="7" t="n">
        <f aca="false">IF(B13=0,IF(C13=0,0,"new"),C13/B13-1)</f>
        <v>-0.660345408791226</v>
      </c>
      <c r="F13" s="6" t="n">
        <v>2</v>
      </c>
      <c r="G13" s="6" t="n">
        <v>1</v>
      </c>
      <c r="H13" s="6" t="n">
        <f aca="false">G13-F13</f>
        <v>-1</v>
      </c>
    </row>
    <row r="14" customFormat="false" ht="15" hidden="false" customHeight="false" outlineLevel="0" collapsed="false">
      <c r="A14" s="5" t="s">
        <v>45</v>
      </c>
      <c r="B14" s="6" t="n">
        <v>101725</v>
      </c>
      <c r="C14" s="6" t="n">
        <v>28211</v>
      </c>
      <c r="D14" s="6" t="n">
        <f aca="false">C14-B14</f>
        <v>-73514</v>
      </c>
      <c r="E14" s="7" t="n">
        <f aca="false">IF(B14=0,IF(C14=0,0,"new"),C14/B14-1)</f>
        <v>-0.722673875645122</v>
      </c>
      <c r="F14" s="6" t="n">
        <v>101</v>
      </c>
      <c r="G14" s="6" t="n">
        <v>84</v>
      </c>
      <c r="H14" s="6" t="n">
        <f aca="false">G14-F14</f>
        <v>-17</v>
      </c>
    </row>
    <row r="15" customFormat="false" ht="15" hidden="false" customHeight="false" outlineLevel="0" collapsed="false">
      <c r="A15" s="5" t="s">
        <v>48</v>
      </c>
      <c r="B15" s="6" t="n">
        <v>0</v>
      </c>
      <c r="C15" s="6" t="n">
        <v>20913</v>
      </c>
      <c r="D15" s="6" t="n">
        <f aca="false">C15-B15</f>
        <v>20913</v>
      </c>
      <c r="E15" s="7" t="str">
        <f aca="false">IF(B15=0,IF(C15=0,0,"new"),C15/B15-1)</f>
        <v>new</v>
      </c>
      <c r="F15" s="6" t="n">
        <v>0</v>
      </c>
      <c r="G15" s="6" t="n">
        <v>1</v>
      </c>
      <c r="H15" s="6" t="n">
        <f aca="false">G15-F15</f>
        <v>1</v>
      </c>
    </row>
    <row r="16" customFormat="false" ht="15" hidden="false" customHeight="false" outlineLevel="0" collapsed="false">
      <c r="A16" s="5" t="s">
        <v>38</v>
      </c>
      <c r="B16" s="6" t="n">
        <v>53820</v>
      </c>
      <c r="C16" s="6" t="n">
        <v>17265</v>
      </c>
      <c r="D16" s="6" t="n">
        <f aca="false">C16-B16</f>
        <v>-36555</v>
      </c>
      <c r="E16" s="7" t="n">
        <f aca="false">IF(B16=0,IF(C16=0,0,"new"),C16/B16-1)</f>
        <v>-0.679208472686734</v>
      </c>
      <c r="F16" s="6" t="n">
        <v>158</v>
      </c>
      <c r="G16" s="6" t="n">
        <v>53</v>
      </c>
      <c r="H16" s="6" t="n">
        <f aca="false">G16-F16</f>
        <v>-105</v>
      </c>
    </row>
    <row r="17" customFormat="false" ht="15" hidden="false" customHeight="false" outlineLevel="0" collapsed="false">
      <c r="A17" s="5" t="s">
        <v>46</v>
      </c>
      <c r="B17" s="6" t="n">
        <v>10019</v>
      </c>
      <c r="C17" s="6" t="n">
        <v>9626</v>
      </c>
      <c r="D17" s="6" t="n">
        <f aca="false">C17-B17</f>
        <v>-393</v>
      </c>
      <c r="E17" s="7" t="n">
        <f aca="false">IF(B17=0,IF(C17=0,0,"new"),C17/B17-1)</f>
        <v>-0.0392254716039525</v>
      </c>
      <c r="F17" s="6" t="n">
        <v>25</v>
      </c>
      <c r="G17" s="6" t="n">
        <v>23</v>
      </c>
      <c r="H17" s="6" t="n">
        <f aca="false">G17-F17</f>
        <v>-2</v>
      </c>
    </row>
    <row r="18" customFormat="false" ht="15" hidden="false" customHeight="false" outlineLevel="0" collapsed="false">
      <c r="A18" s="5" t="s">
        <v>52</v>
      </c>
      <c r="B18" s="6" t="n">
        <v>9894</v>
      </c>
      <c r="C18" s="6" t="n">
        <v>5337</v>
      </c>
      <c r="D18" s="6" t="n">
        <f aca="false">C18-B18</f>
        <v>-4557</v>
      </c>
      <c r="E18" s="7" t="n">
        <f aca="false">IF(B18=0,IF(C18=0,0,"new"),C18/B18-1)</f>
        <v>-0.460582171012735</v>
      </c>
      <c r="F18" s="6" t="n">
        <v>27</v>
      </c>
      <c r="G18" s="6" t="n">
        <v>15</v>
      </c>
      <c r="H18" s="6" t="n">
        <f aca="false">G18-F18</f>
        <v>-12</v>
      </c>
    </row>
    <row r="19" customFormat="false" ht="15" hidden="false" customHeight="false" outlineLevel="0" collapsed="false">
      <c r="A19" s="5" t="s">
        <v>63</v>
      </c>
      <c r="B19" s="6" t="n">
        <v>7101</v>
      </c>
      <c r="C19" s="6" t="n">
        <v>4238</v>
      </c>
      <c r="D19" s="6" t="n">
        <f aca="false">C19-B19</f>
        <v>-2863</v>
      </c>
      <c r="E19" s="7" t="n">
        <f aca="false">IF(B19=0,IF(C19=0,0,"new"),C19/B19-1)</f>
        <v>-0.403182650330939</v>
      </c>
      <c r="F19" s="6" t="n">
        <v>18</v>
      </c>
      <c r="G19" s="6" t="n">
        <v>9</v>
      </c>
      <c r="H19" s="6" t="n">
        <f aca="false">G19-F19</f>
        <v>-9</v>
      </c>
    </row>
    <row r="20" customFormat="false" ht="15" hidden="false" customHeight="false" outlineLevel="0" collapsed="false">
      <c r="A20" s="5" t="s">
        <v>64</v>
      </c>
      <c r="B20" s="6" t="n">
        <v>0</v>
      </c>
      <c r="C20" s="6" t="n">
        <v>3500</v>
      </c>
      <c r="D20" s="6" t="n">
        <f aca="false">C20-B20</f>
        <v>3500</v>
      </c>
      <c r="E20" s="7" t="str">
        <f aca="false">IF(B20=0,IF(C20=0,0,"new"),C20/B20-1)</f>
        <v>new</v>
      </c>
      <c r="F20" s="6" t="n">
        <v>0</v>
      </c>
      <c r="G20" s="6" t="n">
        <v>1</v>
      </c>
      <c r="H20" s="6" t="n">
        <f aca="false">G20-F20</f>
        <v>1</v>
      </c>
    </row>
    <row r="21" customFormat="false" ht="15" hidden="false" customHeight="false" outlineLevel="0" collapsed="false">
      <c r="A21" s="5" t="s">
        <v>50</v>
      </c>
      <c r="B21" s="6" t="n">
        <v>2838</v>
      </c>
      <c r="C21" s="6" t="n">
        <v>1298</v>
      </c>
      <c r="D21" s="6" t="n">
        <f aca="false">C21-B21</f>
        <v>-1540</v>
      </c>
      <c r="E21" s="7" t="n">
        <f aca="false">IF(B21=0,IF(C21=0,0,"new"),C21/B21-1)</f>
        <v>-0.542635658914729</v>
      </c>
      <c r="F21" s="6" t="n">
        <v>11</v>
      </c>
      <c r="G21" s="6" t="n">
        <v>4</v>
      </c>
      <c r="H21" s="6" t="n">
        <f aca="false">G21-F21</f>
        <v>-7</v>
      </c>
    </row>
    <row r="22" customFormat="false" ht="15" hidden="false" customHeight="false" outlineLevel="0" collapsed="false">
      <c r="A22" s="5" t="s">
        <v>53</v>
      </c>
      <c r="B22" s="6" t="n">
        <v>60006</v>
      </c>
      <c r="C22" s="6" t="n">
        <v>196</v>
      </c>
      <c r="D22" s="6" t="n">
        <f aca="false">C22-B22</f>
        <v>-59810</v>
      </c>
      <c r="E22" s="7" t="n">
        <f aca="false">IF(B22=0,IF(C22=0,0,"new"),C22/B22-1)</f>
        <v>-0.996733659967337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71</v>
      </c>
      <c r="B23" s="6" t="n">
        <v>0</v>
      </c>
      <c r="C23" s="6" t="n">
        <v>147</v>
      </c>
      <c r="D23" s="6" t="n">
        <f aca="false">C23-B23</f>
        <v>147</v>
      </c>
      <c r="E23" s="7" t="str">
        <f aca="false">IF(B23=0,IF(C23=0,0,"new"),C23/B23-1)</f>
        <v>new</v>
      </c>
      <c r="F23" s="6" t="n">
        <v>0</v>
      </c>
      <c r="G23" s="6" t="n">
        <v>1</v>
      </c>
      <c r="H23" s="6" t="n">
        <f aca="false">G23-F23</f>
        <v>1</v>
      </c>
    </row>
    <row r="24" customFormat="false" ht="15" hidden="false" customHeight="false" outlineLevel="0" collapsed="false">
      <c r="A24" s="5" t="s">
        <v>58</v>
      </c>
      <c r="B24" s="6" t="n">
        <v>125506</v>
      </c>
      <c r="C24" s="6" t="n">
        <v>0</v>
      </c>
      <c r="D24" s="6" t="n">
        <f aca="false">C24-B24</f>
        <v>-125506</v>
      </c>
      <c r="E24" s="7" t="n">
        <f aca="false">IF(B24=0,IF(C24=0,0,"new"),C24/B24-1)</f>
        <v>-1</v>
      </c>
      <c r="F24" s="6" t="n">
        <v>2</v>
      </c>
      <c r="G24" s="6" t="n">
        <v>0</v>
      </c>
      <c r="H24" s="6" t="n">
        <f aca="false">G24-F24</f>
        <v>-2</v>
      </c>
    </row>
    <row r="25" customFormat="false" ht="15" hidden="false" customHeight="false" outlineLevel="0" collapsed="false">
      <c r="A25" s="5" t="s">
        <v>42</v>
      </c>
      <c r="B25" s="6" t="n">
        <v>122946</v>
      </c>
      <c r="C25" s="6" t="n">
        <v>0</v>
      </c>
      <c r="D25" s="6" t="n">
        <f aca="false">C25-B25</f>
        <v>-122946</v>
      </c>
      <c r="E25" s="7" t="n">
        <f aca="false">IF(B25=0,IF(C25=0,0,"new"),C25/B25-1)</f>
        <v>-1</v>
      </c>
      <c r="F25" s="6" t="n">
        <v>2</v>
      </c>
      <c r="G25" s="6" t="n">
        <v>0</v>
      </c>
      <c r="H25" s="6" t="n">
        <f aca="false">G25-F25</f>
        <v>-2</v>
      </c>
    </row>
    <row r="26" customFormat="false" ht="15" hidden="false" customHeight="false" outlineLevel="0" collapsed="false">
      <c r="A26" s="5" t="s">
        <v>61</v>
      </c>
      <c r="B26" s="6" t="n">
        <v>30646</v>
      </c>
      <c r="C26" s="6" t="n">
        <v>0</v>
      </c>
      <c r="D26" s="6" t="n">
        <f aca="false">C26-B26</f>
        <v>-30646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76</v>
      </c>
      <c r="B27" s="6" t="n">
        <v>30590</v>
      </c>
      <c r="C27" s="6" t="n">
        <v>0</v>
      </c>
      <c r="D27" s="6" t="n">
        <f aca="false">C27-B27</f>
        <v>-30590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74</v>
      </c>
      <c r="B28" s="6" t="n">
        <v>29604</v>
      </c>
      <c r="C28" s="6" t="n">
        <v>0</v>
      </c>
      <c r="D28" s="6" t="n">
        <f aca="false">C28-B28</f>
        <v>-29604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44</v>
      </c>
      <c r="B29" s="6" t="n">
        <v>11000</v>
      </c>
      <c r="C29" s="6" t="n">
        <v>0</v>
      </c>
      <c r="D29" s="6" t="n">
        <f aca="false">C29-B29</f>
        <v>-11000</v>
      </c>
      <c r="E29" s="7" t="n">
        <f aca="false">IF(B29=0,IF(C29=0,0,"new"),C29/B29-1)</f>
        <v>-1</v>
      </c>
      <c r="F29" s="6" t="n">
        <v>2</v>
      </c>
      <c r="G29" s="6" t="n">
        <v>0</v>
      </c>
      <c r="H29" s="6" t="n">
        <f aca="false">G29-F29</f>
        <v>-2</v>
      </c>
    </row>
    <row r="30" customFormat="false" ht="15" hidden="false" customHeight="false" outlineLevel="0" collapsed="false">
      <c r="A30" s="5" t="s">
        <v>54</v>
      </c>
      <c r="B30" s="6" t="n">
        <v>367</v>
      </c>
      <c r="C30" s="6" t="n">
        <v>0</v>
      </c>
      <c r="D30" s="6" t="n">
        <f aca="false">C30-B30</f>
        <v>-367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9" t="s">
        <v>65</v>
      </c>
      <c r="B31" s="10" t="n">
        <f aca="false">SUM(B6:B30)</f>
        <v>1161105</v>
      </c>
      <c r="C31" s="10" t="n">
        <f aca="false">SUM(C6:C30)</f>
        <v>2476453</v>
      </c>
      <c r="D31" s="10" t="n">
        <f aca="false">C31-B31</f>
        <v>1315348</v>
      </c>
      <c r="E31" s="11" t="n">
        <f aca="false">IF(B31=0,IF(C31=0,0,"new"),C31/B31-1)</f>
        <v>1.13284156041013</v>
      </c>
      <c r="F31" s="10" t="n">
        <f aca="false">SUM(F6:F30)</f>
        <v>454</v>
      </c>
      <c r="G31" s="10" t="n">
        <f aca="false">SUM(G6:G30)</f>
        <v>343</v>
      </c>
      <c r="H31" s="10" t="n">
        <f aca="false">G31-F31</f>
        <v>-111</v>
      </c>
    </row>
    <row r="32" customFormat="false" ht="15" hidden="false" customHeight="false" outlineLevel="0" collapsed="false">
      <c r="A32" s="4" t="s">
        <v>14</v>
      </c>
      <c r="B32" s="16" t="n">
        <f aca="false">SUMIF($A$6:$A$30,"CHINA",B6:B30)</f>
        <v>0</v>
      </c>
      <c r="C32" s="16" t="n">
        <f aca="false">SUMIF($A$6:$A$30,"CHINA",C6:C30)</f>
        <v>1651940</v>
      </c>
      <c r="D32" s="16" t="n">
        <f aca="false">C32-B32</f>
        <v>1651940</v>
      </c>
      <c r="E32" s="17" t="str">
        <f aca="false">IF(B32=0,IF(C32=0,0,"new"),C32/B32-1)</f>
        <v>new</v>
      </c>
      <c r="F32" s="16" t="n">
        <f aca="false">SUMIF($A$6:$A$30,"CHINA",F6:F30)</f>
        <v>0</v>
      </c>
      <c r="G32" s="16" t="n">
        <f aca="false">SUMIF($A$6:$A$30,"CHINA",G6:G30)</f>
        <v>25</v>
      </c>
      <c r="H32" s="16" t="n">
        <f aca="false">G32-F32</f>
        <v>25</v>
      </c>
    </row>
    <row r="33" customFormat="false" ht="15" hidden="false" customHeight="false" outlineLevel="0" collapsed="false">
      <c r="A33" s="4" t="s">
        <v>15</v>
      </c>
      <c r="B33" s="16" t="n">
        <f aca="false">B31-B32</f>
        <v>1161105</v>
      </c>
      <c r="C33" s="16" t="n">
        <f aca="false">C31-C32</f>
        <v>824513</v>
      </c>
      <c r="D33" s="16" t="n">
        <f aca="false">C33-B33</f>
        <v>-336592</v>
      </c>
      <c r="E33" s="17" t="n">
        <f aca="false">IF(B33=0,IF(C33=0,0,"new"),C33/B33-1)</f>
        <v>-0.289889372623492</v>
      </c>
      <c r="F33" s="16" t="n">
        <f aca="false">F31-F32</f>
        <v>454</v>
      </c>
      <c r="G33" s="16" t="n">
        <f aca="false">G31-G32</f>
        <v>318</v>
      </c>
      <c r="H33" s="16" t="n">
        <f aca="false">G33-F33</f>
        <v>-136</v>
      </c>
    </row>
  </sheetData>
  <mergeCells count="3">
    <mergeCell ref="A4:A5"/>
    <mergeCell ref="B4:E4"/>
    <mergeCell ref="F4:H4"/>
  </mergeCells>
  <conditionalFormatting sqref="D6:E33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3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2026-10-26T15:50:35Z</dcterms:created>
  <dc:creator>openpyxl</dc:creator>
  <dc:description/>
  <dc:language>en-US</dc:language>
  <cp:lastModifiedBy/>
  <dcterms:modified xsi:type="dcterms:W3CDTF">2026-10-26T15:50:35Z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