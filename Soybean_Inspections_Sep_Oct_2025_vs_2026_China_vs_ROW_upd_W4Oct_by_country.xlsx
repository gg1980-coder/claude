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China vs RoW" sheetId="1" state="visible" r:id="rId3"/>
    <sheet name="Country by Country" sheetId="2" state="visible" r:id="rId4"/>
    <sheet name="September" sheetId="3" state="visible" r:id="rId5"/>
    <sheet name="Week 1 October" sheetId="4" state="visible" r:id="rId6"/>
    <sheet name="Week 2 October" sheetId="5" state="visible" r:id="rId7"/>
    <sheet name="Week 3 October" sheetId="6" state="visible" r:id="rId8"/>
    <sheet name="Week 4 Octob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<sst xmlns="http://schemas.openxmlformats.org/spreadsheetml/2006/main" count="371" uniqueCount="96">
  <si>
    <t xml:space="preserve">US Soybean Export Inspections — China vs Rest of World (weekly-report basis)</t>
  </si>
  <si>
    <t xml:space="preserve">All figures link to the period tabs. Soybean meal is not covered: FGIS inspection data include grains/oilseeds only.</t>
  </si>
  <si>
    <t xml:space="preserve">Period</t>
  </si>
  <si>
    <t xml:space="preserve">Group</t>
  </si>
  <si>
    <t xml:space="preserve">MT 2025</t>
  </si>
  <si>
    <t xml:space="preserve">MT 2026</t>
  </si>
  <si>
    <t xml:space="preserve">Δ MT</t>
  </si>
  <si>
    <t xml:space="preserve">Δ %</t>
  </si>
  <si>
    <t xml:space="preserve"># Insp 2025</t>
  </si>
  <si>
    <t xml:space="preserve"># Insp 2026</t>
  </si>
  <si>
    <t xml:space="preserve">Δ Insp</t>
  </si>
  <si>
    <t xml:space="preserve">Share of MT 2025</t>
  </si>
  <si>
    <t xml:space="preserve">Share of MT 2026</t>
  </si>
  <si>
    <t xml:space="preserve">September</t>
  </si>
  <si>
    <t xml:space="preserve">China</t>
  </si>
  <si>
    <t xml:space="preserve">Rest of World excl. China</t>
  </si>
  <si>
    <t xml:space="preserve">Total</t>
  </si>
  <si>
    <t xml:space="preserve">Week 1 October</t>
  </si>
  <si>
    <t xml:space="preserve">Week 2 October</t>
  </si>
  <si>
    <t xml:space="preserve">Week 3 October</t>
  </si>
  <si>
    <t xml:space="preserve">Week 4 October</t>
  </si>
  <si>
    <t xml:space="preserve">Sept + Oct (Wk 1–4)</t>
  </si>
  <si>
    <t xml:space="preserve">Revision note (CY2026 file, wk ending 22 Oct 2026 vs previous version of this workbook):</t>
  </si>
  <si>
    <t xml:space="preserve">Week 2 Oct 2026: 1,109,385 MT / 226 insp. previously → now 1,112,594 MT / 233 insp. (+3,209 MT, all RoW). Week 3 Oct 2026: 2,001,750 MT / 364 insp. previously → now 2,068,086 MT / 411 insp. (+66,336 MT: China +52,036 / 1 cargo, RoW +14,300). Sep and Week 1 Oct unchanged; 2025 unchanged.</t>
  </si>
  <si>
    <t xml:space="preserve">Earlier revisions: 19 Oct update Week 2 Oct +12,830 MT; 13 Oct update Sep +759 MT, Week 1 Oct +61,014 MT.</t>
  </si>
  <si>
    <t xml:space="preserve">US Soybean Export Inspections by Destination — season to date (Sep + Oct wk 1–4), 2025 vs 2026</t>
  </si>
  <si>
    <t xml:space="preserve">Period columns link to the period tabs (SUMIF on destination). Sorted: China first, then by season-to-date Δ MT (largest loss first). Region grouping is an analyst assumption. Bulk buyers take 1–3 vessels/season: read single-week country changes as lumpy, not trend.</t>
  </si>
  <si>
    <t xml:space="preserve">Destination</t>
  </si>
  <si>
    <t xml:space="preserve">Region</t>
  </si>
  <si>
    <t xml:space="preserve">Sep (MT)</t>
  </si>
  <si>
    <t xml:space="preserve">W1 Oct (MT)</t>
  </si>
  <si>
    <t xml:space="preserve">W2 Oct (MT)</t>
  </si>
  <si>
    <t xml:space="preserve">W3 Oct (MT)</t>
  </si>
  <si>
    <t xml:space="preserve">W4 Oct (MT)</t>
  </si>
  <si>
    <t xml:space="preserve">Season to date</t>
  </si>
  <si>
    <t xml:space="preserve">2025</t>
  </si>
  <si>
    <t xml:space="preserve">2026</t>
  </si>
  <si>
    <t xml:space="preserve">Share of RoW Δ</t>
  </si>
  <si>
    <t xml:space="preserve">CHINA</t>
  </si>
  <si>
    <t xml:space="preserve">PAKISTAN</t>
  </si>
  <si>
    <t xml:space="preserve">South Asia</t>
  </si>
  <si>
    <t xml:space="preserve">MEXICO</t>
  </si>
  <si>
    <t xml:space="preserve">Americas</t>
  </si>
  <si>
    <t xml:space="preserve">EGYPT</t>
  </si>
  <si>
    <t xml:space="preserve">Middle East &amp; N. Africa</t>
  </si>
  <si>
    <t xml:space="preserve">SPAIN</t>
  </si>
  <si>
    <t xml:space="preserve">Europe</t>
  </si>
  <si>
    <t xml:space="preserve">BANGLADESH</t>
  </si>
  <si>
    <t xml:space="preserve">TAIWAN</t>
  </si>
  <si>
    <t xml:space="preserve">East Asia ex-China</t>
  </si>
  <si>
    <t xml:space="preserve">ITALY</t>
  </si>
  <si>
    <t xml:space="preserve">GERMANY</t>
  </si>
  <si>
    <t xml:space="preserve">INDONESIA</t>
  </si>
  <si>
    <t xml:space="preserve">Southeast Asia</t>
  </si>
  <si>
    <t xml:space="preserve">TURKEY</t>
  </si>
  <si>
    <t xml:space="preserve">KOREA REP</t>
  </si>
  <si>
    <t xml:space="preserve">IRAQ</t>
  </si>
  <si>
    <t xml:space="preserve">THAILAND</t>
  </si>
  <si>
    <t xml:space="preserve">NETHERLANDS</t>
  </si>
  <si>
    <t xml:space="preserve">UN KINGDOM</t>
  </si>
  <si>
    <t xml:space="preserve">TUNISIA</t>
  </si>
  <si>
    <t xml:space="preserve">GREECE</t>
  </si>
  <si>
    <t xml:space="preserve">PERU</t>
  </si>
  <si>
    <t xml:space="preserve">ISRAEL</t>
  </si>
  <si>
    <t xml:space="preserve">MALAYSIA</t>
  </si>
  <si>
    <t xml:space="preserve">COSTA RICA</t>
  </si>
  <si>
    <t xml:space="preserve">COLOMBIA</t>
  </si>
  <si>
    <t xml:space="preserve">VENEZUELA</t>
  </si>
  <si>
    <t xml:space="preserve">NEPAL</t>
  </si>
  <si>
    <t xml:space="preserve">PHILIPPINES</t>
  </si>
  <si>
    <t xml:space="preserve">DOMINICN REP</t>
  </si>
  <si>
    <t xml:space="preserve">CAMBODIA</t>
  </si>
  <si>
    <t xml:space="preserve">PORTUGAL</t>
  </si>
  <si>
    <t xml:space="preserve">SRI LANKA</t>
  </si>
  <si>
    <t xml:space="preserve">SENEGAL</t>
  </si>
  <si>
    <t xml:space="preserve">Sub-Saharan Africa</t>
  </si>
  <si>
    <t xml:space="preserve">SINGAPORE</t>
  </si>
  <si>
    <t xml:space="preserve">GRENADA</t>
  </si>
  <si>
    <t xml:space="preserve">PANAMA</t>
  </si>
  <si>
    <t xml:space="preserve">CANADA</t>
  </si>
  <si>
    <t xml:space="preserve">JAPAN</t>
  </si>
  <si>
    <t xml:space="preserve">SAUDI ARABIA</t>
  </si>
  <si>
    <t xml:space="preserve">VIETNAM</t>
  </si>
  <si>
    <t xml:space="preserve">ALGERIA</t>
  </si>
  <si>
    <t xml:space="preserve">TOTAL</t>
  </si>
  <si>
    <t xml:space="preserve">By region (season to date)</t>
  </si>
  <si>
    <t xml:space="preserve"># countries</t>
  </si>
  <si>
    <t xml:space="preserve">US Soybean Export Inspections — weeks ending Thu 4/11/18/25 Sep 2025 vs Thu 3/10/17/24 Sep 2026 (weekly-report basis)</t>
  </si>
  <si>
    <t xml:space="preserve">Source: USDA AMS/FGIS export grain inspections, CY2025 and CY2026 files (Grain = SOYBEANS, grouped by "Thursday" week-ending date). CY2026 data as of file dated wk ending 22 Oct 2026, incl. revisions.</t>
  </si>
  <si>
    <t xml:space="preserve">Metric tons</t>
  </si>
  <si>
    <t xml:space="preserve">Number of inspections</t>
  </si>
  <si>
    <t xml:space="preserve">Δ</t>
  </si>
  <si>
    <t xml:space="preserve">US Soybean Export Inspections — week ending Thu 2 Oct 2025 (26 Sep–2 Oct) vs week ending Thu 1 Oct 2026 (25 Sep–1 Oct) (weekly-report basis)</t>
  </si>
  <si>
    <t xml:space="preserve">US Soybean Export Inspections — week ending Thu 9 Oct 2025 (3–9 Oct) vs week ending Thu 8 Oct 2026 (2–8 Oct) (weekly-report basis)</t>
  </si>
  <si>
    <t xml:space="preserve">US Soybean Export Inspections — week ending Thu 16 Oct 2025 (10–16 Oct) vs week ending Thu 15 Oct 2026 (9–15 Oct) (weekly-report basis)</t>
  </si>
  <si>
    <t xml:space="preserve">US Soybean Export Inspections — week ending Thu 23 Oct 2025 (17–23 Oct) vs week ending Thu 22 Oct 2026 (16–22 Oct) (weekly-report basis)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</si>
</sst>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0.0%;\-0.0%;0.0%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7A33"/>
      </font>
    </dxf>
    <dxf>
      <font>
        <name val="Calibri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11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f aca="false">September!B39</f>
        <v>0</v>
      </c>
      <c r="D5" s="6" t="n">
        <f aca="false">September!C39</f>
        <v>1581810</v>
      </c>
      <c r="E5" s="6" t="n">
        <f aca="false">D5-C5</f>
        <v>1581810</v>
      </c>
      <c r="F5" s="7" t="str">
        <f aca="false">IF(C5=0,IF(D5=0,0,"new"),D5/C5-1)</f>
        <v>new</v>
      </c>
      <c r="G5" s="6" t="n">
        <f aca="false">September!F39</f>
        <v>0</v>
      </c>
      <c r="H5" s="6" t="n">
        <f aca="false">September!G39</f>
        <v>24</v>
      </c>
      <c r="I5" s="6" t="n">
        <f aca="false">H5-G5</f>
        <v>24</v>
      </c>
      <c r="J5" s="8" t="n">
        <f aca="false">IF(C$7=0,0,C5/C$7)</f>
        <v>0</v>
      </c>
      <c r="K5" s="8" t="n">
        <f aca="false">IF(D$7=0,0,D5/D$7)</f>
        <v>0.514993582969181</v>
      </c>
    </row>
    <row r="6" customFormat="false" ht="15" hidden="false" customHeight="false" outlineLevel="0" collapsed="false">
      <c r="A6" s="4"/>
      <c r="B6" s="5" t="s">
        <v>15</v>
      </c>
      <c r="C6" s="6" t="n">
        <f aca="false">September!B40</f>
        <v>2466553</v>
      </c>
      <c r="D6" s="6" t="n">
        <f aca="false">September!C40</f>
        <v>1489704</v>
      </c>
      <c r="E6" s="6" t="n">
        <f aca="false">D6-C6</f>
        <v>-976849</v>
      </c>
      <c r="F6" s="7" t="n">
        <f aca="false">IF(C6=0,IF(D6=0,0,"new"),D6/C6-1)</f>
        <v>-0.396038114729341</v>
      </c>
      <c r="G6" s="6" t="n">
        <f aca="false">September!F40</f>
        <v>892</v>
      </c>
      <c r="H6" s="6" t="n">
        <f aca="false">September!G40</f>
        <v>697</v>
      </c>
      <c r="I6" s="6" t="n">
        <f aca="false">H6-G6</f>
        <v>-195</v>
      </c>
      <c r="J6" s="8" t="n">
        <f aca="false">IF(C$7=0,0,C6/C$7)</f>
        <v>1</v>
      </c>
      <c r="K6" s="8" t="n">
        <f aca="false">IF(D$7=0,0,D6/D$7)</f>
        <v>0.485006417030819</v>
      </c>
    </row>
    <row r="7" customFormat="false" ht="15" hidden="false" customHeight="false" outlineLevel="0" collapsed="false">
      <c r="A7" s="4"/>
      <c r="B7" s="9" t="s">
        <v>16</v>
      </c>
      <c r="C7" s="10" t="n">
        <f aca="false">September!B38</f>
        <v>2466553</v>
      </c>
      <c r="D7" s="10" t="n">
        <f aca="false">September!C38</f>
        <v>3071514</v>
      </c>
      <c r="E7" s="10" t="n">
        <f aca="false">D7-C7</f>
        <v>604961</v>
      </c>
      <c r="F7" s="11" t="n">
        <f aca="false">IF(C7=0,IF(D7=0,0,"new"),D7/C7-1)</f>
        <v>0.245265761570905</v>
      </c>
      <c r="G7" s="10" t="n">
        <f aca="false">September!F38</f>
        <v>892</v>
      </c>
      <c r="H7" s="10" t="n">
        <f aca="false">September!G38</f>
        <v>721</v>
      </c>
      <c r="I7" s="10" t="n">
        <f aca="false">H7-G7</f>
        <v>-171</v>
      </c>
      <c r="J7" s="12" t="n">
        <f aca="false">IF(C$7=0,0,C7/C$7)</f>
        <v>1</v>
      </c>
      <c r="K7" s="12" t="n">
        <f aca="false">IF(D$7=0,0,D7/D$7)</f>
        <v>1</v>
      </c>
    </row>
    <row r="8" customFormat="false" ht="15" hidden="false" customHeight="false" outlineLevel="0" collapsed="false">
      <c r="A8" s="4" t="s">
        <v>17</v>
      </c>
      <c r="B8" s="5" t="s">
        <v>14</v>
      </c>
      <c r="C8" s="6" t="n">
        <f aca="false">'Week 1 October'!B31</f>
        <v>0</v>
      </c>
      <c r="D8" s="6" t="n">
        <f aca="false">'Week 1 October'!C31</f>
        <v>756492</v>
      </c>
      <c r="E8" s="6" t="n">
        <f aca="false">D8-C8</f>
        <v>756492</v>
      </c>
      <c r="F8" s="7" t="str">
        <f aca="false">IF(C8=0,IF(D8=0,0,"new"),D8/C8-1)</f>
        <v>new</v>
      </c>
      <c r="G8" s="6" t="n">
        <f aca="false">'Week 1 October'!F31</f>
        <v>0</v>
      </c>
      <c r="H8" s="6" t="n">
        <f aca="false">'Week 1 October'!G31</f>
        <v>12</v>
      </c>
      <c r="I8" s="6" t="n">
        <f aca="false">H8-G8</f>
        <v>12</v>
      </c>
      <c r="J8" s="8" t="n">
        <f aca="false">IF(C$10=0,0,C8/C$10)</f>
        <v>0</v>
      </c>
      <c r="K8" s="8" t="n">
        <f aca="false">IF(D$10=0,0,D8/D$10)</f>
        <v>0.630709587053851</v>
      </c>
    </row>
    <row r="9" customFormat="false" ht="15" hidden="false" customHeight="false" outlineLevel="0" collapsed="false">
      <c r="A9" s="4"/>
      <c r="B9" s="5" t="s">
        <v>15</v>
      </c>
      <c r="C9" s="6" t="n">
        <f aca="false">'Week 1 October'!B32</f>
        <v>783495</v>
      </c>
      <c r="D9" s="6" t="n">
        <f aca="false">'Week 1 October'!C32</f>
        <v>442938</v>
      </c>
      <c r="E9" s="6" t="n">
        <f aca="false">D9-C9</f>
        <v>-340557</v>
      </c>
      <c r="F9" s="7" t="n">
        <f aca="false">IF(C9=0,IF(D9=0,0,"new"),D9/C9-1)</f>
        <v>-0.434663909788831</v>
      </c>
      <c r="G9" s="6" t="n">
        <f aca="false">'Week 1 October'!F32</f>
        <v>313</v>
      </c>
      <c r="H9" s="6" t="n">
        <f aca="false">'Week 1 October'!G32</f>
        <v>130</v>
      </c>
      <c r="I9" s="6" t="n">
        <f aca="false">H9-G9</f>
        <v>-183</v>
      </c>
      <c r="J9" s="8" t="n">
        <f aca="false">IF(C$10=0,0,C9/C$10)</f>
        <v>1</v>
      </c>
      <c r="K9" s="8" t="n">
        <f aca="false">IF(D$10=0,0,D9/D$10)</f>
        <v>0.369290412946149</v>
      </c>
    </row>
    <row r="10" customFormat="false" ht="15" hidden="false" customHeight="false" outlineLevel="0" collapsed="false">
      <c r="A10" s="4"/>
      <c r="B10" s="9" t="s">
        <v>16</v>
      </c>
      <c r="C10" s="10" t="n">
        <f aca="false">'Week 1 October'!B30</f>
        <v>783495</v>
      </c>
      <c r="D10" s="10" t="n">
        <f aca="false">'Week 1 October'!C30</f>
        <v>1199430</v>
      </c>
      <c r="E10" s="10" t="n">
        <f aca="false">D10-C10</f>
        <v>415935</v>
      </c>
      <c r="F10" s="11" t="n">
        <f aca="false">IF(C10=0,IF(D10=0,0,"new"),D10/C10-1)</f>
        <v>0.530871288266039</v>
      </c>
      <c r="G10" s="10" t="n">
        <f aca="false">'Week 1 October'!F30</f>
        <v>313</v>
      </c>
      <c r="H10" s="10" t="n">
        <f aca="false">'Week 1 October'!G30</f>
        <v>142</v>
      </c>
      <c r="I10" s="10" t="n">
        <f aca="false">H10-G10</f>
        <v>-171</v>
      </c>
      <c r="J10" s="12" t="n">
        <f aca="false">IF(C$10=0,0,C10/C$10)</f>
        <v>1</v>
      </c>
      <c r="K10" s="12" t="n">
        <f aca="false">IF(D$10=0,0,D10/D$10)</f>
        <v>1</v>
      </c>
    </row>
    <row r="11" customFormat="false" ht="15" hidden="false" customHeight="false" outlineLevel="0" collapsed="false">
      <c r="A11" s="4" t="s">
        <v>18</v>
      </c>
      <c r="B11" s="5" t="s">
        <v>14</v>
      </c>
      <c r="C11" s="6" t="n">
        <f aca="false">'Week 2 October'!B32</f>
        <v>0</v>
      </c>
      <c r="D11" s="6" t="n">
        <f aca="false">'Week 2 October'!C32</f>
        <v>649252</v>
      </c>
      <c r="E11" s="6" t="n">
        <f aca="false">D11-C11</f>
        <v>649252</v>
      </c>
      <c r="F11" s="7" t="str">
        <f aca="false">IF(C11=0,IF(D11=0,0,"new"),D11/C11-1)</f>
        <v>new</v>
      </c>
      <c r="G11" s="6" t="n">
        <f aca="false">'Week 2 October'!F32</f>
        <v>0</v>
      </c>
      <c r="H11" s="6" t="n">
        <f aca="false">'Week 2 October'!G32</f>
        <v>10</v>
      </c>
      <c r="I11" s="6" t="n">
        <f aca="false">H11-G11</f>
        <v>10</v>
      </c>
      <c r="J11" s="8" t="n">
        <f aca="false">IF(C$13=0,0,C11/C$13)</f>
        <v>0</v>
      </c>
      <c r="K11" s="8" t="n">
        <f aca="false">IF(D$13=0,0,D11/D$13)</f>
        <v>0.583547996843413</v>
      </c>
    </row>
    <row r="12" customFormat="false" ht="15" hidden="false" customHeight="false" outlineLevel="0" collapsed="false">
      <c r="A12" s="4"/>
      <c r="B12" s="5" t="s">
        <v>15</v>
      </c>
      <c r="C12" s="6" t="n">
        <f aca="false">'Week 2 October'!B33</f>
        <v>1017196</v>
      </c>
      <c r="D12" s="6" t="n">
        <f aca="false">'Week 2 October'!C33</f>
        <v>463342</v>
      </c>
      <c r="E12" s="6" t="n">
        <f aca="false">D12-C12</f>
        <v>-553854</v>
      </c>
      <c r="F12" s="7" t="n">
        <f aca="false">IF(C12=0,IF(D12=0,0,"new"),D12/C12-1)</f>
        <v>-0.544490933900645</v>
      </c>
      <c r="G12" s="6" t="n">
        <f aca="false">'Week 2 October'!F33</f>
        <v>411</v>
      </c>
      <c r="H12" s="6" t="n">
        <f aca="false">'Week 2 October'!G33</f>
        <v>223</v>
      </c>
      <c r="I12" s="6" t="n">
        <f aca="false">H12-G12</f>
        <v>-188</v>
      </c>
      <c r="J12" s="8" t="n">
        <f aca="false">IF(C$13=0,0,C12/C$13)</f>
        <v>1</v>
      </c>
      <c r="K12" s="8" t="n">
        <f aca="false">IF(D$13=0,0,D12/D$13)</f>
        <v>0.416452003156587</v>
      </c>
    </row>
    <row r="13" customFormat="false" ht="15" hidden="false" customHeight="false" outlineLevel="0" collapsed="false">
      <c r="A13" s="4"/>
      <c r="B13" s="9" t="s">
        <v>16</v>
      </c>
      <c r="C13" s="10" t="n">
        <f aca="false">'Week 2 October'!B31</f>
        <v>1017196</v>
      </c>
      <c r="D13" s="10" t="n">
        <f aca="false">'Week 2 October'!C31</f>
        <v>1112594</v>
      </c>
      <c r="E13" s="10" t="n">
        <f aca="false">D13-C13</f>
        <v>95398</v>
      </c>
      <c r="F13" s="11" t="n">
        <f aca="false">IF(C13=0,IF(D13=0,0,"new"),D13/C13-1)</f>
        <v>0.0937852685224874</v>
      </c>
      <c r="G13" s="10" t="n">
        <f aca="false">'Week 2 October'!F31</f>
        <v>411</v>
      </c>
      <c r="H13" s="10" t="n">
        <f aca="false">'Week 2 October'!G31</f>
        <v>233</v>
      </c>
      <c r="I13" s="10" t="n">
        <f aca="false">H13-G13</f>
        <v>-178</v>
      </c>
      <c r="J13" s="12" t="n">
        <f aca="false">IF(C$13=0,0,C13/C$13)</f>
        <v>1</v>
      </c>
      <c r="K13" s="12" t="n">
        <f aca="false">IF(D$13=0,0,D13/D$13)</f>
        <v>1</v>
      </c>
    </row>
    <row r="14" customFormat="false" ht="15" hidden="false" customHeight="false" outlineLevel="0" collapsed="false">
      <c r="A14" s="4" t="s">
        <v>19</v>
      </c>
      <c r="B14" s="5" t="s">
        <v>14</v>
      </c>
      <c r="C14" s="6" t="n">
        <f aca="false">'Week 3 October'!B31</f>
        <v>0</v>
      </c>
      <c r="D14" s="6" t="n">
        <f aca="false">'Week 3 October'!C31</f>
        <v>1333625</v>
      </c>
      <c r="E14" s="6" t="n">
        <f aca="false">D14-C14</f>
        <v>1333625</v>
      </c>
      <c r="F14" s="7" t="str">
        <f aca="false">IF(C14=0,IF(D14=0,0,"new"),D14/C14-1)</f>
        <v>new</v>
      </c>
      <c r="G14" s="6" t="n">
        <f aca="false">'Week 3 October'!F31</f>
        <v>0</v>
      </c>
      <c r="H14" s="6" t="n">
        <f aca="false">'Week 3 October'!G31</f>
        <v>20</v>
      </c>
      <c r="I14" s="6" t="n">
        <f aca="false">H14-G14</f>
        <v>20</v>
      </c>
      <c r="J14" s="8" t="n">
        <f aca="false">IF(C$16=0,0,C14/C$16)</f>
        <v>0</v>
      </c>
      <c r="K14" s="8" t="n">
        <f aca="false">IF(D$16=0,0,D14/D$16)</f>
        <v>0.644859546459867</v>
      </c>
    </row>
    <row r="15" customFormat="false" ht="15" hidden="false" customHeight="false" outlineLevel="0" collapsed="false">
      <c r="A15" s="4"/>
      <c r="B15" s="5" t="s">
        <v>15</v>
      </c>
      <c r="C15" s="6" t="n">
        <f aca="false">'Week 3 October'!B32</f>
        <v>1591342</v>
      </c>
      <c r="D15" s="6" t="n">
        <f aca="false">'Week 3 October'!C32</f>
        <v>734461</v>
      </c>
      <c r="E15" s="6" t="n">
        <f aca="false">D15-C15</f>
        <v>-856881</v>
      </c>
      <c r="F15" s="7" t="n">
        <f aca="false">IF(C15=0,IF(D15=0,0,"new"),D15/C15-1)</f>
        <v>-0.538464390432729</v>
      </c>
      <c r="G15" s="6" t="n">
        <f aca="false">'Week 3 October'!F32</f>
        <v>503</v>
      </c>
      <c r="H15" s="6" t="n">
        <f aca="false">'Week 3 October'!G32</f>
        <v>391</v>
      </c>
      <c r="I15" s="6" t="n">
        <f aca="false">H15-G15</f>
        <v>-112</v>
      </c>
      <c r="J15" s="8" t="n">
        <f aca="false">IF(C$16=0,0,C15/C$16)</f>
        <v>1</v>
      </c>
      <c r="K15" s="8" t="n">
        <f aca="false">IF(D$16=0,0,D15/D$16)</f>
        <v>0.355140453540133</v>
      </c>
    </row>
    <row r="16" customFormat="false" ht="15" hidden="false" customHeight="false" outlineLevel="0" collapsed="false">
      <c r="A16" s="4"/>
      <c r="B16" s="9" t="s">
        <v>16</v>
      </c>
      <c r="C16" s="10" t="n">
        <f aca="false">'Week 3 October'!B30</f>
        <v>1591342</v>
      </c>
      <c r="D16" s="10" t="n">
        <f aca="false">'Week 3 October'!C30</f>
        <v>2068086</v>
      </c>
      <c r="E16" s="10" t="n">
        <f aca="false">D16-C16</f>
        <v>476744</v>
      </c>
      <c r="F16" s="11" t="n">
        <f aca="false">IF(C16=0,IF(D16=0,0,"new"),D16/C16-1)</f>
        <v>0.299586135475592</v>
      </c>
      <c r="G16" s="10" t="n">
        <f aca="false">'Week 3 October'!F30</f>
        <v>503</v>
      </c>
      <c r="H16" s="10" t="n">
        <f aca="false">'Week 3 October'!G30</f>
        <v>411</v>
      </c>
      <c r="I16" s="10" t="n">
        <f aca="false">H16-G16</f>
        <v>-92</v>
      </c>
      <c r="J16" s="12" t="n">
        <f aca="false">IF(C$16=0,0,C16/C$16)</f>
        <v>1</v>
      </c>
      <c r="K16" s="12" t="n">
        <f aca="false">IF(D$16=0,0,D16/D$16)</f>
        <v>1</v>
      </c>
    </row>
    <row r="17" customFormat="false" ht="15" hidden="false" customHeight="false" outlineLevel="0" collapsed="false">
      <c r="A17" s="4" t="s">
        <v>20</v>
      </c>
      <c r="B17" s="5" t="s">
        <v>14</v>
      </c>
      <c r="C17" s="6" t="n">
        <f aca="false">'Week 4 October'!B32</f>
        <v>0</v>
      </c>
      <c r="D17" s="6" t="n">
        <f aca="false">'Week 4 October'!C32</f>
        <v>1651940</v>
      </c>
      <c r="E17" s="6" t="n">
        <f aca="false">D17-C17</f>
        <v>1651940</v>
      </c>
      <c r="F17" s="7" t="str">
        <f aca="false">IF(C17=0,IF(D17=0,0,"new"),D17/C17-1)</f>
        <v>new</v>
      </c>
      <c r="G17" s="6" t="n">
        <f aca="false">'Week 4 October'!F32</f>
        <v>0</v>
      </c>
      <c r="H17" s="6" t="n">
        <f aca="false">'Week 4 October'!G32</f>
        <v>25</v>
      </c>
      <c r="I17" s="6" t="n">
        <f aca="false">H17-G17</f>
        <v>25</v>
      </c>
      <c r="J17" s="8" t="n">
        <f aca="false">IF(C$19=0,0,C17/C$19)</f>
        <v>0</v>
      </c>
      <c r="K17" s="8" t="n">
        <f aca="false">IF(D$19=0,0,D17/D$19)</f>
        <v>0.667058894313762</v>
      </c>
    </row>
    <row r="18" customFormat="false" ht="15" hidden="false" customHeight="false" outlineLevel="0" collapsed="false">
      <c r="A18" s="4"/>
      <c r="B18" s="5" t="s">
        <v>15</v>
      </c>
      <c r="C18" s="6" t="n">
        <f aca="false">'Week 4 October'!B33</f>
        <v>1161105</v>
      </c>
      <c r="D18" s="6" t="n">
        <f aca="false">'Week 4 October'!C33</f>
        <v>824513</v>
      </c>
      <c r="E18" s="6" t="n">
        <f aca="false">D18-C18</f>
        <v>-336592</v>
      </c>
      <c r="F18" s="7" t="n">
        <f aca="false">IF(C18=0,IF(D18=0,0,"new"),D18/C18-1)</f>
        <v>-0.289889372623492</v>
      </c>
      <c r="G18" s="6" t="n">
        <f aca="false">'Week 4 October'!F33</f>
        <v>454</v>
      </c>
      <c r="H18" s="6" t="n">
        <f aca="false">'Week 4 October'!G33</f>
        <v>318</v>
      </c>
      <c r="I18" s="6" t="n">
        <f aca="false">H18-G18</f>
        <v>-136</v>
      </c>
      <c r="J18" s="8" t="n">
        <f aca="false">IF(C$19=0,0,C18/C$19)</f>
        <v>1</v>
      </c>
      <c r="K18" s="8" t="n">
        <f aca="false">IF(D$19=0,0,D18/D$19)</f>
        <v>0.332941105686238</v>
      </c>
    </row>
    <row r="19" customFormat="false" ht="15" hidden="false" customHeight="false" outlineLevel="0" collapsed="false">
      <c r="A19" s="4"/>
      <c r="B19" s="9" t="s">
        <v>16</v>
      </c>
      <c r="C19" s="10" t="n">
        <f aca="false">'Week 4 October'!B31</f>
        <v>1161105</v>
      </c>
      <c r="D19" s="10" t="n">
        <f aca="false">'Week 4 October'!C31</f>
        <v>2476453</v>
      </c>
      <c r="E19" s="10" t="n">
        <f aca="false">D19-C19</f>
        <v>1315348</v>
      </c>
      <c r="F19" s="11" t="n">
        <f aca="false">IF(C19=0,IF(D19=0,0,"new"),D19/C19-1)</f>
        <v>1.13284156041013</v>
      </c>
      <c r="G19" s="10" t="n">
        <f aca="false">'Week 4 October'!F31</f>
        <v>454</v>
      </c>
      <c r="H19" s="10" t="n">
        <f aca="false">'Week 4 October'!G31</f>
        <v>343</v>
      </c>
      <c r="I19" s="10" t="n">
        <f aca="false">H19-G19</f>
        <v>-111</v>
      </c>
      <c r="J19" s="12" t="n">
        <f aca="false">IF(C$19=0,0,C19/C$19)</f>
        <v>1</v>
      </c>
      <c r="K19" s="12" t="n">
        <f aca="false">IF(D$19=0,0,D19/D$19)</f>
        <v>1</v>
      </c>
    </row>
    <row r="20" customFormat="false" ht="15" hidden="false" customHeight="false" outlineLevel="0" collapsed="false">
      <c r="A20" s="4" t="s">
        <v>21</v>
      </c>
      <c r="B20" s="5" t="s">
        <v>14</v>
      </c>
      <c r="C20" s="6" t="n">
        <f aca="false">C5+C8+C11+C14+C17</f>
        <v>0</v>
      </c>
      <c r="D20" s="6" t="n">
        <f aca="false">D5+D8+D11+D14+D17</f>
        <v>5973119</v>
      </c>
      <c r="E20" s="6" t="n">
        <f aca="false">D20-C20</f>
        <v>5973119</v>
      </c>
      <c r="F20" s="7" t="str">
        <f aca="false">IF(C20=0,IF(D20=0,0,"new"),D20/C20-1)</f>
        <v>new</v>
      </c>
      <c r="G20" s="6" t="n">
        <f aca="false">G5+G8+G11+G14+G17</f>
        <v>0</v>
      </c>
      <c r="H20" s="6" t="n">
        <f aca="false">H5+H8+H11+H14+H17</f>
        <v>91</v>
      </c>
      <c r="I20" s="6" t="n">
        <f aca="false">H20-G20</f>
        <v>91</v>
      </c>
      <c r="J20" s="8" t="n">
        <f aca="false">IF(C$22=0,0,C20/C$22)</f>
        <v>0</v>
      </c>
      <c r="K20" s="8" t="n">
        <f aca="false">IF(D$22=0,0,D20/D$22)</f>
        <v>0.601639068673621</v>
      </c>
    </row>
    <row r="21" customFormat="false" ht="15" hidden="false" customHeight="false" outlineLevel="0" collapsed="false">
      <c r="A21" s="4"/>
      <c r="B21" s="5" t="s">
        <v>15</v>
      </c>
      <c r="C21" s="6" t="n">
        <f aca="false">C6+C9+C12+C15+C18</f>
        <v>7019691</v>
      </c>
      <c r="D21" s="6" t="n">
        <f aca="false">D6+D9+D12+D15+D18</f>
        <v>3954958</v>
      </c>
      <c r="E21" s="6" t="n">
        <f aca="false">D21-C21</f>
        <v>-3064733</v>
      </c>
      <c r="F21" s="7" t="n">
        <f aca="false">IF(C21=0,IF(D21=0,0,"new"),D21/C21-1)</f>
        <v>-0.436590869883019</v>
      </c>
      <c r="G21" s="6" t="n">
        <f aca="false">G6+G9+G12+G15+G18</f>
        <v>2573</v>
      </c>
      <c r="H21" s="6" t="n">
        <f aca="false">H6+H9+H12+H15+H18</f>
        <v>1759</v>
      </c>
      <c r="I21" s="6" t="n">
        <f aca="false">H21-G21</f>
        <v>-814</v>
      </c>
      <c r="J21" s="8" t="n">
        <f aca="false">IF(C$22=0,0,C21/C$22)</f>
        <v>1</v>
      </c>
      <c r="K21" s="8" t="n">
        <f aca="false">IF(D$22=0,0,D21/D$22)</f>
        <v>0.398360931326379</v>
      </c>
    </row>
    <row r="22" customFormat="false" ht="15" hidden="false" customHeight="false" outlineLevel="0" collapsed="false">
      <c r="A22" s="4"/>
      <c r="B22" s="9" t="s">
        <v>16</v>
      </c>
      <c r="C22" s="10" t="n">
        <f aca="false">C7+C10+C13+C16+C19</f>
        <v>7019691</v>
      </c>
      <c r="D22" s="10" t="n">
        <f aca="false">D7+D10+D13+D16+D19</f>
        <v>9928077</v>
      </c>
      <c r="E22" s="10" t="n">
        <f aca="false">D22-C22</f>
        <v>2908386</v>
      </c>
      <c r="F22" s="11" t="n">
        <f aca="false">IF(C22=0,IF(D22=0,0,"new"),D22/C22-1)</f>
        <v>0.414318237084795</v>
      </c>
      <c r="G22" s="10" t="n">
        <f aca="false">G7+G10+G13+G16+G19</f>
        <v>2573</v>
      </c>
      <c r="H22" s="10" t="n">
        <f aca="false">H7+H10+H13+H16+H19</f>
        <v>1850</v>
      </c>
      <c r="I22" s="10" t="n">
        <f aca="false">H22-G22</f>
        <v>-723</v>
      </c>
      <c r="J22" s="12" t="n">
        <f aca="false">IF(C$22=0,0,C22/C$22)</f>
        <v>1</v>
      </c>
      <c r="K22" s="12" t="n">
        <f aca="false">IF(D$22=0,0,D22/D$22)</f>
        <v>1</v>
      </c>
    </row>
    <row r="24" customFormat="false" ht="15" hidden="false" customHeight="false" outlineLevel="0" collapsed="false">
      <c r="A24" s="4" t="s">
        <v>22</v>
      </c>
    </row>
    <row r="25" customFormat="false" ht="15" hidden="false" customHeight="false" outlineLevel="0" collapsed="false">
      <c r="A25" s="13" t="s">
        <v>23</v>
      </c>
    </row>
    <row r="26" customFormat="false" ht="15" hidden="false" customHeight="false" outlineLevel="0" collapsed="false">
      <c r="A26" s="13" t="s">
        <v>24</v>
      </c>
    </row>
  </sheetData>
  <conditionalFormatting sqref="E5:F22">
    <cfRule type="expression" priority="2" aboveAverage="0" equalAverage="0" bottom="0" percent="0" rank="0" text="" dxfId="0">
      <formula>AND(ISNUMBER(E5),E5&gt;0)</formula>
    </cfRule>
    <cfRule type="expression" priority="3" aboveAverage="0" equalAverage="0" bottom="0" percent="0" rank="0" text="" dxfId="1">
      <formula>AND(ISNUMBER(E5),E5&lt;0)</formula>
    </cfRule>
  </conditionalFormatting>
  <conditionalFormatting sqref="I5:I22">
    <cfRule type="expression" priority="4" aboveAverage="0" equalAverage="0" bottom="0" percent="0" rank="0" text="" dxfId="0">
      <formula>AND(ISNUMBER(I5),I5&gt;0)</formula>
    </cfRule>
    <cfRule type="expression" priority="5" aboveAverage="0" equalAverage="0" bottom="0" percent="0" rank="0" text="" dxfId="1">
      <formula>AND(ISNUMBER(I5),I5&lt;0)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20" min="3" style="0" width="11.5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true" outlineLevel="0" collapsed="false">
      <c r="A4" s="14" t="s">
        <v>27</v>
      </c>
      <c r="B4" s="14" t="s">
        <v>28</v>
      </c>
      <c r="C4" s="14" t="s">
        <v>29</v>
      </c>
      <c r="D4" s="14"/>
      <c r="E4" s="14" t="s">
        <v>30</v>
      </c>
      <c r="F4" s="14"/>
      <c r="G4" s="14" t="s">
        <v>31</v>
      </c>
      <c r="H4" s="14"/>
      <c r="I4" s="14" t="s">
        <v>32</v>
      </c>
      <c r="J4" s="14"/>
      <c r="K4" s="14" t="s">
        <v>33</v>
      </c>
      <c r="L4" s="14"/>
      <c r="M4" s="14" t="s">
        <v>34</v>
      </c>
      <c r="N4" s="14"/>
      <c r="O4" s="14"/>
      <c r="P4" s="14"/>
      <c r="Q4" s="14"/>
      <c r="R4" s="14"/>
      <c r="S4" s="14"/>
      <c r="T4" s="14"/>
    </row>
    <row r="5" customFormat="false" ht="30" hidden="false" customHeight="true" outlineLevel="0" collapsed="false">
      <c r="A5" s="14"/>
      <c r="B5" s="14"/>
      <c r="C5" s="15" t="s">
        <v>35</v>
      </c>
      <c r="D5" s="15" t="s">
        <v>36</v>
      </c>
      <c r="E5" s="15" t="s">
        <v>35</v>
      </c>
      <c r="F5" s="15" t="s">
        <v>36</v>
      </c>
      <c r="G5" s="15" t="s">
        <v>35</v>
      </c>
      <c r="H5" s="15" t="s">
        <v>36</v>
      </c>
      <c r="I5" s="15" t="s">
        <v>35</v>
      </c>
      <c r="J5" s="15" t="s">
        <v>36</v>
      </c>
      <c r="K5" s="15" t="s">
        <v>35</v>
      </c>
      <c r="L5" s="15" t="s">
        <v>36</v>
      </c>
      <c r="M5" s="15" t="s">
        <v>4</v>
      </c>
      <c r="N5" s="15" t="s">
        <v>5</v>
      </c>
      <c r="O5" s="15" t="s">
        <v>6</v>
      </c>
      <c r="P5" s="15" t="s">
        <v>7</v>
      </c>
      <c r="Q5" s="15" t="s">
        <v>8</v>
      </c>
      <c r="R5" s="15" t="s">
        <v>9</v>
      </c>
      <c r="S5" s="15" t="s">
        <v>10</v>
      </c>
      <c r="T5" s="15" t="s">
        <v>37</v>
      </c>
    </row>
    <row r="6" customFormat="false" ht="15" hidden="false" customHeight="false" outlineLevel="0" collapsed="false">
      <c r="A6" s="5" t="s">
        <v>38</v>
      </c>
      <c r="B6" s="5" t="s">
        <v>14</v>
      </c>
      <c r="C6" s="6" t="n">
        <f aca="false">SUMIF(September!$A$6:$A$37,$A6,September!$B$6:$B$37)</f>
        <v>0</v>
      </c>
      <c r="D6" s="6" t="n">
        <f aca="false">SUMIF(September!$A$6:$A$37,$A6,September!$C$6:$C$37)</f>
        <v>1581810</v>
      </c>
      <c r="E6" s="6" t="n">
        <f aca="false">SUMIF('Week 1 October'!$A$6:$A$29,$A6,'Week 1 October'!$B$6:$B$29)</f>
        <v>0</v>
      </c>
      <c r="F6" s="6" t="n">
        <f aca="false">SUMIF('Week 1 October'!$A$6:$A$29,$A6,'Week 1 October'!$C$6:$C$29)</f>
        <v>756492</v>
      </c>
      <c r="G6" s="6" t="n">
        <f aca="false">SUMIF('Week 2 October'!$A$6:$A$30,$A6,'Week 2 October'!$B$6:$B$30)</f>
        <v>0</v>
      </c>
      <c r="H6" s="6" t="n">
        <f aca="false">SUMIF('Week 2 October'!$A$6:$A$30,$A6,'Week 2 October'!$C$6:$C$30)</f>
        <v>649252</v>
      </c>
      <c r="I6" s="6" t="n">
        <f aca="false">SUMIF('Week 3 October'!$A$6:$A$29,$A6,'Week 3 October'!$B$6:$B$29)</f>
        <v>0</v>
      </c>
      <c r="J6" s="6" t="n">
        <f aca="false">SUMIF('Week 3 October'!$A$6:$A$29,$A6,'Week 3 October'!$C$6:$C$29)</f>
        <v>1333625</v>
      </c>
      <c r="K6" s="6" t="n">
        <f aca="false">SUMIF('Week 4 October'!$A$6:$A$30,$A6,'Week 4 October'!$B$6:$B$30)</f>
        <v>0</v>
      </c>
      <c r="L6" s="6" t="n">
        <f aca="false">SUMIF('Week 4 October'!$A$6:$A$30,$A6,'Week 4 October'!$C$6:$C$30)</f>
        <v>1651940</v>
      </c>
      <c r="M6" s="6" t="n">
        <f aca="false">C6+E6+G6+I6+K6</f>
        <v>0</v>
      </c>
      <c r="N6" s="6" t="n">
        <f aca="false">D6+F6+H6+J6+L6</f>
        <v>5973119</v>
      </c>
      <c r="O6" s="6" t="n">
        <f aca="false">N6-M6</f>
        <v>5973119</v>
      </c>
      <c r="P6" s="7" t="str">
        <f aca="false">IF(M6=0,IF(N6=0,0,"new"),N6/M6-1)</f>
        <v>new</v>
      </c>
      <c r="Q6" s="6" t="n">
        <f aca="false">SUMIF(September!$A$6:$A$37,$A6,September!$F$6:$F$37)+SUMIF('Week 1 October'!$A$6:$A$29,$A6,'Week 1 October'!$F$6:$F$29)+SUMIF('Week 2 October'!$A$6:$A$30,$A6,'Week 2 October'!$F$6:$F$30)+SUMIF('Week 3 October'!$A$6:$A$29,$A6,'Week 3 October'!$F$6:$F$29)+SUMIF('Week 4 October'!$A$6:$A$30,$A6,'Week 4 October'!$F$6:$F$30)</f>
        <v>0</v>
      </c>
      <c r="R6" s="6" t="n">
        <f aca="false">SUMIF(September!$A$6:$A$37,$A6,September!$G$6:$G$37)+SUMIF('Week 1 October'!$A$6:$A$29,$A6,'Week 1 October'!$G$6:$G$29)+SUMIF('Week 2 October'!$A$6:$A$30,$A6,'Week 2 October'!$G$6:$G$30)+SUMIF('Week 3 October'!$A$6:$A$29,$A6,'Week 3 October'!$G$6:$G$29)+SUMIF('Week 4 October'!$A$6:$A$30,$A6,'Week 4 October'!$G$6:$G$30)</f>
        <v>91</v>
      </c>
      <c r="S6" s="6" t="n">
        <f aca="false">R6-Q6</f>
        <v>91</v>
      </c>
      <c r="T6" s="8" t="str">
        <f aca="false">IF(OR($A6="CHINA",$O$47=0),"",O6/$O$47)</f>
        <v/>
      </c>
    </row>
    <row r="7" customFormat="false" ht="15" hidden="false" customHeight="false" outlineLevel="0" collapsed="false">
      <c r="A7" s="5" t="s">
        <v>39</v>
      </c>
      <c r="B7" s="5" t="s">
        <v>40</v>
      </c>
      <c r="C7" s="6" t="n">
        <f aca="false">SUMIF(September!$A$6:$A$37,$A7,September!$B$6:$B$37)</f>
        <v>58648</v>
      </c>
      <c r="D7" s="6" t="n">
        <f aca="false">SUMIF(September!$A$6:$A$37,$A7,September!$C$6:$C$37)</f>
        <v>0</v>
      </c>
      <c r="E7" s="6" t="n">
        <f aca="false">SUMIF('Week 1 October'!$A$6:$A$29,$A7,'Week 1 October'!$B$6:$B$29)</f>
        <v>115038</v>
      </c>
      <c r="F7" s="6" t="n">
        <f aca="false">SUMIF('Week 1 October'!$A$6:$A$29,$A7,'Week 1 October'!$C$6:$C$29)</f>
        <v>0</v>
      </c>
      <c r="G7" s="6" t="n">
        <f aca="false">SUMIF('Week 2 October'!$A$6:$A$30,$A7,'Week 2 October'!$B$6:$B$30)</f>
        <v>57840</v>
      </c>
      <c r="H7" s="6" t="n">
        <f aca="false">SUMIF('Week 2 October'!$A$6:$A$30,$A7,'Week 2 October'!$C$6:$C$30)</f>
        <v>0</v>
      </c>
      <c r="I7" s="6" t="n">
        <f aca="false">SUMIF('Week 3 October'!$A$6:$A$29,$A7,'Week 3 October'!$B$6:$B$29)</f>
        <v>167380</v>
      </c>
      <c r="J7" s="6" t="n">
        <f aca="false">SUMIF('Week 3 October'!$A$6:$A$29,$A7,'Week 3 October'!$C$6:$C$29)</f>
        <v>0</v>
      </c>
      <c r="K7" s="6" t="n">
        <f aca="false">SUMIF('Week 4 October'!$A$6:$A$30,$A7,'Week 4 October'!$B$6:$B$30)</f>
        <v>125506</v>
      </c>
      <c r="L7" s="6" t="n">
        <f aca="false">SUMIF('Week 4 October'!$A$6:$A$30,$A7,'Week 4 October'!$C$6:$C$30)</f>
        <v>0</v>
      </c>
      <c r="M7" s="6" t="n">
        <f aca="false">C7+E7+G7+I7+K7</f>
        <v>524412</v>
      </c>
      <c r="N7" s="6" t="n">
        <f aca="false">D7+F7+H7+J7+L7</f>
        <v>0</v>
      </c>
      <c r="O7" s="6" t="n">
        <f aca="false">N7-M7</f>
        <v>-524412</v>
      </c>
      <c r="P7" s="7" t="n">
        <f aca="false">IF(M7=0,IF(N7=0,0,"new"),N7/M7-1)</f>
        <v>-1</v>
      </c>
      <c r="Q7" s="6" t="n">
        <f aca="false">SUMIF(September!$A$6:$A$37,$A7,September!$F$6:$F$37)+SUMIF('Week 1 October'!$A$6:$A$29,$A7,'Week 1 October'!$F$6:$F$29)+SUMIF('Week 2 October'!$A$6:$A$30,$A7,'Week 2 October'!$F$6:$F$30)+SUMIF('Week 3 October'!$A$6:$A$29,$A7,'Week 3 October'!$F$6:$F$29)+SUMIF('Week 4 October'!$A$6:$A$30,$A7,'Week 4 October'!$F$6:$F$30)</f>
        <v>9</v>
      </c>
      <c r="R7" s="6" t="n">
        <f aca="false">SUMIF(September!$A$6:$A$37,$A7,September!$G$6:$G$37)+SUMIF('Week 1 October'!$A$6:$A$29,$A7,'Week 1 October'!$G$6:$G$29)+SUMIF('Week 2 October'!$A$6:$A$30,$A7,'Week 2 October'!$G$6:$G$30)+SUMIF('Week 3 October'!$A$6:$A$29,$A7,'Week 3 October'!$G$6:$G$29)+SUMIF('Week 4 October'!$A$6:$A$30,$A7,'Week 4 October'!$G$6:$G$30)</f>
        <v>0</v>
      </c>
      <c r="S7" s="6" t="n">
        <f aca="false">R7-Q7</f>
        <v>-9</v>
      </c>
      <c r="T7" s="8" t="n">
        <f aca="false">IF(OR($A7="CHINA",$O$47=0),"",O7/$O$47)</f>
        <v>0.171111806477106</v>
      </c>
    </row>
    <row r="8" customFormat="false" ht="15" hidden="false" customHeight="false" outlineLevel="0" collapsed="false">
      <c r="A8" s="5" t="s">
        <v>41</v>
      </c>
      <c r="B8" s="5" t="s">
        <v>42</v>
      </c>
      <c r="C8" s="6" t="n">
        <f aca="false">SUMIF(September!$A$6:$A$37,$A8,September!$B$6:$B$37)</f>
        <v>332913</v>
      </c>
      <c r="D8" s="6" t="n">
        <f aca="false">SUMIF(September!$A$6:$A$37,$A8,September!$C$6:$C$37)</f>
        <v>196733</v>
      </c>
      <c r="E8" s="6" t="n">
        <f aca="false">SUMIF('Week 1 October'!$A$6:$A$29,$A8,'Week 1 October'!$B$6:$B$29)</f>
        <v>217595</v>
      </c>
      <c r="F8" s="6" t="n">
        <f aca="false">SUMIF('Week 1 October'!$A$6:$A$29,$A8,'Week 1 October'!$C$6:$C$29)</f>
        <v>32033</v>
      </c>
      <c r="G8" s="6" t="n">
        <f aca="false">SUMIF('Week 2 October'!$A$6:$A$30,$A8,'Week 2 October'!$B$6:$B$30)</f>
        <v>195947</v>
      </c>
      <c r="H8" s="6" t="n">
        <f aca="false">SUMIF('Week 2 October'!$A$6:$A$30,$A8,'Week 2 October'!$C$6:$C$30)</f>
        <v>99486</v>
      </c>
      <c r="I8" s="6" t="n">
        <f aca="false">SUMIF('Week 3 October'!$A$6:$A$29,$A8,'Week 3 October'!$B$6:$B$29)</f>
        <v>232745</v>
      </c>
      <c r="J8" s="6" t="n">
        <f aca="false">SUMIF('Week 3 October'!$A$6:$A$29,$A8,'Week 3 October'!$C$6:$C$29)</f>
        <v>213260</v>
      </c>
      <c r="K8" s="6" t="n">
        <f aca="false">SUMIF('Week 4 October'!$A$6:$A$30,$A8,'Week 4 October'!$B$6:$B$30)</f>
        <v>166595</v>
      </c>
      <c r="L8" s="6" t="n">
        <f aca="false">SUMIF('Week 4 October'!$A$6:$A$30,$A8,'Week 4 October'!$C$6:$C$30)</f>
        <v>264556</v>
      </c>
      <c r="M8" s="6" t="n">
        <f aca="false">C8+E8+G8+I8+K8</f>
        <v>1145795</v>
      </c>
      <c r="N8" s="6" t="n">
        <f aca="false">D8+F8+H8+J8+L8</f>
        <v>806068</v>
      </c>
      <c r="O8" s="6" t="n">
        <f aca="false">N8-M8</f>
        <v>-339727</v>
      </c>
      <c r="P8" s="7" t="n">
        <f aca="false">IF(M8=0,IF(N8=0,0,"new"),N8/M8-1)</f>
        <v>-0.296498937418997</v>
      </c>
      <c r="Q8" s="6" t="n">
        <f aca="false">SUMIF(September!$A$6:$A$37,$A8,September!$F$6:$F$37)+SUMIF('Week 1 October'!$A$6:$A$29,$A8,'Week 1 October'!$F$6:$F$29)+SUMIF('Week 2 October'!$A$6:$A$30,$A8,'Week 2 October'!$F$6:$F$30)+SUMIF('Week 3 October'!$A$6:$A$29,$A8,'Week 3 October'!$F$6:$F$29)+SUMIF('Week 4 October'!$A$6:$A$30,$A8,'Week 4 October'!$F$6:$F$30)</f>
        <v>133</v>
      </c>
      <c r="R8" s="6" t="n">
        <f aca="false">SUMIF(September!$A$6:$A$37,$A8,September!$G$6:$G$37)+SUMIF('Week 1 October'!$A$6:$A$29,$A8,'Week 1 October'!$G$6:$G$29)+SUMIF('Week 2 October'!$A$6:$A$30,$A8,'Week 2 October'!$G$6:$G$30)+SUMIF('Week 3 October'!$A$6:$A$29,$A8,'Week 3 October'!$G$6:$G$29)+SUMIF('Week 4 October'!$A$6:$A$30,$A8,'Week 4 October'!$G$6:$G$30)</f>
        <v>96</v>
      </c>
      <c r="S8" s="6" t="n">
        <f aca="false">R8-Q8</f>
        <v>-37</v>
      </c>
      <c r="T8" s="8" t="n">
        <f aca="false">IF(OR($A8="CHINA",$O$47=0),"",O8/$O$47)</f>
        <v>0.11085043949995</v>
      </c>
    </row>
    <row r="9" customFormat="false" ht="15" hidden="false" customHeight="false" outlineLevel="0" collapsed="false">
      <c r="A9" s="5" t="s">
        <v>43</v>
      </c>
      <c r="B9" s="5" t="s">
        <v>44</v>
      </c>
      <c r="C9" s="6" t="n">
        <f aca="false">SUMIF(September!$A$6:$A$37,$A9,September!$B$6:$B$37)</f>
        <v>392308</v>
      </c>
      <c r="D9" s="6" t="n">
        <f aca="false">SUMIF(September!$A$6:$A$37,$A9,September!$C$6:$C$37)</f>
        <v>287000</v>
      </c>
      <c r="E9" s="6" t="n">
        <f aca="false">SUMIF('Week 1 October'!$A$6:$A$29,$A9,'Week 1 October'!$B$6:$B$29)</f>
        <v>181571</v>
      </c>
      <c r="F9" s="6" t="n">
        <f aca="false">SUMIF('Week 1 October'!$A$6:$A$29,$A9,'Week 1 October'!$C$6:$C$29)</f>
        <v>0</v>
      </c>
      <c r="G9" s="6" t="n">
        <f aca="false">SUMIF('Week 2 October'!$A$6:$A$30,$A9,'Week 2 October'!$B$6:$B$30)</f>
        <v>0</v>
      </c>
      <c r="H9" s="6" t="n">
        <f aca="false">SUMIF('Week 2 October'!$A$6:$A$30,$A9,'Week 2 October'!$C$6:$C$30)</f>
        <v>79022</v>
      </c>
      <c r="I9" s="6" t="n">
        <f aca="false">SUMIF('Week 3 October'!$A$6:$A$29,$A9,'Week 3 October'!$B$6:$B$29)</f>
        <v>163652</v>
      </c>
      <c r="J9" s="6" t="n">
        <f aca="false">SUMIF('Week 3 October'!$A$6:$A$29,$A9,'Week 3 October'!$C$6:$C$29)</f>
        <v>52353</v>
      </c>
      <c r="K9" s="6" t="n">
        <f aca="false">SUMIF('Week 4 October'!$A$6:$A$30,$A9,'Week 4 October'!$B$6:$B$30)</f>
        <v>147560</v>
      </c>
      <c r="L9" s="6" t="n">
        <f aca="false">SUMIF('Week 4 October'!$A$6:$A$30,$A9,'Week 4 October'!$C$6:$C$30)</f>
        <v>135046</v>
      </c>
      <c r="M9" s="6" t="n">
        <f aca="false">C9+E9+G9+I9+K9</f>
        <v>885091</v>
      </c>
      <c r="N9" s="6" t="n">
        <f aca="false">D9+F9+H9+J9+L9</f>
        <v>553421</v>
      </c>
      <c r="O9" s="6" t="n">
        <f aca="false">N9-M9</f>
        <v>-331670</v>
      </c>
      <c r="P9" s="7" t="n">
        <f aca="false">IF(M9=0,IF(N9=0,0,"new"),N9/M9-1)</f>
        <v>-0.374729830040075</v>
      </c>
      <c r="Q9" s="6" t="n">
        <f aca="false">SUMIF(September!$A$6:$A$37,$A9,September!$F$6:$F$37)+SUMIF('Week 1 October'!$A$6:$A$29,$A9,'Week 1 October'!$F$6:$F$29)+SUMIF('Week 2 October'!$A$6:$A$30,$A9,'Week 2 October'!$F$6:$F$30)+SUMIF('Week 3 October'!$A$6:$A$29,$A9,'Week 3 October'!$F$6:$F$29)+SUMIF('Week 4 October'!$A$6:$A$30,$A9,'Week 4 October'!$F$6:$F$30)</f>
        <v>16</v>
      </c>
      <c r="R9" s="6" t="n">
        <f aca="false">SUMIF(September!$A$6:$A$37,$A9,September!$G$6:$G$37)+SUMIF('Week 1 October'!$A$6:$A$29,$A9,'Week 1 October'!$G$6:$G$29)+SUMIF('Week 2 October'!$A$6:$A$30,$A9,'Week 2 October'!$G$6:$G$30)+SUMIF('Week 3 October'!$A$6:$A$29,$A9,'Week 3 October'!$G$6:$G$29)+SUMIF('Week 4 October'!$A$6:$A$30,$A9,'Week 4 October'!$G$6:$G$30)</f>
        <v>11</v>
      </c>
      <c r="S9" s="6" t="n">
        <f aca="false">R9-Q9</f>
        <v>-5</v>
      </c>
      <c r="T9" s="8" t="n">
        <f aca="false">IF(OR($A9="CHINA",$O$47=0),"",O9/$O$47)</f>
        <v>0.108221499230112</v>
      </c>
    </row>
    <row r="10" customFormat="false" ht="15" hidden="false" customHeight="false" outlineLevel="0" collapsed="false">
      <c r="A10" s="5" t="s">
        <v>45</v>
      </c>
      <c r="B10" s="5" t="s">
        <v>46</v>
      </c>
      <c r="C10" s="6" t="n">
        <f aca="false">SUMIF(September!$A$6:$A$37,$A10,September!$B$6:$B$37)</f>
        <v>50899</v>
      </c>
      <c r="D10" s="6" t="n">
        <f aca="false">SUMIF(September!$A$6:$A$37,$A10,September!$C$6:$C$37)</f>
        <v>0</v>
      </c>
      <c r="E10" s="6" t="n">
        <f aca="false">SUMIF('Week 1 October'!$A$6:$A$29,$A10,'Week 1 October'!$B$6:$B$29)</f>
        <v>0</v>
      </c>
      <c r="F10" s="6" t="n">
        <f aca="false">SUMIF('Week 1 October'!$A$6:$A$29,$A10,'Week 1 October'!$C$6:$C$29)</f>
        <v>0</v>
      </c>
      <c r="G10" s="6" t="n">
        <f aca="false">SUMIF('Week 2 October'!$A$6:$A$30,$A10,'Week 2 October'!$B$6:$B$30)</f>
        <v>182090</v>
      </c>
      <c r="H10" s="6" t="n">
        <f aca="false">SUMIF('Week 2 October'!$A$6:$A$30,$A10,'Week 2 October'!$C$6:$C$30)</f>
        <v>0</v>
      </c>
      <c r="I10" s="6" t="n">
        <f aca="false">SUMIF('Week 3 October'!$A$6:$A$29,$A10,'Week 3 October'!$B$6:$B$29)</f>
        <v>54787</v>
      </c>
      <c r="J10" s="6" t="n">
        <f aca="false">SUMIF('Week 3 October'!$A$6:$A$29,$A10,'Week 3 October'!$C$6:$C$29)</f>
        <v>0</v>
      </c>
      <c r="K10" s="6" t="n">
        <f aca="false">SUMIF('Week 4 October'!$A$6:$A$30,$A10,'Week 4 October'!$B$6:$B$30)</f>
        <v>0</v>
      </c>
      <c r="L10" s="6" t="n">
        <f aca="false">SUMIF('Week 4 October'!$A$6:$A$30,$A10,'Week 4 October'!$C$6:$C$30)</f>
        <v>0</v>
      </c>
      <c r="M10" s="6" t="n">
        <f aca="false">C10+E10+G10+I10+K10</f>
        <v>287776</v>
      </c>
      <c r="N10" s="6" t="n">
        <f aca="false">D10+F10+H10+J10+L10</f>
        <v>0</v>
      </c>
      <c r="O10" s="6" t="n">
        <f aca="false">N10-M10</f>
        <v>-287776</v>
      </c>
      <c r="P10" s="7" t="n">
        <f aca="false">IF(M10=0,IF(N10=0,0,"new"),N10/M10-1)</f>
        <v>-1</v>
      </c>
      <c r="Q10" s="6" t="n">
        <f aca="false">SUMIF(September!$A$6:$A$37,$A10,September!$F$6:$F$37)+SUMIF('Week 1 October'!$A$6:$A$29,$A10,'Week 1 October'!$F$6:$F$29)+SUMIF('Week 2 October'!$A$6:$A$30,$A10,'Week 2 October'!$F$6:$F$30)+SUMIF('Week 3 October'!$A$6:$A$29,$A10,'Week 3 October'!$F$6:$F$29)+SUMIF('Week 4 October'!$A$6:$A$30,$A10,'Week 4 October'!$F$6:$F$30)</f>
        <v>5</v>
      </c>
      <c r="R10" s="6" t="n">
        <f aca="false">SUMIF(September!$A$6:$A$37,$A10,September!$G$6:$G$37)+SUMIF('Week 1 October'!$A$6:$A$29,$A10,'Week 1 October'!$G$6:$G$29)+SUMIF('Week 2 October'!$A$6:$A$30,$A10,'Week 2 October'!$G$6:$G$30)+SUMIF('Week 3 October'!$A$6:$A$29,$A10,'Week 3 October'!$G$6:$G$29)+SUMIF('Week 4 October'!$A$6:$A$30,$A10,'Week 4 October'!$G$6:$G$30)</f>
        <v>0</v>
      </c>
      <c r="S10" s="6" t="n">
        <f aca="false">R10-Q10</f>
        <v>-5</v>
      </c>
      <c r="T10" s="8" t="n">
        <f aca="false">IF(OR($A10="CHINA",$O$47=0),"",O10/$O$47)</f>
        <v>0.0938992075329238</v>
      </c>
    </row>
    <row r="11" customFormat="false" ht="15" hidden="false" customHeight="false" outlineLevel="0" collapsed="false">
      <c r="A11" s="5" t="s">
        <v>47</v>
      </c>
      <c r="B11" s="5" t="s">
        <v>40</v>
      </c>
      <c r="C11" s="6" t="n">
        <f aca="false">SUMIF(September!$A$6:$A$37,$A11,September!$B$6:$B$37)</f>
        <v>169531</v>
      </c>
      <c r="D11" s="6" t="n">
        <f aca="false">SUMIF(September!$A$6:$A$37,$A11,September!$C$6:$C$37)</f>
        <v>114598</v>
      </c>
      <c r="E11" s="6" t="n">
        <f aca="false">SUMIF('Week 1 October'!$A$6:$A$29,$A11,'Week 1 October'!$B$6:$B$29)</f>
        <v>0</v>
      </c>
      <c r="F11" s="6" t="n">
        <f aca="false">SUMIF('Week 1 October'!$A$6:$A$29,$A11,'Week 1 October'!$C$6:$C$29)</f>
        <v>59219</v>
      </c>
      <c r="G11" s="6" t="n">
        <f aca="false">SUMIF('Week 2 October'!$A$6:$A$30,$A11,'Week 2 October'!$B$6:$B$30)</f>
        <v>117598</v>
      </c>
      <c r="H11" s="6" t="n">
        <f aca="false">SUMIF('Week 2 October'!$A$6:$A$30,$A11,'Week 2 October'!$C$6:$C$30)</f>
        <v>0</v>
      </c>
      <c r="I11" s="6" t="n">
        <f aca="false">SUMIF('Week 3 October'!$A$6:$A$29,$A11,'Week 3 October'!$B$6:$B$29)</f>
        <v>175411</v>
      </c>
      <c r="J11" s="6" t="n">
        <f aca="false">SUMIF('Week 3 October'!$A$6:$A$29,$A11,'Week 3 October'!$C$6:$C$29)</f>
        <v>0</v>
      </c>
      <c r="K11" s="6" t="n">
        <f aca="false">SUMIF('Week 4 October'!$A$6:$A$30,$A11,'Week 4 October'!$B$6:$B$30)</f>
        <v>57892</v>
      </c>
      <c r="L11" s="6" t="n">
        <f aca="false">SUMIF('Week 4 October'!$A$6:$A$30,$A11,'Week 4 October'!$C$6:$C$30)</f>
        <v>59790</v>
      </c>
      <c r="M11" s="6" t="n">
        <f aca="false">C11+E11+G11+I11+K11</f>
        <v>520432</v>
      </c>
      <c r="N11" s="6" t="n">
        <f aca="false">D11+F11+H11+J11+L11</f>
        <v>233607</v>
      </c>
      <c r="O11" s="6" t="n">
        <f aca="false">N11-M11</f>
        <v>-286825</v>
      </c>
      <c r="P11" s="7" t="n">
        <f aca="false">IF(M11=0,IF(N11=0,0,"new"),N11/M11-1)</f>
        <v>-0.551128677713899</v>
      </c>
      <c r="Q11" s="6" t="n">
        <f aca="false">SUMIF(September!$A$6:$A$37,$A11,September!$F$6:$F$37)+SUMIF('Week 1 October'!$A$6:$A$29,$A11,'Week 1 October'!$F$6:$F$29)+SUMIF('Week 2 October'!$A$6:$A$30,$A11,'Week 2 October'!$F$6:$F$30)+SUMIF('Week 3 October'!$A$6:$A$29,$A11,'Week 3 October'!$F$6:$F$29)+SUMIF('Week 4 October'!$A$6:$A$30,$A11,'Week 4 October'!$F$6:$F$30)</f>
        <v>9</v>
      </c>
      <c r="R11" s="6" t="n">
        <f aca="false">SUMIF(September!$A$6:$A$37,$A11,September!$G$6:$G$37)+SUMIF('Week 1 October'!$A$6:$A$29,$A11,'Week 1 October'!$G$6:$G$29)+SUMIF('Week 2 October'!$A$6:$A$30,$A11,'Week 2 October'!$G$6:$G$30)+SUMIF('Week 3 October'!$A$6:$A$29,$A11,'Week 3 October'!$G$6:$G$29)+SUMIF('Week 4 October'!$A$6:$A$30,$A11,'Week 4 October'!$G$6:$G$30)</f>
        <v>4</v>
      </c>
      <c r="S11" s="6" t="n">
        <f aca="false">R11-Q11</f>
        <v>-5</v>
      </c>
      <c r="T11" s="8" t="n">
        <f aca="false">IF(OR($A11="CHINA",$O$47=0),"",O11/$O$47)</f>
        <v>0.0935889031768836</v>
      </c>
    </row>
    <row r="12" customFormat="false" ht="15" hidden="false" customHeight="false" outlineLevel="0" collapsed="false">
      <c r="A12" s="5" t="s">
        <v>48</v>
      </c>
      <c r="B12" s="5" t="s">
        <v>49</v>
      </c>
      <c r="C12" s="6" t="n">
        <f aca="false">SUMIF(September!$A$6:$A$37,$A12,September!$B$6:$B$37)</f>
        <v>85344</v>
      </c>
      <c r="D12" s="6" t="n">
        <f aca="false">SUMIF(September!$A$6:$A$37,$A12,September!$C$6:$C$37)</f>
        <v>32370</v>
      </c>
      <c r="E12" s="6" t="n">
        <f aca="false">SUMIF('Week 1 October'!$A$6:$A$29,$A12,'Week 1 October'!$B$6:$B$29)</f>
        <v>28900</v>
      </c>
      <c r="F12" s="6" t="n">
        <f aca="false">SUMIF('Week 1 October'!$A$6:$A$29,$A12,'Week 1 October'!$C$6:$C$29)</f>
        <v>5777</v>
      </c>
      <c r="G12" s="6" t="n">
        <f aca="false">SUMIF('Week 2 October'!$A$6:$A$30,$A12,'Week 2 October'!$B$6:$B$30)</f>
        <v>44471</v>
      </c>
      <c r="H12" s="6" t="n">
        <f aca="false">SUMIF('Week 2 October'!$A$6:$A$30,$A12,'Week 2 October'!$C$6:$C$30)</f>
        <v>11578</v>
      </c>
      <c r="I12" s="6" t="n">
        <f aca="false">SUMIF('Week 3 October'!$A$6:$A$29,$A12,'Week 3 October'!$B$6:$B$29)</f>
        <v>122140</v>
      </c>
      <c r="J12" s="6" t="n">
        <f aca="false">SUMIF('Week 3 October'!$A$6:$A$29,$A12,'Week 3 October'!$C$6:$C$29)</f>
        <v>24804</v>
      </c>
      <c r="K12" s="6" t="n">
        <f aca="false">SUMIF('Week 4 October'!$A$6:$A$30,$A12,'Week 4 October'!$B$6:$B$30)</f>
        <v>101725</v>
      </c>
      <c r="L12" s="6" t="n">
        <f aca="false">SUMIF('Week 4 October'!$A$6:$A$30,$A12,'Week 4 October'!$C$6:$C$30)</f>
        <v>28211</v>
      </c>
      <c r="M12" s="6" t="n">
        <f aca="false">C12+E12+G12+I12+K12</f>
        <v>382580</v>
      </c>
      <c r="N12" s="6" t="n">
        <f aca="false">D12+F12+H12+J12+L12</f>
        <v>102740</v>
      </c>
      <c r="O12" s="6" t="n">
        <f aca="false">N12-M12</f>
        <v>-279840</v>
      </c>
      <c r="P12" s="7" t="n">
        <f aca="false">IF(M12=0,IF(N12=0,0,"new"),N12/M12-1)</f>
        <v>-0.731454859114434</v>
      </c>
      <c r="Q12" s="6" t="n">
        <f aca="false">SUMIF(September!$A$6:$A$37,$A12,September!$F$6:$F$37)+SUMIF('Week 1 October'!$A$6:$A$29,$A12,'Week 1 October'!$F$6:$F$29)+SUMIF('Week 2 October'!$A$6:$A$30,$A12,'Week 2 October'!$F$6:$F$30)+SUMIF('Week 3 October'!$A$6:$A$29,$A12,'Week 3 October'!$F$6:$F$29)+SUMIF('Week 4 October'!$A$6:$A$30,$A12,'Week 4 October'!$F$6:$F$30)</f>
        <v>671</v>
      </c>
      <c r="R12" s="6" t="n">
        <f aca="false">SUMIF(September!$A$6:$A$37,$A12,September!$G$6:$G$37)+SUMIF('Week 1 October'!$A$6:$A$29,$A12,'Week 1 October'!$G$6:$G$29)+SUMIF('Week 2 October'!$A$6:$A$30,$A12,'Week 2 October'!$G$6:$G$30)+SUMIF('Week 3 October'!$A$6:$A$29,$A12,'Week 3 October'!$G$6:$G$29)+SUMIF('Week 4 October'!$A$6:$A$30,$A12,'Week 4 October'!$G$6:$G$30)</f>
        <v>353</v>
      </c>
      <c r="S12" s="6" t="n">
        <f aca="false">R12-Q12</f>
        <v>-318</v>
      </c>
      <c r="T12" s="8" t="n">
        <f aca="false">IF(OR($A12="CHINA",$O$47=0),"",O12/$O$47)</f>
        <v>0.091309748679575</v>
      </c>
    </row>
    <row r="13" customFormat="false" ht="15" hidden="false" customHeight="false" outlineLevel="0" collapsed="false">
      <c r="A13" s="5" t="s">
        <v>50</v>
      </c>
      <c r="B13" s="5" t="s">
        <v>46</v>
      </c>
      <c r="C13" s="6" t="n">
        <f aca="false">SUMIF(September!$A$6:$A$37,$A13,September!$B$6:$B$37)</f>
        <v>185744</v>
      </c>
      <c r="D13" s="6" t="n">
        <f aca="false">SUMIF(September!$A$6:$A$37,$A13,September!$C$6:$C$37)</f>
        <v>162784</v>
      </c>
      <c r="E13" s="6" t="n">
        <f aca="false">SUMIF('Week 1 October'!$A$6:$A$29,$A13,'Week 1 October'!$B$6:$B$29)</f>
        <v>45900</v>
      </c>
      <c r="F13" s="6" t="n">
        <f aca="false">SUMIF('Week 1 October'!$A$6:$A$29,$A13,'Week 1 October'!$C$6:$C$29)</f>
        <v>0</v>
      </c>
      <c r="G13" s="6" t="n">
        <f aca="false">SUMIF('Week 2 October'!$A$6:$A$30,$A13,'Week 2 October'!$B$6:$B$30)</f>
        <v>72599</v>
      </c>
      <c r="H13" s="6" t="n">
        <f aca="false">SUMIF('Week 2 October'!$A$6:$A$30,$A13,'Week 2 October'!$C$6:$C$30)</f>
        <v>0</v>
      </c>
      <c r="I13" s="6" t="n">
        <f aca="false">SUMIF('Week 3 October'!$A$6:$A$29,$A13,'Week 3 October'!$B$6:$B$29)</f>
        <v>0</v>
      </c>
      <c r="J13" s="6" t="n">
        <f aca="false">SUMIF('Week 3 October'!$A$6:$A$29,$A13,'Week 3 October'!$C$6:$C$29)</f>
        <v>0</v>
      </c>
      <c r="K13" s="6" t="n">
        <f aca="false">SUMIF('Week 4 October'!$A$6:$A$30,$A13,'Week 4 October'!$B$6:$B$30)</f>
        <v>127559</v>
      </c>
      <c r="L13" s="6" t="n">
        <f aca="false">SUMIF('Week 4 October'!$A$6:$A$30,$A13,'Week 4 October'!$C$6:$C$30)</f>
        <v>43326</v>
      </c>
      <c r="M13" s="6" t="n">
        <f aca="false">C13+E13+G13+I13+K13</f>
        <v>431802</v>
      </c>
      <c r="N13" s="6" t="n">
        <f aca="false">D13+F13+H13+J13+L13</f>
        <v>206110</v>
      </c>
      <c r="O13" s="6" t="n">
        <f aca="false">N13-M13</f>
        <v>-225692</v>
      </c>
      <c r="P13" s="7" t="n">
        <f aca="false">IF(M13=0,IF(N13=0,0,"new"),N13/M13-1)</f>
        <v>-0.522674744443055</v>
      </c>
      <c r="Q13" s="6" t="n">
        <f aca="false">SUMIF(September!$A$6:$A$37,$A13,September!$F$6:$F$37)+SUMIF('Week 1 October'!$A$6:$A$29,$A13,'Week 1 October'!$F$6:$F$29)+SUMIF('Week 2 October'!$A$6:$A$30,$A13,'Week 2 October'!$F$6:$F$30)+SUMIF('Week 3 October'!$A$6:$A$29,$A13,'Week 3 October'!$F$6:$F$29)+SUMIF('Week 4 October'!$A$6:$A$30,$A13,'Week 4 October'!$F$6:$F$30)</f>
        <v>7</v>
      </c>
      <c r="R13" s="6" t="n">
        <f aca="false">SUMIF(September!$A$6:$A$37,$A13,September!$G$6:$G$37)+SUMIF('Week 1 October'!$A$6:$A$29,$A13,'Week 1 October'!$G$6:$G$29)+SUMIF('Week 2 October'!$A$6:$A$30,$A13,'Week 2 October'!$G$6:$G$30)+SUMIF('Week 3 October'!$A$6:$A$29,$A13,'Week 3 October'!$G$6:$G$29)+SUMIF('Week 4 October'!$A$6:$A$30,$A13,'Week 4 October'!$G$6:$G$30)</f>
        <v>4</v>
      </c>
      <c r="S13" s="6" t="n">
        <f aca="false">R13-Q13</f>
        <v>-3</v>
      </c>
      <c r="T13" s="8" t="n">
        <f aca="false">IF(OR($A13="CHINA",$O$47=0),"",O13/$O$47)</f>
        <v>0.0736416516544834</v>
      </c>
    </row>
    <row r="14" customFormat="false" ht="15" hidden="false" customHeight="false" outlineLevel="0" collapsed="false">
      <c r="A14" s="5" t="s">
        <v>51</v>
      </c>
      <c r="B14" s="5" t="s">
        <v>46</v>
      </c>
      <c r="C14" s="6" t="n">
        <f aca="false">SUMIF(September!$A$6:$A$37,$A14,September!$B$6:$B$37)</f>
        <v>128961</v>
      </c>
      <c r="D14" s="6" t="n">
        <f aca="false">SUMIF(September!$A$6:$A$37,$A14,September!$C$6:$C$37)</f>
        <v>58374</v>
      </c>
      <c r="E14" s="6" t="n">
        <f aca="false">SUMIF('Week 1 October'!$A$6:$A$29,$A14,'Week 1 October'!$B$6:$B$29)</f>
        <v>0</v>
      </c>
      <c r="F14" s="6" t="n">
        <f aca="false">SUMIF('Week 1 October'!$A$6:$A$29,$A14,'Week 1 October'!$C$6:$C$29)</f>
        <v>58993</v>
      </c>
      <c r="G14" s="6" t="n">
        <f aca="false">SUMIF('Week 2 October'!$A$6:$A$30,$A14,'Week 2 October'!$B$6:$B$30)</f>
        <v>52471</v>
      </c>
      <c r="H14" s="6" t="n">
        <f aca="false">SUMIF('Week 2 October'!$A$6:$A$30,$A14,'Week 2 October'!$C$6:$C$30)</f>
        <v>56965</v>
      </c>
      <c r="I14" s="6" t="n">
        <f aca="false">SUMIF('Week 3 October'!$A$6:$A$29,$A14,'Week 3 October'!$B$6:$B$29)</f>
        <v>136901</v>
      </c>
      <c r="J14" s="6" t="n">
        <f aca="false">SUMIF('Week 3 October'!$A$6:$A$29,$A14,'Week 3 October'!$C$6:$C$29)</f>
        <v>84515</v>
      </c>
      <c r="K14" s="6" t="n">
        <f aca="false">SUMIF('Week 4 October'!$A$6:$A$30,$A14,'Week 4 October'!$B$6:$B$30)</f>
        <v>122946</v>
      </c>
      <c r="L14" s="6" t="n">
        <f aca="false">SUMIF('Week 4 October'!$A$6:$A$30,$A14,'Week 4 October'!$C$6:$C$30)</f>
        <v>0</v>
      </c>
      <c r="M14" s="6" t="n">
        <f aca="false">C14+E14+G14+I14+K14</f>
        <v>441279</v>
      </c>
      <c r="N14" s="6" t="n">
        <f aca="false">D14+F14+H14+J14+L14</f>
        <v>258847</v>
      </c>
      <c r="O14" s="6" t="n">
        <f aca="false">N14-M14</f>
        <v>-182432</v>
      </c>
      <c r="P14" s="7" t="n">
        <f aca="false">IF(M14=0,IF(N14=0,0,"new"),N14/M14-1)</f>
        <v>-0.41341645534911</v>
      </c>
      <c r="Q14" s="6" t="n">
        <f aca="false">SUMIF(September!$A$6:$A$37,$A14,September!$F$6:$F$37)+SUMIF('Week 1 October'!$A$6:$A$29,$A14,'Week 1 October'!$F$6:$F$29)+SUMIF('Week 2 October'!$A$6:$A$30,$A14,'Week 2 October'!$F$6:$F$30)+SUMIF('Week 3 October'!$A$6:$A$29,$A14,'Week 3 October'!$F$6:$F$29)+SUMIF('Week 4 October'!$A$6:$A$30,$A14,'Week 4 October'!$F$6:$F$30)</f>
        <v>9</v>
      </c>
      <c r="R14" s="6" t="n">
        <f aca="false">SUMIF(September!$A$6:$A$37,$A14,September!$G$6:$G$37)+SUMIF('Week 1 October'!$A$6:$A$29,$A14,'Week 1 October'!$G$6:$G$29)+SUMIF('Week 2 October'!$A$6:$A$30,$A14,'Week 2 October'!$G$6:$G$30)+SUMIF('Week 3 October'!$A$6:$A$29,$A14,'Week 3 October'!$G$6:$G$29)+SUMIF('Week 4 October'!$A$6:$A$30,$A14,'Week 4 October'!$G$6:$G$30)</f>
        <v>4</v>
      </c>
      <c r="S14" s="6" t="n">
        <f aca="false">R14-Q14</f>
        <v>-5</v>
      </c>
      <c r="T14" s="8" t="n">
        <f aca="false">IF(OR($A14="CHINA",$O$47=0),"",O14/$O$47)</f>
        <v>0.0595262295279882</v>
      </c>
    </row>
    <row r="15" customFormat="false" ht="15" hidden="false" customHeight="false" outlineLevel="0" collapsed="false">
      <c r="A15" s="5" t="s">
        <v>52</v>
      </c>
      <c r="B15" s="5" t="s">
        <v>53</v>
      </c>
      <c r="C15" s="6" t="n">
        <f aca="false">SUMIF(September!$A$6:$A$37,$A15,September!$B$6:$B$37)</f>
        <v>188108</v>
      </c>
      <c r="D15" s="6" t="n">
        <f aca="false">SUMIF(September!$A$6:$A$37,$A15,September!$C$6:$C$37)</f>
        <v>133674</v>
      </c>
      <c r="E15" s="6" t="n">
        <f aca="false">SUMIF('Week 1 October'!$A$6:$A$29,$A15,'Week 1 October'!$B$6:$B$29)</f>
        <v>44171</v>
      </c>
      <c r="F15" s="6" t="n">
        <f aca="false">SUMIF('Week 1 October'!$A$6:$A$29,$A15,'Week 1 October'!$C$6:$C$29)</f>
        <v>9034</v>
      </c>
      <c r="G15" s="6" t="n">
        <f aca="false">SUMIF('Week 2 October'!$A$6:$A$30,$A15,'Week 2 October'!$B$6:$B$30)</f>
        <v>44470</v>
      </c>
      <c r="H15" s="6" t="n">
        <f aca="false">SUMIF('Week 2 October'!$A$6:$A$30,$A15,'Week 2 October'!$C$6:$C$30)</f>
        <v>21059</v>
      </c>
      <c r="I15" s="6" t="n">
        <f aca="false">SUMIF('Week 3 October'!$A$6:$A$29,$A15,'Week 3 October'!$B$6:$B$29)</f>
        <v>61850</v>
      </c>
      <c r="J15" s="6" t="n">
        <f aca="false">SUMIF('Week 3 October'!$A$6:$A$29,$A15,'Week 3 October'!$C$6:$C$29)</f>
        <v>60743</v>
      </c>
      <c r="K15" s="6" t="n">
        <f aca="false">SUMIF('Week 4 October'!$A$6:$A$30,$A15,'Week 4 October'!$B$6:$B$30)</f>
        <v>53820</v>
      </c>
      <c r="L15" s="6" t="n">
        <f aca="false">SUMIF('Week 4 October'!$A$6:$A$30,$A15,'Week 4 October'!$C$6:$C$30)</f>
        <v>17265</v>
      </c>
      <c r="M15" s="6" t="n">
        <f aca="false">C15+E15+G15+I15+K15</f>
        <v>392419</v>
      </c>
      <c r="N15" s="6" t="n">
        <f aca="false">D15+F15+H15+J15+L15</f>
        <v>241775</v>
      </c>
      <c r="O15" s="6" t="n">
        <f aca="false">N15-M15</f>
        <v>-150644</v>
      </c>
      <c r="P15" s="7" t="n">
        <f aca="false">IF(M15=0,IF(N15=0,0,"new"),N15/M15-1)</f>
        <v>-0.383885591676244</v>
      </c>
      <c r="Q15" s="6" t="n">
        <f aca="false">SUMIF(September!$A$6:$A$37,$A15,September!$F$6:$F$37)+SUMIF('Week 1 October'!$A$6:$A$29,$A15,'Week 1 October'!$F$6:$F$29)+SUMIF('Week 2 October'!$A$6:$A$30,$A15,'Week 2 October'!$F$6:$F$30)+SUMIF('Week 3 October'!$A$6:$A$29,$A15,'Week 3 October'!$F$6:$F$29)+SUMIF('Week 4 October'!$A$6:$A$30,$A15,'Week 4 October'!$F$6:$F$30)</f>
        <v>814</v>
      </c>
      <c r="R15" s="6" t="n">
        <f aca="false">SUMIF(September!$A$6:$A$37,$A15,September!$G$6:$G$37)+SUMIF('Week 1 October'!$A$6:$A$29,$A15,'Week 1 October'!$G$6:$G$29)+SUMIF('Week 2 October'!$A$6:$A$30,$A15,'Week 2 October'!$G$6:$G$30)+SUMIF('Week 3 October'!$A$6:$A$29,$A15,'Week 3 October'!$G$6:$G$29)+SUMIF('Week 4 October'!$A$6:$A$30,$A15,'Week 4 October'!$G$6:$G$30)</f>
        <v>492</v>
      </c>
      <c r="S15" s="6" t="n">
        <f aca="false">R15-Q15</f>
        <v>-322</v>
      </c>
      <c r="T15" s="8" t="n">
        <f aca="false">IF(OR($A15="CHINA",$O$47=0),"",O15/$O$47)</f>
        <v>0.0491540372358701</v>
      </c>
    </row>
    <row r="16" customFormat="false" ht="15" hidden="false" customHeight="false" outlineLevel="0" collapsed="false">
      <c r="A16" s="5" t="s">
        <v>54</v>
      </c>
      <c r="B16" s="5" t="s">
        <v>44</v>
      </c>
      <c r="C16" s="6" t="n">
        <f aca="false">SUMIF(September!$A$6:$A$37,$A16,September!$B$6:$B$37)</f>
        <v>140323</v>
      </c>
      <c r="D16" s="6" t="n">
        <f aca="false">SUMIF(September!$A$6:$A$37,$A16,September!$C$6:$C$37)</f>
        <v>0</v>
      </c>
      <c r="E16" s="6" t="n">
        <f aca="false">SUMIF('Week 1 October'!$A$6:$A$29,$A16,'Week 1 October'!$B$6:$B$29)</f>
        <v>69297</v>
      </c>
      <c r="F16" s="6" t="n">
        <f aca="false">SUMIF('Week 1 October'!$A$6:$A$29,$A16,'Week 1 October'!$C$6:$C$29)</f>
        <v>57366</v>
      </c>
      <c r="G16" s="6" t="n">
        <f aca="false">SUMIF('Week 2 October'!$A$6:$A$30,$A16,'Week 2 October'!$B$6:$B$30)</f>
        <v>21172</v>
      </c>
      <c r="H16" s="6" t="n">
        <f aca="false">SUMIF('Week 2 October'!$A$6:$A$30,$A16,'Week 2 October'!$C$6:$C$30)</f>
        <v>0</v>
      </c>
      <c r="I16" s="6" t="n">
        <f aca="false">SUMIF('Week 3 October'!$A$6:$A$29,$A16,'Week 3 October'!$B$6:$B$29)</f>
        <v>21109</v>
      </c>
      <c r="J16" s="6" t="n">
        <f aca="false">SUMIF('Week 3 October'!$A$6:$A$29,$A16,'Week 3 October'!$C$6:$C$29)</f>
        <v>52964</v>
      </c>
      <c r="K16" s="6" t="n">
        <f aca="false">SUMIF('Week 4 October'!$A$6:$A$30,$A16,'Week 4 October'!$B$6:$B$30)</f>
        <v>0</v>
      </c>
      <c r="L16" s="6" t="n">
        <f aca="false">SUMIF('Week 4 October'!$A$6:$A$30,$A16,'Week 4 October'!$C$6:$C$30)</f>
        <v>0</v>
      </c>
      <c r="M16" s="6" t="n">
        <f aca="false">C16+E16+G16+I16+K16</f>
        <v>251901</v>
      </c>
      <c r="N16" s="6" t="n">
        <f aca="false">D16+F16+H16+J16+L16</f>
        <v>110330</v>
      </c>
      <c r="O16" s="6" t="n">
        <f aca="false">N16-M16</f>
        <v>-141571</v>
      </c>
      <c r="P16" s="7" t="n">
        <f aca="false">IF(M16=0,IF(N16=0,0,"new"),N16/M16-1)</f>
        <v>-0.562010472368113</v>
      </c>
      <c r="Q16" s="6" t="n">
        <f aca="false">SUMIF(September!$A$6:$A$37,$A16,September!$F$6:$F$37)+SUMIF('Week 1 October'!$A$6:$A$29,$A16,'Week 1 October'!$F$6:$F$29)+SUMIF('Week 2 October'!$A$6:$A$30,$A16,'Week 2 October'!$F$6:$F$30)+SUMIF('Week 3 October'!$A$6:$A$29,$A16,'Week 3 October'!$F$6:$F$29)+SUMIF('Week 4 October'!$A$6:$A$30,$A16,'Week 4 October'!$F$6:$F$30)</f>
        <v>5</v>
      </c>
      <c r="R16" s="6" t="n">
        <f aca="false">SUMIF(September!$A$6:$A$37,$A16,September!$G$6:$G$37)+SUMIF('Week 1 October'!$A$6:$A$29,$A16,'Week 1 October'!$G$6:$G$29)+SUMIF('Week 2 October'!$A$6:$A$30,$A16,'Week 2 October'!$G$6:$G$30)+SUMIF('Week 3 October'!$A$6:$A$29,$A16,'Week 3 October'!$G$6:$G$29)+SUMIF('Week 4 October'!$A$6:$A$30,$A16,'Week 4 October'!$G$6:$G$30)</f>
        <v>2</v>
      </c>
      <c r="S16" s="6" t="n">
        <f aca="false">R16-Q16</f>
        <v>-3</v>
      </c>
      <c r="T16" s="8" t="n">
        <f aca="false">IF(OR($A16="CHINA",$O$47=0),"",O16/$O$47)</f>
        <v>0.0461935835846059</v>
      </c>
    </row>
    <row r="17" customFormat="false" ht="15" hidden="false" customHeight="false" outlineLevel="0" collapsed="false">
      <c r="A17" s="5" t="s">
        <v>55</v>
      </c>
      <c r="B17" s="5" t="s">
        <v>49</v>
      </c>
      <c r="C17" s="6" t="n">
        <f aca="false">SUMIF(September!$A$6:$A$37,$A17,September!$B$6:$B$37)</f>
        <v>342</v>
      </c>
      <c r="D17" s="6" t="n">
        <f aca="false">SUMIF(September!$A$6:$A$37,$A17,September!$C$6:$C$37)</f>
        <v>1685</v>
      </c>
      <c r="E17" s="6" t="n">
        <f aca="false">SUMIF('Week 1 October'!$A$6:$A$29,$A17,'Week 1 October'!$B$6:$B$29)</f>
        <v>538</v>
      </c>
      <c r="F17" s="6" t="n">
        <f aca="false">SUMIF('Week 1 October'!$A$6:$A$29,$A17,'Week 1 October'!$C$6:$C$29)</f>
        <v>343</v>
      </c>
      <c r="G17" s="6" t="n">
        <f aca="false">SUMIF('Week 2 October'!$A$6:$A$30,$A17,'Week 2 October'!$B$6:$B$30)</f>
        <v>59567</v>
      </c>
      <c r="H17" s="6" t="n">
        <f aca="false">SUMIF('Week 2 October'!$A$6:$A$30,$A17,'Week 2 October'!$C$6:$C$30)</f>
        <v>220</v>
      </c>
      <c r="I17" s="6" t="n">
        <f aca="false">SUMIF('Week 3 October'!$A$6:$A$29,$A17,'Week 3 October'!$B$6:$B$29)</f>
        <v>122</v>
      </c>
      <c r="J17" s="6" t="n">
        <f aca="false">SUMIF('Week 3 October'!$A$6:$A$29,$A17,'Week 3 October'!$C$6:$C$29)</f>
        <v>0</v>
      </c>
      <c r="K17" s="6" t="n">
        <f aca="false">SUMIF('Week 4 October'!$A$6:$A$30,$A17,'Week 4 October'!$B$6:$B$30)</f>
        <v>60006</v>
      </c>
      <c r="L17" s="6" t="n">
        <f aca="false">SUMIF('Week 4 October'!$A$6:$A$30,$A17,'Week 4 October'!$C$6:$C$30)</f>
        <v>196</v>
      </c>
      <c r="M17" s="6" t="n">
        <f aca="false">C17+E17+G17+I17+K17</f>
        <v>120575</v>
      </c>
      <c r="N17" s="6" t="n">
        <f aca="false">D17+F17+H17+J17+L17</f>
        <v>2444</v>
      </c>
      <c r="O17" s="6" t="n">
        <f aca="false">N17-M17</f>
        <v>-118131</v>
      </c>
      <c r="P17" s="7" t="n">
        <f aca="false">IF(M17=0,IF(N17=0,0,"new"),N17/M17-1)</f>
        <v>-0.979730458221024</v>
      </c>
      <c r="Q17" s="6" t="n">
        <f aca="false">SUMIF(September!$A$6:$A$37,$A17,September!$F$6:$F$37)+SUMIF('Week 1 October'!$A$6:$A$29,$A17,'Week 1 October'!$F$6:$F$29)+SUMIF('Week 2 October'!$A$6:$A$30,$A17,'Week 2 October'!$F$6:$F$30)+SUMIF('Week 3 October'!$A$6:$A$29,$A17,'Week 3 October'!$F$6:$F$29)+SUMIF('Week 4 October'!$A$6:$A$30,$A17,'Week 4 October'!$F$6:$F$30)</f>
        <v>10</v>
      </c>
      <c r="R17" s="6" t="n">
        <f aca="false">SUMIF(September!$A$6:$A$37,$A17,September!$G$6:$G$37)+SUMIF('Week 1 October'!$A$6:$A$29,$A17,'Week 1 October'!$G$6:$G$29)+SUMIF('Week 2 October'!$A$6:$A$30,$A17,'Week 2 October'!$G$6:$G$30)+SUMIF('Week 3 October'!$A$6:$A$29,$A17,'Week 3 October'!$G$6:$G$29)+SUMIF('Week 4 October'!$A$6:$A$30,$A17,'Week 4 October'!$G$6:$G$30)</f>
        <v>16</v>
      </c>
      <c r="S17" s="6" t="n">
        <f aca="false">R17-Q17</f>
        <v>6</v>
      </c>
      <c r="T17" s="8" t="n">
        <f aca="false">IF(OR($A17="CHINA",$O$47=0),"",O17/$O$47)</f>
        <v>0.0385452827375174</v>
      </c>
    </row>
    <row r="18" customFormat="false" ht="15" hidden="false" customHeight="false" outlineLevel="0" collapsed="false">
      <c r="A18" s="5" t="s">
        <v>56</v>
      </c>
      <c r="B18" s="5" t="s">
        <v>44</v>
      </c>
      <c r="C18" s="6" t="n">
        <f aca="false">SUMIF(September!$A$6:$A$37,$A18,September!$B$6:$B$37)</f>
        <v>52418</v>
      </c>
      <c r="D18" s="6" t="n">
        <f aca="false">SUMIF(September!$A$6:$A$37,$A18,September!$C$6:$C$37)</f>
        <v>0</v>
      </c>
      <c r="E18" s="6" t="n">
        <f aca="false">SUMIF('Week 1 October'!$A$6:$A$29,$A18,'Week 1 October'!$B$6:$B$29)</f>
        <v>0</v>
      </c>
      <c r="F18" s="6" t="n">
        <f aca="false">SUMIF('Week 1 October'!$A$6:$A$29,$A18,'Week 1 October'!$C$6:$C$29)</f>
        <v>0</v>
      </c>
      <c r="G18" s="6" t="n">
        <f aca="false">SUMIF('Week 2 October'!$A$6:$A$30,$A18,'Week 2 October'!$B$6:$B$30)</f>
        <v>0</v>
      </c>
      <c r="H18" s="6" t="n">
        <f aca="false">SUMIF('Week 2 October'!$A$6:$A$30,$A18,'Week 2 October'!$C$6:$C$30)</f>
        <v>0</v>
      </c>
      <c r="I18" s="6" t="n">
        <f aca="false">SUMIF('Week 3 October'!$A$6:$A$29,$A18,'Week 3 October'!$B$6:$B$29)</f>
        <v>57055</v>
      </c>
      <c r="J18" s="6" t="n">
        <f aca="false">SUMIF('Week 3 October'!$A$6:$A$29,$A18,'Week 3 October'!$C$6:$C$29)</f>
        <v>0</v>
      </c>
      <c r="K18" s="6" t="n">
        <f aca="false">SUMIF('Week 4 October'!$A$6:$A$30,$A18,'Week 4 October'!$B$6:$B$30)</f>
        <v>0</v>
      </c>
      <c r="L18" s="6" t="n">
        <f aca="false">SUMIF('Week 4 October'!$A$6:$A$30,$A18,'Week 4 October'!$C$6:$C$30)</f>
        <v>0</v>
      </c>
      <c r="M18" s="6" t="n">
        <f aca="false">C18+E18+G18+I18+K18</f>
        <v>109473</v>
      </c>
      <c r="N18" s="6" t="n">
        <f aca="false">D18+F18+H18+J18+L18</f>
        <v>0</v>
      </c>
      <c r="O18" s="6" t="n">
        <f aca="false">N18-M18</f>
        <v>-109473</v>
      </c>
      <c r="P18" s="7" t="n">
        <f aca="false">IF(M18=0,IF(N18=0,0,"new"),N18/M18-1)</f>
        <v>-1</v>
      </c>
      <c r="Q18" s="6" t="n">
        <f aca="false">SUMIF(September!$A$6:$A$37,$A18,September!$F$6:$F$37)+SUMIF('Week 1 October'!$A$6:$A$29,$A18,'Week 1 October'!$F$6:$F$29)+SUMIF('Week 2 October'!$A$6:$A$30,$A18,'Week 2 October'!$F$6:$F$30)+SUMIF('Week 3 October'!$A$6:$A$29,$A18,'Week 3 October'!$F$6:$F$29)+SUMIF('Week 4 October'!$A$6:$A$30,$A18,'Week 4 October'!$F$6:$F$30)</f>
        <v>2</v>
      </c>
      <c r="R18" s="6" t="n">
        <f aca="false">SUMIF(September!$A$6:$A$37,$A18,September!$G$6:$G$37)+SUMIF('Week 1 October'!$A$6:$A$29,$A18,'Week 1 October'!$G$6:$G$29)+SUMIF('Week 2 October'!$A$6:$A$30,$A18,'Week 2 October'!$G$6:$G$30)+SUMIF('Week 3 October'!$A$6:$A$29,$A18,'Week 3 October'!$G$6:$G$29)+SUMIF('Week 4 October'!$A$6:$A$30,$A18,'Week 4 October'!$G$6:$G$30)</f>
        <v>0</v>
      </c>
      <c r="S18" s="6" t="n">
        <f aca="false">R18-Q18</f>
        <v>-2</v>
      </c>
      <c r="T18" s="8" t="n">
        <f aca="false">IF(OR($A18="CHINA",$O$47=0),"",O18/$O$47)</f>
        <v>0.0357202405560289</v>
      </c>
    </row>
    <row r="19" customFormat="false" ht="15" hidden="false" customHeight="false" outlineLevel="0" collapsed="false">
      <c r="A19" s="5" t="s">
        <v>57</v>
      </c>
      <c r="B19" s="5" t="s">
        <v>53</v>
      </c>
      <c r="C19" s="6" t="n">
        <f aca="false">SUMIF(September!$A$6:$A$37,$A19,September!$B$6:$B$37)</f>
        <v>17262</v>
      </c>
      <c r="D19" s="6" t="n">
        <f aca="false">SUMIF(September!$A$6:$A$37,$A19,September!$C$6:$C$37)</f>
        <v>3992</v>
      </c>
      <c r="E19" s="6" t="n">
        <f aca="false">SUMIF('Week 1 October'!$A$6:$A$29,$A19,'Week 1 October'!$B$6:$B$29)</f>
        <v>5142</v>
      </c>
      <c r="F19" s="6" t="n">
        <f aca="false">SUMIF('Week 1 October'!$A$6:$A$29,$A19,'Week 1 October'!$C$6:$C$29)</f>
        <v>979</v>
      </c>
      <c r="G19" s="6" t="n">
        <f aca="false">SUMIF('Week 2 October'!$A$6:$A$30,$A19,'Week 2 October'!$B$6:$B$30)</f>
        <v>3967</v>
      </c>
      <c r="H19" s="6" t="n">
        <f aca="false">SUMIF('Week 2 October'!$A$6:$A$30,$A19,'Week 2 October'!$C$6:$C$30)</f>
        <v>5634</v>
      </c>
      <c r="I19" s="6" t="n">
        <f aca="false">SUMIF('Week 3 October'!$A$6:$A$29,$A19,'Week 3 October'!$B$6:$B$29)</f>
        <v>65562</v>
      </c>
      <c r="J19" s="6" t="n">
        <f aca="false">SUMIF('Week 3 October'!$A$6:$A$29,$A19,'Week 3 October'!$C$6:$C$29)</f>
        <v>5535</v>
      </c>
      <c r="K19" s="6" t="n">
        <f aca="false">SUMIF('Week 4 October'!$A$6:$A$30,$A19,'Week 4 October'!$B$6:$B$30)</f>
        <v>9894</v>
      </c>
      <c r="L19" s="6" t="n">
        <f aca="false">SUMIF('Week 4 October'!$A$6:$A$30,$A19,'Week 4 October'!$C$6:$C$30)</f>
        <v>5337</v>
      </c>
      <c r="M19" s="6" t="n">
        <f aca="false">C19+E19+G19+I19+K19</f>
        <v>101827</v>
      </c>
      <c r="N19" s="6" t="n">
        <f aca="false">D19+F19+H19+J19+L19</f>
        <v>21477</v>
      </c>
      <c r="O19" s="6" t="n">
        <f aca="false">N19-M19</f>
        <v>-80350</v>
      </c>
      <c r="P19" s="7" t="n">
        <f aca="false">IF(M19=0,IF(N19=0,0,"new"),N19/M19-1)</f>
        <v>-0.789083445451599</v>
      </c>
      <c r="Q19" s="6" t="n">
        <f aca="false">SUMIF(September!$A$6:$A$37,$A19,September!$F$6:$F$37)+SUMIF('Week 1 October'!$A$6:$A$29,$A19,'Week 1 October'!$F$6:$F$29)+SUMIF('Week 2 October'!$A$6:$A$30,$A19,'Week 2 October'!$F$6:$F$30)+SUMIF('Week 3 October'!$A$6:$A$29,$A19,'Week 3 October'!$F$6:$F$29)+SUMIF('Week 4 October'!$A$6:$A$30,$A19,'Week 4 October'!$F$6:$F$30)</f>
        <v>130</v>
      </c>
      <c r="R19" s="6" t="n">
        <f aca="false">SUMIF(September!$A$6:$A$37,$A19,September!$G$6:$G$37)+SUMIF('Week 1 October'!$A$6:$A$29,$A19,'Week 1 October'!$G$6:$G$29)+SUMIF('Week 2 October'!$A$6:$A$30,$A19,'Week 2 October'!$G$6:$G$30)+SUMIF('Week 3 October'!$A$6:$A$29,$A19,'Week 3 October'!$G$6:$G$29)+SUMIF('Week 4 October'!$A$6:$A$30,$A19,'Week 4 October'!$G$6:$G$30)</f>
        <v>61</v>
      </c>
      <c r="S19" s="6" t="n">
        <f aca="false">R19-Q19</f>
        <v>-69</v>
      </c>
      <c r="T19" s="8" t="n">
        <f aca="false">IF(OR($A19="CHINA",$O$47=0),"",O19/$O$47)</f>
        <v>0.0262176183047593</v>
      </c>
    </row>
    <row r="20" customFormat="false" ht="15" hidden="false" customHeight="false" outlineLevel="0" collapsed="false">
      <c r="A20" s="5" t="s">
        <v>58</v>
      </c>
      <c r="B20" s="5" t="s">
        <v>46</v>
      </c>
      <c r="C20" s="6" t="n">
        <f aca="false">SUMIF(September!$A$6:$A$37,$A20,September!$B$6:$B$37)</f>
        <v>69088</v>
      </c>
      <c r="D20" s="6" t="n">
        <f aca="false">SUMIF(September!$A$6:$A$37,$A20,September!$C$6:$C$37)</f>
        <v>59652</v>
      </c>
      <c r="E20" s="6" t="n">
        <f aca="false">SUMIF('Week 1 October'!$A$6:$A$29,$A20,'Week 1 October'!$B$6:$B$29)</f>
        <v>0</v>
      </c>
      <c r="F20" s="6" t="n">
        <f aca="false">SUMIF('Week 1 October'!$A$6:$A$29,$A20,'Week 1 October'!$C$6:$C$29)</f>
        <v>0</v>
      </c>
      <c r="G20" s="6" t="n">
        <f aca="false">SUMIF('Week 2 October'!$A$6:$A$30,$A20,'Week 2 October'!$B$6:$B$30)</f>
        <v>59208</v>
      </c>
      <c r="H20" s="6" t="n">
        <f aca="false">SUMIF('Week 2 October'!$A$6:$A$30,$A20,'Week 2 October'!$C$6:$C$30)</f>
        <v>0</v>
      </c>
      <c r="I20" s="6" t="n">
        <f aca="false">SUMIF('Week 3 October'!$A$6:$A$29,$A20,'Week 3 October'!$B$6:$B$29)</f>
        <v>0</v>
      </c>
      <c r="J20" s="6" t="n">
        <f aca="false">SUMIF('Week 3 October'!$A$6:$A$29,$A20,'Week 3 October'!$C$6:$C$29)</f>
        <v>0</v>
      </c>
      <c r="K20" s="6" t="n">
        <f aca="false">SUMIF('Week 4 October'!$A$6:$A$30,$A20,'Week 4 October'!$B$6:$B$30)</f>
        <v>0</v>
      </c>
      <c r="L20" s="6" t="n">
        <f aca="false">SUMIF('Week 4 October'!$A$6:$A$30,$A20,'Week 4 October'!$C$6:$C$30)</f>
        <v>0</v>
      </c>
      <c r="M20" s="6" t="n">
        <f aca="false">C20+E20+G20+I20+K20</f>
        <v>128296</v>
      </c>
      <c r="N20" s="6" t="n">
        <f aca="false">D20+F20+H20+J20+L20</f>
        <v>59652</v>
      </c>
      <c r="O20" s="6" t="n">
        <f aca="false">N20-M20</f>
        <v>-68644</v>
      </c>
      <c r="P20" s="7" t="n">
        <f aca="false">IF(M20=0,IF(N20=0,0,"new"),N20/M20-1)</f>
        <v>-0.535043960840556</v>
      </c>
      <c r="Q20" s="6" t="n">
        <f aca="false">SUMIF(September!$A$6:$A$37,$A20,September!$F$6:$F$37)+SUMIF('Week 1 October'!$A$6:$A$29,$A20,'Week 1 October'!$F$6:$F$29)+SUMIF('Week 2 October'!$A$6:$A$30,$A20,'Week 2 October'!$F$6:$F$30)+SUMIF('Week 3 October'!$A$6:$A$29,$A20,'Week 3 October'!$F$6:$F$29)+SUMIF('Week 4 October'!$A$6:$A$30,$A20,'Week 4 October'!$F$6:$F$30)</f>
        <v>2</v>
      </c>
      <c r="R20" s="6" t="n">
        <f aca="false">SUMIF(September!$A$6:$A$37,$A20,September!$G$6:$G$37)+SUMIF('Week 1 October'!$A$6:$A$29,$A20,'Week 1 October'!$G$6:$G$29)+SUMIF('Week 2 October'!$A$6:$A$30,$A20,'Week 2 October'!$G$6:$G$30)+SUMIF('Week 3 October'!$A$6:$A$29,$A20,'Week 3 October'!$G$6:$G$29)+SUMIF('Week 4 October'!$A$6:$A$30,$A20,'Week 4 October'!$G$6:$G$30)</f>
        <v>1</v>
      </c>
      <c r="S20" s="6" t="n">
        <f aca="false">R20-Q20</f>
        <v>-1</v>
      </c>
      <c r="T20" s="8" t="n">
        <f aca="false">IF(OR($A20="CHINA",$O$47=0),"",O20/$O$47)</f>
        <v>0.0223980359789907</v>
      </c>
    </row>
    <row r="21" customFormat="false" ht="15" hidden="false" customHeight="false" outlineLevel="0" collapsed="false">
      <c r="A21" s="5" t="s">
        <v>59</v>
      </c>
      <c r="B21" s="5" t="s">
        <v>46</v>
      </c>
      <c r="C21" s="6" t="n">
        <f aca="false">SUMIF(September!$A$6:$A$37,$A21,September!$B$6:$B$37)</f>
        <v>67129</v>
      </c>
      <c r="D21" s="6" t="n">
        <f aca="false">SUMIF(September!$A$6:$A$37,$A21,September!$C$6:$C$37)</f>
        <v>0</v>
      </c>
      <c r="E21" s="6" t="n">
        <f aca="false">SUMIF('Week 1 October'!$A$6:$A$29,$A21,'Week 1 October'!$B$6:$B$29)</f>
        <v>0</v>
      </c>
      <c r="F21" s="6" t="n">
        <f aca="false">SUMIF('Week 1 October'!$A$6:$A$29,$A21,'Week 1 October'!$C$6:$C$29)</f>
        <v>0</v>
      </c>
      <c r="G21" s="6" t="n">
        <f aca="false">SUMIF('Week 2 October'!$A$6:$A$30,$A21,'Week 2 October'!$B$6:$B$30)</f>
        <v>0</v>
      </c>
      <c r="H21" s="6" t="n">
        <f aca="false">SUMIF('Week 2 October'!$A$6:$A$30,$A21,'Week 2 October'!$C$6:$C$30)</f>
        <v>0</v>
      </c>
      <c r="I21" s="6" t="n">
        <f aca="false">SUMIF('Week 3 October'!$A$6:$A$29,$A21,'Week 3 October'!$B$6:$B$29)</f>
        <v>0</v>
      </c>
      <c r="J21" s="6" t="n">
        <f aca="false">SUMIF('Week 3 October'!$A$6:$A$29,$A21,'Week 3 October'!$C$6:$C$29)</f>
        <v>0</v>
      </c>
      <c r="K21" s="6" t="n">
        <f aca="false">SUMIF('Week 4 October'!$A$6:$A$30,$A21,'Week 4 October'!$B$6:$B$30)</f>
        <v>0</v>
      </c>
      <c r="L21" s="6" t="n">
        <f aca="false">SUMIF('Week 4 October'!$A$6:$A$30,$A21,'Week 4 October'!$C$6:$C$30)</f>
        <v>0</v>
      </c>
      <c r="M21" s="6" t="n">
        <f aca="false">C21+E21+G21+I21+K21</f>
        <v>67129</v>
      </c>
      <c r="N21" s="6" t="n">
        <f aca="false">D21+F21+H21+J21+L21</f>
        <v>0</v>
      </c>
      <c r="O21" s="6" t="n">
        <f aca="false">N21-M21</f>
        <v>-67129</v>
      </c>
      <c r="P21" s="7" t="n">
        <f aca="false">IF(M21=0,IF(N21=0,0,"new"),N21/M21-1)</f>
        <v>-1</v>
      </c>
      <c r="Q21" s="6" t="n">
        <f aca="false">SUMIF(September!$A$6:$A$37,$A21,September!$F$6:$F$37)+SUMIF('Week 1 October'!$A$6:$A$29,$A21,'Week 1 October'!$F$6:$F$29)+SUMIF('Week 2 October'!$A$6:$A$30,$A21,'Week 2 October'!$F$6:$F$30)+SUMIF('Week 3 October'!$A$6:$A$29,$A21,'Week 3 October'!$F$6:$F$29)+SUMIF('Week 4 October'!$A$6:$A$30,$A21,'Week 4 October'!$F$6:$F$30)</f>
        <v>1</v>
      </c>
      <c r="R21" s="6" t="n">
        <f aca="false">SUMIF(September!$A$6:$A$37,$A21,September!$G$6:$G$37)+SUMIF('Week 1 October'!$A$6:$A$29,$A21,'Week 1 October'!$G$6:$G$29)+SUMIF('Week 2 October'!$A$6:$A$30,$A21,'Week 2 October'!$G$6:$G$30)+SUMIF('Week 3 October'!$A$6:$A$29,$A21,'Week 3 October'!$G$6:$G$29)+SUMIF('Week 4 October'!$A$6:$A$30,$A21,'Week 4 October'!$G$6:$G$30)</f>
        <v>0</v>
      </c>
      <c r="S21" s="6" t="n">
        <f aca="false">R21-Q21</f>
        <v>-1</v>
      </c>
      <c r="T21" s="8" t="n">
        <f aca="false">IF(OR($A21="CHINA",$O$47=0),"",O21/$O$47)</f>
        <v>0.0219037025411349</v>
      </c>
    </row>
    <row r="22" customFormat="false" ht="15" hidden="false" customHeight="false" outlineLevel="0" collapsed="false">
      <c r="A22" s="5" t="s">
        <v>60</v>
      </c>
      <c r="B22" s="5" t="s">
        <v>44</v>
      </c>
      <c r="C22" s="6" t="n">
        <f aca="false">SUMIF(September!$A$6:$A$37,$A22,September!$B$6:$B$37)</f>
        <v>29189</v>
      </c>
      <c r="D22" s="6" t="n">
        <f aca="false">SUMIF(September!$A$6:$A$37,$A22,September!$C$6:$C$37)</f>
        <v>0</v>
      </c>
      <c r="E22" s="6" t="n">
        <f aca="false">SUMIF('Week 1 October'!$A$6:$A$29,$A22,'Week 1 October'!$B$6:$B$29)</f>
        <v>0</v>
      </c>
      <c r="F22" s="6" t="n">
        <f aca="false">SUMIF('Week 1 October'!$A$6:$A$29,$A22,'Week 1 October'!$C$6:$C$29)</f>
        <v>0</v>
      </c>
      <c r="G22" s="6" t="n">
        <f aca="false">SUMIF('Week 2 October'!$A$6:$A$30,$A22,'Week 2 October'!$B$6:$B$30)</f>
        <v>0</v>
      </c>
      <c r="H22" s="6" t="n">
        <f aca="false">SUMIF('Week 2 October'!$A$6:$A$30,$A22,'Week 2 October'!$C$6:$C$30)</f>
        <v>0</v>
      </c>
      <c r="I22" s="6" t="n">
        <f aca="false">SUMIF('Week 3 October'!$A$6:$A$29,$A22,'Week 3 October'!$B$6:$B$29)</f>
        <v>0</v>
      </c>
      <c r="J22" s="6" t="n">
        <f aca="false">SUMIF('Week 3 October'!$A$6:$A$29,$A22,'Week 3 October'!$C$6:$C$29)</f>
        <v>0</v>
      </c>
      <c r="K22" s="6" t="n">
        <f aca="false">SUMIF('Week 4 October'!$A$6:$A$30,$A22,'Week 4 October'!$B$6:$B$30)</f>
        <v>30646</v>
      </c>
      <c r="L22" s="6" t="n">
        <f aca="false">SUMIF('Week 4 October'!$A$6:$A$30,$A22,'Week 4 October'!$C$6:$C$30)</f>
        <v>0</v>
      </c>
      <c r="M22" s="6" t="n">
        <f aca="false">C22+E22+G22+I22+K22</f>
        <v>59835</v>
      </c>
      <c r="N22" s="6" t="n">
        <f aca="false">D22+F22+H22+J22+L22</f>
        <v>0</v>
      </c>
      <c r="O22" s="6" t="n">
        <f aca="false">N22-M22</f>
        <v>-59835</v>
      </c>
      <c r="P22" s="7" t="n">
        <f aca="false">IF(M22=0,IF(N22=0,0,"new"),N22/M22-1)</f>
        <v>-1</v>
      </c>
      <c r="Q22" s="6" t="n">
        <f aca="false">SUMIF(September!$A$6:$A$37,$A22,September!$F$6:$F$37)+SUMIF('Week 1 October'!$A$6:$A$29,$A22,'Week 1 October'!$F$6:$F$29)+SUMIF('Week 2 October'!$A$6:$A$30,$A22,'Week 2 October'!$F$6:$F$30)+SUMIF('Week 3 October'!$A$6:$A$29,$A22,'Week 3 October'!$F$6:$F$29)+SUMIF('Week 4 October'!$A$6:$A$30,$A22,'Week 4 October'!$F$6:$F$30)</f>
        <v>2</v>
      </c>
      <c r="R22" s="6" t="n">
        <f aca="false">SUMIF(September!$A$6:$A$37,$A22,September!$G$6:$G$37)+SUMIF('Week 1 October'!$A$6:$A$29,$A22,'Week 1 October'!$G$6:$G$29)+SUMIF('Week 2 October'!$A$6:$A$30,$A22,'Week 2 October'!$G$6:$G$30)+SUMIF('Week 3 October'!$A$6:$A$29,$A22,'Week 3 October'!$G$6:$G$29)+SUMIF('Week 4 October'!$A$6:$A$30,$A22,'Week 4 October'!$G$6:$G$30)</f>
        <v>0</v>
      </c>
      <c r="S22" s="6" t="n">
        <f aca="false">R22-Q22</f>
        <v>-2</v>
      </c>
      <c r="T22" s="8" t="n">
        <f aca="false">IF(OR($A22="CHINA",$O$47=0),"",O22/$O$47)</f>
        <v>0.0195237236000657</v>
      </c>
    </row>
    <row r="23" customFormat="false" ht="15" hidden="false" customHeight="false" outlineLevel="0" collapsed="false">
      <c r="A23" s="5" t="s">
        <v>61</v>
      </c>
      <c r="B23" s="5" t="s">
        <v>46</v>
      </c>
      <c r="C23" s="6" t="n">
        <f aca="false">SUMIF(September!$A$6:$A$37,$A23,September!$B$6:$B$37)</f>
        <v>0</v>
      </c>
      <c r="D23" s="6" t="n">
        <f aca="false">SUMIF(September!$A$6:$A$37,$A23,September!$C$6:$C$37)</f>
        <v>0</v>
      </c>
      <c r="E23" s="6" t="n">
        <f aca="false">SUMIF('Week 1 October'!$A$6:$A$29,$A23,'Week 1 October'!$B$6:$B$29)</f>
        <v>0</v>
      </c>
      <c r="F23" s="6" t="n">
        <f aca="false">SUMIF('Week 1 October'!$A$6:$A$29,$A23,'Week 1 October'!$C$6:$C$29)</f>
        <v>0</v>
      </c>
      <c r="G23" s="6" t="n">
        <f aca="false">SUMIF('Week 2 October'!$A$6:$A$30,$A23,'Week 2 October'!$B$6:$B$30)</f>
        <v>0</v>
      </c>
      <c r="H23" s="6" t="n">
        <f aca="false">SUMIF('Week 2 October'!$A$6:$A$30,$A23,'Week 2 October'!$C$6:$C$30)</f>
        <v>0</v>
      </c>
      <c r="I23" s="6" t="n">
        <f aca="false">SUMIF('Week 3 October'!$A$6:$A$29,$A23,'Week 3 October'!$B$6:$B$29)</f>
        <v>20109</v>
      </c>
      <c r="J23" s="6" t="n">
        <f aca="false">SUMIF('Week 3 October'!$A$6:$A$29,$A23,'Week 3 October'!$C$6:$C$29)</f>
        <v>0</v>
      </c>
      <c r="K23" s="6" t="n">
        <f aca="false">SUMIF('Week 4 October'!$A$6:$A$30,$A23,'Week 4 October'!$B$6:$B$30)</f>
        <v>29604</v>
      </c>
      <c r="L23" s="6" t="n">
        <f aca="false">SUMIF('Week 4 October'!$A$6:$A$30,$A23,'Week 4 October'!$C$6:$C$30)</f>
        <v>0</v>
      </c>
      <c r="M23" s="6" t="n">
        <f aca="false">C23+E23+G23+I23+K23</f>
        <v>49713</v>
      </c>
      <c r="N23" s="6" t="n">
        <f aca="false">D23+F23+H23+J23+L23</f>
        <v>0</v>
      </c>
      <c r="O23" s="6" t="n">
        <f aca="false">N23-M23</f>
        <v>-49713</v>
      </c>
      <c r="P23" s="7" t="n">
        <f aca="false">IF(M23=0,IF(N23=0,0,"new"),N23/M23-1)</f>
        <v>-1</v>
      </c>
      <c r="Q23" s="6" t="n">
        <f aca="false">SUMIF(September!$A$6:$A$37,$A23,September!$F$6:$F$37)+SUMIF('Week 1 October'!$A$6:$A$29,$A23,'Week 1 October'!$F$6:$F$29)+SUMIF('Week 2 October'!$A$6:$A$30,$A23,'Week 2 October'!$F$6:$F$30)+SUMIF('Week 3 October'!$A$6:$A$29,$A23,'Week 3 October'!$F$6:$F$29)+SUMIF('Week 4 October'!$A$6:$A$30,$A23,'Week 4 October'!$F$6:$F$30)</f>
        <v>2</v>
      </c>
      <c r="R23" s="6" t="n">
        <f aca="false">SUMIF(September!$A$6:$A$37,$A23,September!$G$6:$G$37)+SUMIF('Week 1 October'!$A$6:$A$29,$A23,'Week 1 October'!$G$6:$G$29)+SUMIF('Week 2 October'!$A$6:$A$30,$A23,'Week 2 October'!$G$6:$G$30)+SUMIF('Week 3 October'!$A$6:$A$29,$A23,'Week 3 October'!$G$6:$G$29)+SUMIF('Week 4 October'!$A$6:$A$30,$A23,'Week 4 October'!$G$6:$G$30)</f>
        <v>0</v>
      </c>
      <c r="S23" s="6" t="n">
        <f aca="false">R23-Q23</f>
        <v>-2</v>
      </c>
      <c r="T23" s="8" t="n">
        <f aca="false">IF(OR($A23="CHINA",$O$47=0),"",O23/$O$47)</f>
        <v>0.0162209889083323</v>
      </c>
    </row>
    <row r="24" customFormat="false" ht="15" hidden="false" customHeight="false" outlineLevel="0" collapsed="false">
      <c r="A24" s="5" t="s">
        <v>62</v>
      </c>
      <c r="B24" s="5" t="s">
        <v>42</v>
      </c>
      <c r="C24" s="6" t="n">
        <f aca="false">SUMIF(September!$A$6:$A$37,$A24,September!$B$6:$B$37)</f>
        <v>0</v>
      </c>
      <c r="D24" s="6" t="n">
        <f aca="false">SUMIF(September!$A$6:$A$37,$A24,September!$C$6:$C$37)</f>
        <v>0</v>
      </c>
      <c r="E24" s="6" t="n">
        <f aca="false">SUMIF('Week 1 October'!$A$6:$A$29,$A24,'Week 1 October'!$B$6:$B$29)</f>
        <v>0</v>
      </c>
      <c r="F24" s="6" t="n">
        <f aca="false">SUMIF('Week 1 October'!$A$6:$A$29,$A24,'Week 1 October'!$C$6:$C$29)</f>
        <v>0</v>
      </c>
      <c r="G24" s="6" t="n">
        <f aca="false">SUMIF('Week 2 October'!$A$6:$A$30,$A24,'Week 2 October'!$B$6:$B$30)</f>
        <v>0</v>
      </c>
      <c r="H24" s="6" t="n">
        <f aca="false">SUMIF('Week 2 October'!$A$6:$A$30,$A24,'Week 2 October'!$C$6:$C$30)</f>
        <v>0</v>
      </c>
      <c r="I24" s="6" t="n">
        <f aca="false">SUMIF('Week 3 October'!$A$6:$A$29,$A24,'Week 3 October'!$B$6:$B$29)</f>
        <v>35200</v>
      </c>
      <c r="J24" s="6" t="n">
        <f aca="false">SUMIF('Week 3 October'!$A$6:$A$29,$A24,'Week 3 October'!$C$6:$C$29)</f>
        <v>0</v>
      </c>
      <c r="K24" s="6" t="n">
        <f aca="false">SUMIF('Week 4 October'!$A$6:$A$30,$A24,'Week 4 October'!$B$6:$B$30)</f>
        <v>0</v>
      </c>
      <c r="L24" s="6" t="n">
        <f aca="false">SUMIF('Week 4 October'!$A$6:$A$30,$A24,'Week 4 October'!$C$6:$C$30)</f>
        <v>0</v>
      </c>
      <c r="M24" s="6" t="n">
        <f aca="false">C24+E24+G24+I24+K24</f>
        <v>35200</v>
      </c>
      <c r="N24" s="6" t="n">
        <f aca="false">D24+F24+H24+J24+L24</f>
        <v>0</v>
      </c>
      <c r="O24" s="6" t="n">
        <f aca="false">N24-M24</f>
        <v>-35200</v>
      </c>
      <c r="P24" s="7" t="n">
        <f aca="false">IF(M24=0,IF(N24=0,0,"new"),N24/M24-1)</f>
        <v>-1</v>
      </c>
      <c r="Q24" s="6" t="n">
        <f aca="false">SUMIF(September!$A$6:$A$37,$A24,September!$F$6:$F$37)+SUMIF('Week 1 October'!$A$6:$A$29,$A24,'Week 1 October'!$F$6:$F$29)+SUMIF('Week 2 October'!$A$6:$A$30,$A24,'Week 2 October'!$F$6:$F$30)+SUMIF('Week 3 October'!$A$6:$A$29,$A24,'Week 3 October'!$F$6:$F$29)+SUMIF('Week 4 October'!$A$6:$A$30,$A24,'Week 4 October'!$F$6:$F$30)</f>
        <v>1</v>
      </c>
      <c r="R24" s="6" t="n">
        <f aca="false">SUMIF(September!$A$6:$A$37,$A24,September!$G$6:$G$37)+SUMIF('Week 1 October'!$A$6:$A$29,$A24,'Week 1 October'!$G$6:$G$29)+SUMIF('Week 2 October'!$A$6:$A$30,$A24,'Week 2 October'!$G$6:$G$30)+SUMIF('Week 3 October'!$A$6:$A$29,$A24,'Week 3 October'!$G$6:$G$29)+SUMIF('Week 4 October'!$A$6:$A$30,$A24,'Week 4 October'!$G$6:$G$30)</f>
        <v>0</v>
      </c>
      <c r="S24" s="6" t="n">
        <f aca="false">R24-Q24</f>
        <v>-1</v>
      </c>
      <c r="T24" s="8" t="n">
        <f aca="false">IF(OR($A24="CHINA",$O$47=0),"",O24/$O$47)</f>
        <v>0.0114855029785629</v>
      </c>
    </row>
    <row r="25" customFormat="false" ht="15" hidden="false" customHeight="false" outlineLevel="0" collapsed="false">
      <c r="A25" s="5" t="s">
        <v>63</v>
      </c>
      <c r="B25" s="5" t="s">
        <v>44</v>
      </c>
      <c r="C25" s="6" t="n">
        <f aca="false">SUMIF(September!$A$6:$A$37,$A25,September!$B$6:$B$37)</f>
        <v>0</v>
      </c>
      <c r="D25" s="6" t="n">
        <f aca="false">SUMIF(September!$A$6:$A$37,$A25,September!$C$6:$C$37)</f>
        <v>0</v>
      </c>
      <c r="E25" s="6" t="n">
        <f aca="false">SUMIF('Week 1 October'!$A$6:$A$29,$A25,'Week 1 October'!$B$6:$B$29)</f>
        <v>0</v>
      </c>
      <c r="F25" s="6" t="n">
        <f aca="false">SUMIF('Week 1 October'!$A$6:$A$29,$A25,'Week 1 October'!$C$6:$C$29)</f>
        <v>0</v>
      </c>
      <c r="G25" s="6" t="n">
        <f aca="false">SUMIF('Week 2 October'!$A$6:$A$30,$A25,'Week 2 October'!$B$6:$B$30)</f>
        <v>0</v>
      </c>
      <c r="H25" s="6" t="n">
        <f aca="false">SUMIF('Week 2 October'!$A$6:$A$30,$A25,'Week 2 October'!$C$6:$C$30)</f>
        <v>0</v>
      </c>
      <c r="I25" s="6" t="n">
        <f aca="false">SUMIF('Week 3 October'!$A$6:$A$29,$A25,'Week 3 October'!$B$6:$B$29)</f>
        <v>0</v>
      </c>
      <c r="J25" s="6" t="n">
        <f aca="false">SUMIF('Week 3 October'!$A$6:$A$29,$A25,'Week 3 October'!$C$6:$C$29)</f>
        <v>0</v>
      </c>
      <c r="K25" s="6" t="n">
        <f aca="false">SUMIF('Week 4 October'!$A$6:$A$30,$A25,'Week 4 October'!$B$6:$B$30)</f>
        <v>30590</v>
      </c>
      <c r="L25" s="6" t="n">
        <f aca="false">SUMIF('Week 4 October'!$A$6:$A$30,$A25,'Week 4 October'!$C$6:$C$30)</f>
        <v>0</v>
      </c>
      <c r="M25" s="6" t="n">
        <f aca="false">C25+E25+G25+I25+K25</f>
        <v>30590</v>
      </c>
      <c r="N25" s="6" t="n">
        <f aca="false">D25+F25+H25+J25+L25</f>
        <v>0</v>
      </c>
      <c r="O25" s="6" t="n">
        <f aca="false">N25-M25</f>
        <v>-30590</v>
      </c>
      <c r="P25" s="7" t="n">
        <f aca="false">IF(M25=0,IF(N25=0,0,"new"),N25/M25-1)</f>
        <v>-1</v>
      </c>
      <c r="Q25" s="6" t="n">
        <f aca="false">SUMIF(September!$A$6:$A$37,$A25,September!$F$6:$F$37)+SUMIF('Week 1 October'!$A$6:$A$29,$A25,'Week 1 October'!$F$6:$F$29)+SUMIF('Week 2 October'!$A$6:$A$30,$A25,'Week 2 October'!$F$6:$F$30)+SUMIF('Week 3 October'!$A$6:$A$29,$A25,'Week 3 October'!$F$6:$F$29)+SUMIF('Week 4 October'!$A$6:$A$30,$A25,'Week 4 October'!$F$6:$F$30)</f>
        <v>1</v>
      </c>
      <c r="R25" s="6" t="n">
        <f aca="false">SUMIF(September!$A$6:$A$37,$A25,September!$G$6:$G$37)+SUMIF('Week 1 October'!$A$6:$A$29,$A25,'Week 1 October'!$G$6:$G$29)+SUMIF('Week 2 October'!$A$6:$A$30,$A25,'Week 2 October'!$G$6:$G$30)+SUMIF('Week 3 October'!$A$6:$A$29,$A25,'Week 3 October'!$G$6:$G$29)+SUMIF('Week 4 October'!$A$6:$A$30,$A25,'Week 4 October'!$G$6:$G$30)</f>
        <v>0</v>
      </c>
      <c r="S25" s="6" t="n">
        <f aca="false">R25-Q25</f>
        <v>-1</v>
      </c>
      <c r="T25" s="8" t="n">
        <f aca="false">IF(OR($A25="CHINA",$O$47=0),"",O25/$O$47)</f>
        <v>0.00998129363960906</v>
      </c>
    </row>
    <row r="26" customFormat="false" ht="15" hidden="false" customHeight="false" outlineLevel="0" collapsed="false">
      <c r="A26" s="5" t="s">
        <v>64</v>
      </c>
      <c r="B26" s="5" t="s">
        <v>53</v>
      </c>
      <c r="C26" s="6" t="n">
        <f aca="false">SUMIF(September!$A$6:$A$37,$A26,September!$B$6:$B$37)</f>
        <v>43375</v>
      </c>
      <c r="D26" s="6" t="n">
        <f aca="false">SUMIF(September!$A$6:$A$37,$A26,September!$C$6:$C$37)</f>
        <v>23412</v>
      </c>
      <c r="E26" s="6" t="n">
        <f aca="false">SUMIF('Week 1 October'!$A$6:$A$29,$A26,'Week 1 October'!$B$6:$B$29)</f>
        <v>6244</v>
      </c>
      <c r="F26" s="6" t="n">
        <f aca="false">SUMIF('Week 1 October'!$A$6:$A$29,$A26,'Week 1 October'!$C$6:$C$29)</f>
        <v>3967</v>
      </c>
      <c r="G26" s="6" t="n">
        <f aca="false">SUMIF('Week 2 October'!$A$6:$A$30,$A26,'Week 2 October'!$B$6:$B$30)</f>
        <v>5193</v>
      </c>
      <c r="H26" s="6" t="n">
        <f aca="false">SUMIF('Week 2 October'!$A$6:$A$30,$A26,'Week 2 October'!$C$6:$C$30)</f>
        <v>9210</v>
      </c>
      <c r="I26" s="6" t="n">
        <f aca="false">SUMIF('Week 3 October'!$A$6:$A$29,$A26,'Week 3 October'!$B$6:$B$29)</f>
        <v>10802</v>
      </c>
      <c r="J26" s="6" t="n">
        <f aca="false">SUMIF('Week 3 October'!$A$6:$A$29,$A26,'Week 3 October'!$C$6:$C$29)</f>
        <v>8302</v>
      </c>
      <c r="K26" s="6" t="n">
        <f aca="false">SUMIF('Week 4 October'!$A$6:$A$30,$A26,'Week 4 October'!$B$6:$B$30)</f>
        <v>10019</v>
      </c>
      <c r="L26" s="6" t="n">
        <f aca="false">SUMIF('Week 4 October'!$A$6:$A$30,$A26,'Week 4 October'!$C$6:$C$30)</f>
        <v>9626</v>
      </c>
      <c r="M26" s="6" t="n">
        <f aca="false">C26+E26+G26+I26+K26</f>
        <v>75633</v>
      </c>
      <c r="N26" s="6" t="n">
        <f aca="false">D26+F26+H26+J26+L26</f>
        <v>54517</v>
      </c>
      <c r="O26" s="6" t="n">
        <f aca="false">N26-M26</f>
        <v>-21116</v>
      </c>
      <c r="P26" s="7" t="n">
        <f aca="false">IF(M26=0,IF(N26=0,0,"new"),N26/M26-1)</f>
        <v>-0.279190300530192</v>
      </c>
      <c r="Q26" s="6" t="n">
        <f aca="false">SUMIF(September!$A$6:$A$37,$A26,September!$F$6:$F$37)+SUMIF('Week 1 October'!$A$6:$A$29,$A26,'Week 1 October'!$F$6:$F$29)+SUMIF('Week 2 October'!$A$6:$A$30,$A26,'Week 2 October'!$F$6:$F$30)+SUMIF('Week 3 October'!$A$6:$A$29,$A26,'Week 3 October'!$F$6:$F$29)+SUMIF('Week 4 October'!$A$6:$A$30,$A26,'Week 4 October'!$F$6:$F$30)</f>
        <v>194</v>
      </c>
      <c r="R26" s="6" t="n">
        <f aca="false">SUMIF(September!$A$6:$A$37,$A26,September!$G$6:$G$37)+SUMIF('Week 1 October'!$A$6:$A$29,$A26,'Week 1 October'!$G$6:$G$29)+SUMIF('Week 2 October'!$A$6:$A$30,$A26,'Week 2 October'!$G$6:$G$30)+SUMIF('Week 3 October'!$A$6:$A$29,$A26,'Week 3 October'!$G$6:$G$29)+SUMIF('Week 4 October'!$A$6:$A$30,$A26,'Week 4 October'!$G$6:$G$30)</f>
        <v>140</v>
      </c>
      <c r="S26" s="6" t="n">
        <f aca="false">R26-Q26</f>
        <v>-54</v>
      </c>
      <c r="T26" s="8" t="n">
        <f aca="false">IF(OR($A26="CHINA",$O$47=0),"",O26/$O$47)</f>
        <v>0.00688999661634472</v>
      </c>
    </row>
    <row r="27" customFormat="false" ht="15" hidden="false" customHeight="false" outlineLevel="0" collapsed="false">
      <c r="A27" s="5" t="s">
        <v>65</v>
      </c>
      <c r="B27" s="5" t="s">
        <v>42</v>
      </c>
      <c r="C27" s="6" t="n">
        <f aca="false">SUMIF(September!$A$6:$A$37,$A27,September!$B$6:$B$37)</f>
        <v>25355</v>
      </c>
      <c r="D27" s="6" t="n">
        <f aca="false">SUMIF(September!$A$6:$A$37,$A27,September!$C$6:$C$37)</f>
        <v>12500</v>
      </c>
      <c r="E27" s="6" t="n">
        <f aca="false">SUMIF('Week 1 October'!$A$6:$A$29,$A27,'Week 1 October'!$B$6:$B$29)</f>
        <v>12285</v>
      </c>
      <c r="F27" s="6" t="n">
        <f aca="false">SUMIF('Week 1 October'!$A$6:$A$29,$A27,'Week 1 October'!$C$6:$C$29)</f>
        <v>7196</v>
      </c>
      <c r="G27" s="6" t="n">
        <f aca="false">SUMIF('Week 2 October'!$A$6:$A$30,$A27,'Week 2 October'!$B$6:$B$30)</f>
        <v>7274</v>
      </c>
      <c r="H27" s="6" t="n">
        <f aca="false">SUMIF('Week 2 October'!$A$6:$A$30,$A27,'Week 2 October'!$C$6:$C$30)</f>
        <v>0</v>
      </c>
      <c r="I27" s="6" t="n">
        <f aca="false">SUMIF('Week 3 October'!$A$6:$A$29,$A27,'Week 3 October'!$B$6:$B$29)</f>
        <v>0</v>
      </c>
      <c r="J27" s="6" t="n">
        <f aca="false">SUMIF('Week 3 October'!$A$6:$A$29,$A27,'Week 3 October'!$C$6:$C$29)</f>
        <v>12050</v>
      </c>
      <c r="K27" s="6" t="n">
        <f aca="false">SUMIF('Week 4 October'!$A$6:$A$30,$A27,'Week 4 October'!$B$6:$B$30)</f>
        <v>0</v>
      </c>
      <c r="L27" s="6" t="n">
        <f aca="false">SUMIF('Week 4 October'!$A$6:$A$30,$A27,'Week 4 October'!$C$6:$C$30)</f>
        <v>0</v>
      </c>
      <c r="M27" s="6" t="n">
        <f aca="false">C27+E27+G27+I27+K27</f>
        <v>44914</v>
      </c>
      <c r="N27" s="6" t="n">
        <f aca="false">D27+F27+H27+J27+L27</f>
        <v>31746</v>
      </c>
      <c r="O27" s="6" t="n">
        <f aca="false">N27-M27</f>
        <v>-13168</v>
      </c>
      <c r="P27" s="7" t="n">
        <f aca="false">IF(M27=0,IF(N27=0,0,"new"),N27/M27-1)</f>
        <v>-0.293182526606403</v>
      </c>
      <c r="Q27" s="6" t="n">
        <f aca="false">SUMIF(September!$A$6:$A$37,$A27,September!$F$6:$F$37)+SUMIF('Week 1 October'!$A$6:$A$29,$A27,'Week 1 October'!$F$6:$F$29)+SUMIF('Week 2 October'!$A$6:$A$30,$A27,'Week 2 October'!$F$6:$F$30)+SUMIF('Week 3 October'!$A$6:$A$29,$A27,'Week 3 October'!$F$6:$F$29)+SUMIF('Week 4 October'!$A$6:$A$30,$A27,'Week 4 October'!$F$6:$F$30)</f>
        <v>4</v>
      </c>
      <c r="R27" s="6" t="n">
        <f aca="false">SUMIF(September!$A$6:$A$37,$A27,September!$G$6:$G$37)+SUMIF('Week 1 October'!$A$6:$A$29,$A27,'Week 1 October'!$G$6:$G$29)+SUMIF('Week 2 October'!$A$6:$A$30,$A27,'Week 2 October'!$G$6:$G$30)+SUMIF('Week 3 October'!$A$6:$A$29,$A27,'Week 3 October'!$G$6:$G$29)+SUMIF('Week 4 October'!$A$6:$A$30,$A27,'Week 4 October'!$G$6:$G$30)</f>
        <v>3</v>
      </c>
      <c r="S27" s="6" t="n">
        <f aca="false">R27-Q27</f>
        <v>-1</v>
      </c>
      <c r="T27" s="8" t="n">
        <f aca="false">IF(OR($A27="CHINA",$O$47=0),"",O27/$O$47)</f>
        <v>0.00429662225061694</v>
      </c>
    </row>
    <row r="28" customFormat="false" ht="15" hidden="false" customHeight="false" outlineLevel="0" collapsed="false">
      <c r="A28" s="5" t="s">
        <v>66</v>
      </c>
      <c r="B28" s="5" t="s">
        <v>42</v>
      </c>
      <c r="C28" s="6" t="n">
        <f aca="false">SUMIF(September!$A$6:$A$37,$A28,September!$B$6:$B$37)</f>
        <v>27740</v>
      </c>
      <c r="D28" s="6" t="n">
        <f aca="false">SUMIF(September!$A$6:$A$37,$A28,September!$C$6:$C$37)</f>
        <v>33430</v>
      </c>
      <c r="E28" s="6" t="n">
        <f aca="false">SUMIF('Week 1 October'!$A$6:$A$29,$A28,'Week 1 October'!$B$6:$B$29)</f>
        <v>6285</v>
      </c>
      <c r="F28" s="6" t="n">
        <f aca="false">SUMIF('Week 1 October'!$A$6:$A$29,$A28,'Week 1 October'!$C$6:$C$29)</f>
        <v>10628</v>
      </c>
      <c r="G28" s="6" t="n">
        <f aca="false">SUMIF('Week 2 October'!$A$6:$A$30,$A28,'Week 2 October'!$B$6:$B$30)</f>
        <v>6999</v>
      </c>
      <c r="H28" s="6" t="n">
        <f aca="false">SUMIF('Week 2 October'!$A$6:$A$30,$A28,'Week 2 October'!$C$6:$C$30)</f>
        <v>0</v>
      </c>
      <c r="I28" s="6" t="n">
        <f aca="false">SUMIF('Week 3 October'!$A$6:$A$29,$A28,'Week 3 October'!$B$6:$B$29)</f>
        <v>0</v>
      </c>
      <c r="J28" s="6" t="n">
        <f aca="false">SUMIF('Week 3 October'!$A$6:$A$29,$A28,'Week 3 October'!$C$6:$C$29)</f>
        <v>0</v>
      </c>
      <c r="K28" s="6" t="n">
        <f aca="false">SUMIF('Week 4 October'!$A$6:$A$30,$A28,'Week 4 October'!$B$6:$B$30)</f>
        <v>11000</v>
      </c>
      <c r="L28" s="6" t="n">
        <f aca="false">SUMIF('Week 4 October'!$A$6:$A$30,$A28,'Week 4 October'!$C$6:$C$30)</f>
        <v>0</v>
      </c>
      <c r="M28" s="6" t="n">
        <f aca="false">C28+E28+G28+I28+K28</f>
        <v>52024</v>
      </c>
      <c r="N28" s="6" t="n">
        <f aca="false">D28+F28+H28+J28+L28</f>
        <v>44058</v>
      </c>
      <c r="O28" s="6" t="n">
        <f aca="false">N28-M28</f>
        <v>-7966</v>
      </c>
      <c r="P28" s="7" t="n">
        <f aca="false">IF(M28=0,IF(N28=0,0,"new"),N28/M28-1)</f>
        <v>-0.153121636167923</v>
      </c>
      <c r="Q28" s="6" t="n">
        <f aca="false">SUMIF(September!$A$6:$A$37,$A28,September!$F$6:$F$37)+SUMIF('Week 1 October'!$A$6:$A$29,$A28,'Week 1 October'!$F$6:$F$29)+SUMIF('Week 2 October'!$A$6:$A$30,$A28,'Week 2 October'!$F$6:$F$30)+SUMIF('Week 3 October'!$A$6:$A$29,$A28,'Week 3 October'!$F$6:$F$29)+SUMIF('Week 4 October'!$A$6:$A$30,$A28,'Week 4 October'!$F$6:$F$30)</f>
        <v>7</v>
      </c>
      <c r="R28" s="6" t="n">
        <f aca="false">SUMIF(September!$A$6:$A$37,$A28,September!$G$6:$G$37)+SUMIF('Week 1 October'!$A$6:$A$29,$A28,'Week 1 October'!$G$6:$G$29)+SUMIF('Week 2 October'!$A$6:$A$30,$A28,'Week 2 October'!$G$6:$G$30)+SUMIF('Week 3 October'!$A$6:$A$29,$A28,'Week 3 October'!$G$6:$G$29)+SUMIF('Week 4 October'!$A$6:$A$30,$A28,'Week 4 October'!$G$6:$G$30)</f>
        <v>5</v>
      </c>
      <c r="S28" s="6" t="n">
        <f aca="false">R28-Q28</f>
        <v>-2</v>
      </c>
      <c r="T28" s="8" t="n">
        <f aca="false">IF(OR($A28="CHINA",$O$47=0),"",O28/$O$47)</f>
        <v>0.00259924763429636</v>
      </c>
    </row>
    <row r="29" customFormat="false" ht="15" hidden="false" customHeight="false" outlineLevel="0" collapsed="false">
      <c r="A29" s="5" t="s">
        <v>67</v>
      </c>
      <c r="B29" s="5" t="s">
        <v>42</v>
      </c>
      <c r="C29" s="6" t="n">
        <f aca="false">SUMIF(September!$A$6:$A$37,$A29,September!$B$6:$B$37)</f>
        <v>7205</v>
      </c>
      <c r="D29" s="6" t="n">
        <f aca="false">SUMIF(September!$A$6:$A$37,$A29,September!$C$6:$C$37)</f>
        <v>0</v>
      </c>
      <c r="E29" s="6" t="n">
        <f aca="false">SUMIF('Week 1 October'!$A$6:$A$29,$A29,'Week 1 October'!$B$6:$B$29)</f>
        <v>0</v>
      </c>
      <c r="F29" s="6" t="n">
        <f aca="false">SUMIF('Week 1 October'!$A$6:$A$29,$A29,'Week 1 October'!$C$6:$C$29)</f>
        <v>0</v>
      </c>
      <c r="G29" s="6" t="n">
        <f aca="false">SUMIF('Week 2 October'!$A$6:$A$30,$A29,'Week 2 October'!$B$6:$B$30)</f>
        <v>0</v>
      </c>
      <c r="H29" s="6" t="n">
        <f aca="false">SUMIF('Week 2 October'!$A$6:$A$30,$A29,'Week 2 October'!$C$6:$C$30)</f>
        <v>171</v>
      </c>
      <c r="I29" s="6" t="n">
        <f aca="false">SUMIF('Week 3 October'!$A$6:$A$29,$A29,'Week 3 October'!$B$6:$B$29)</f>
        <v>0</v>
      </c>
      <c r="J29" s="6" t="n">
        <f aca="false">SUMIF('Week 3 October'!$A$6:$A$29,$A29,'Week 3 October'!$C$6:$C$29)</f>
        <v>0</v>
      </c>
      <c r="K29" s="6" t="n">
        <f aca="false">SUMIF('Week 4 October'!$A$6:$A$30,$A29,'Week 4 October'!$B$6:$B$30)</f>
        <v>0</v>
      </c>
      <c r="L29" s="6" t="n">
        <f aca="false">SUMIF('Week 4 October'!$A$6:$A$30,$A29,'Week 4 October'!$C$6:$C$30)</f>
        <v>0</v>
      </c>
      <c r="M29" s="6" t="n">
        <f aca="false">C29+E29+G29+I29+K29</f>
        <v>7205</v>
      </c>
      <c r="N29" s="6" t="n">
        <f aca="false">D29+F29+H29+J29+L29</f>
        <v>171</v>
      </c>
      <c r="O29" s="6" t="n">
        <f aca="false">N29-M29</f>
        <v>-7034</v>
      </c>
      <c r="P29" s="7" t="n">
        <f aca="false">IF(M29=0,IF(N29=0,0,"new"),N29/M29-1)</f>
        <v>-0.976266481609993</v>
      </c>
      <c r="Q29" s="6" t="n">
        <f aca="false">SUMIF(September!$A$6:$A$37,$A29,September!$F$6:$F$37)+SUMIF('Week 1 October'!$A$6:$A$29,$A29,'Week 1 October'!$F$6:$F$29)+SUMIF('Week 2 October'!$A$6:$A$30,$A29,'Week 2 October'!$F$6:$F$30)+SUMIF('Week 3 October'!$A$6:$A$29,$A29,'Week 3 October'!$F$6:$F$29)+SUMIF('Week 4 October'!$A$6:$A$30,$A29,'Week 4 October'!$F$6:$F$30)</f>
        <v>1</v>
      </c>
      <c r="R29" s="6" t="n">
        <f aca="false">SUMIF(September!$A$6:$A$37,$A29,September!$G$6:$G$37)+SUMIF('Week 1 October'!$A$6:$A$29,$A29,'Week 1 October'!$G$6:$G$29)+SUMIF('Week 2 October'!$A$6:$A$30,$A29,'Week 2 October'!$G$6:$G$30)+SUMIF('Week 3 October'!$A$6:$A$29,$A29,'Week 3 October'!$G$6:$G$29)+SUMIF('Week 4 October'!$A$6:$A$30,$A29,'Week 4 October'!$G$6:$G$30)</f>
        <v>1</v>
      </c>
      <c r="S29" s="6" t="n">
        <f aca="false">R29-Q29</f>
        <v>0</v>
      </c>
      <c r="T29" s="8" t="n">
        <f aca="false">IF(OR($A29="CHINA",$O$47=0),"",O29/$O$47)</f>
        <v>0.00229514283952305</v>
      </c>
    </row>
    <row r="30" customFormat="false" ht="15" hidden="false" customHeight="false" outlineLevel="0" collapsed="false">
      <c r="A30" s="5" t="s">
        <v>68</v>
      </c>
      <c r="B30" s="5" t="s">
        <v>40</v>
      </c>
      <c r="C30" s="6" t="n">
        <f aca="false">SUMIF(September!$A$6:$A$37,$A30,September!$B$6:$B$37)</f>
        <v>1347</v>
      </c>
      <c r="D30" s="6" t="n">
        <f aca="false">SUMIF(September!$A$6:$A$37,$A30,September!$C$6:$C$37)</f>
        <v>0</v>
      </c>
      <c r="E30" s="6" t="n">
        <f aca="false">SUMIF('Week 1 October'!$A$6:$A$29,$A30,'Week 1 October'!$B$6:$B$29)</f>
        <v>0</v>
      </c>
      <c r="F30" s="6" t="n">
        <f aca="false">SUMIF('Week 1 October'!$A$6:$A$29,$A30,'Week 1 October'!$C$6:$C$29)</f>
        <v>0</v>
      </c>
      <c r="G30" s="6" t="n">
        <f aca="false">SUMIF('Week 2 October'!$A$6:$A$30,$A30,'Week 2 October'!$B$6:$B$30)</f>
        <v>490</v>
      </c>
      <c r="H30" s="6" t="n">
        <f aca="false">SUMIF('Week 2 October'!$A$6:$A$30,$A30,'Week 2 October'!$C$6:$C$30)</f>
        <v>0</v>
      </c>
      <c r="I30" s="6" t="n">
        <f aca="false">SUMIF('Week 3 October'!$A$6:$A$29,$A30,'Week 3 October'!$B$6:$B$29)</f>
        <v>2449</v>
      </c>
      <c r="J30" s="6" t="n">
        <f aca="false">SUMIF('Week 3 October'!$A$6:$A$29,$A30,'Week 3 October'!$C$6:$C$29)</f>
        <v>833</v>
      </c>
      <c r="K30" s="6" t="n">
        <f aca="false">SUMIF('Week 4 October'!$A$6:$A$30,$A30,'Week 4 October'!$B$6:$B$30)</f>
        <v>7101</v>
      </c>
      <c r="L30" s="6" t="n">
        <f aca="false">SUMIF('Week 4 October'!$A$6:$A$30,$A30,'Week 4 October'!$C$6:$C$30)</f>
        <v>4238</v>
      </c>
      <c r="M30" s="6" t="n">
        <f aca="false">C30+E30+G30+I30+K30</f>
        <v>11387</v>
      </c>
      <c r="N30" s="6" t="n">
        <f aca="false">D30+F30+H30+J30+L30</f>
        <v>5071</v>
      </c>
      <c r="O30" s="6" t="n">
        <f aca="false">N30-M30</f>
        <v>-6316</v>
      </c>
      <c r="P30" s="7" t="n">
        <f aca="false">IF(M30=0,IF(N30=0,0,"new"),N30/M30-1)</f>
        <v>-0.554667603407394</v>
      </c>
      <c r="Q30" s="6" t="n">
        <f aca="false">SUMIF(September!$A$6:$A$37,$A30,September!$F$6:$F$37)+SUMIF('Week 1 October'!$A$6:$A$29,$A30,'Week 1 October'!$F$6:$F$29)+SUMIF('Week 2 October'!$A$6:$A$30,$A30,'Week 2 October'!$F$6:$F$30)+SUMIF('Week 3 October'!$A$6:$A$29,$A30,'Week 3 October'!$F$6:$F$29)+SUMIF('Week 4 October'!$A$6:$A$30,$A30,'Week 4 October'!$F$6:$F$30)</f>
        <v>30</v>
      </c>
      <c r="R30" s="6" t="n">
        <f aca="false">SUMIF(September!$A$6:$A$37,$A30,September!$G$6:$G$37)+SUMIF('Week 1 October'!$A$6:$A$29,$A30,'Week 1 October'!$G$6:$G$29)+SUMIF('Week 2 October'!$A$6:$A$30,$A30,'Week 2 October'!$G$6:$G$30)+SUMIF('Week 3 October'!$A$6:$A$29,$A30,'Week 3 October'!$G$6:$G$29)+SUMIF('Week 4 October'!$A$6:$A$30,$A30,'Week 4 October'!$G$6:$G$30)</f>
        <v>11</v>
      </c>
      <c r="S30" s="6" t="n">
        <f aca="false">R30-Q30</f>
        <v>-19</v>
      </c>
      <c r="T30" s="8" t="n">
        <f aca="false">IF(OR($A30="CHINA",$O$47=0),"",O30/$O$47)</f>
        <v>0.00206086468217623</v>
      </c>
    </row>
    <row r="31" customFormat="false" ht="15" hidden="false" customHeight="false" outlineLevel="0" collapsed="false">
      <c r="A31" s="5" t="s">
        <v>69</v>
      </c>
      <c r="B31" s="5" t="s">
        <v>53</v>
      </c>
      <c r="C31" s="6" t="n">
        <f aca="false">SUMIF(September!$A$6:$A$37,$A31,September!$B$6:$B$37)</f>
        <v>11038</v>
      </c>
      <c r="D31" s="6" t="n">
        <f aca="false">SUMIF(September!$A$6:$A$37,$A31,September!$C$6:$C$37)</f>
        <v>6656</v>
      </c>
      <c r="E31" s="6" t="n">
        <f aca="false">SUMIF('Week 1 October'!$A$6:$A$29,$A31,'Week 1 October'!$B$6:$B$29)</f>
        <v>171</v>
      </c>
      <c r="F31" s="6" t="n">
        <f aca="false">SUMIF('Week 1 October'!$A$6:$A$29,$A31,'Week 1 October'!$C$6:$C$29)</f>
        <v>1150</v>
      </c>
      <c r="G31" s="6" t="n">
        <f aca="false">SUMIF('Week 2 October'!$A$6:$A$30,$A31,'Week 2 October'!$B$6:$B$30)</f>
        <v>1445</v>
      </c>
      <c r="H31" s="6" t="n">
        <f aca="false">SUMIF('Week 2 October'!$A$6:$A$30,$A31,'Week 2 October'!$C$6:$C$30)</f>
        <v>1811</v>
      </c>
      <c r="I31" s="6" t="n">
        <f aca="false">SUMIF('Week 3 October'!$A$6:$A$29,$A31,'Week 3 October'!$B$6:$B$29)</f>
        <v>1812</v>
      </c>
      <c r="J31" s="6" t="n">
        <f aca="false">SUMIF('Week 3 October'!$A$6:$A$29,$A31,'Week 3 October'!$C$6:$C$29)</f>
        <v>1102</v>
      </c>
      <c r="K31" s="6" t="n">
        <f aca="false">SUMIF('Week 4 October'!$A$6:$A$30,$A31,'Week 4 October'!$B$6:$B$30)</f>
        <v>2838</v>
      </c>
      <c r="L31" s="6" t="n">
        <f aca="false">SUMIF('Week 4 October'!$A$6:$A$30,$A31,'Week 4 October'!$C$6:$C$30)</f>
        <v>1298</v>
      </c>
      <c r="M31" s="6" t="n">
        <f aca="false">C31+E31+G31+I31+K31</f>
        <v>17304</v>
      </c>
      <c r="N31" s="6" t="n">
        <f aca="false">D31+F31+H31+J31+L31</f>
        <v>12017</v>
      </c>
      <c r="O31" s="6" t="n">
        <f aca="false">N31-M31</f>
        <v>-5287</v>
      </c>
      <c r="P31" s="7" t="n">
        <f aca="false">IF(M31=0,IF(N31=0,0,"new"),N31/M31-1)</f>
        <v>-0.305536292186778</v>
      </c>
      <c r="Q31" s="6" t="n">
        <f aca="false">SUMIF(September!$A$6:$A$37,$A31,September!$F$6:$F$37)+SUMIF('Week 1 October'!$A$6:$A$29,$A31,'Week 1 October'!$F$6:$F$29)+SUMIF('Week 2 October'!$A$6:$A$30,$A31,'Week 2 October'!$F$6:$F$30)+SUMIF('Week 3 October'!$A$6:$A$29,$A31,'Week 3 October'!$F$6:$F$29)+SUMIF('Week 4 October'!$A$6:$A$30,$A31,'Week 4 October'!$F$6:$F$30)</f>
        <v>66</v>
      </c>
      <c r="R31" s="6" t="n">
        <f aca="false">SUMIF(September!$A$6:$A$37,$A31,September!$G$6:$G$37)+SUMIF('Week 1 October'!$A$6:$A$29,$A31,'Week 1 October'!$G$6:$G$29)+SUMIF('Week 2 October'!$A$6:$A$30,$A31,'Week 2 October'!$G$6:$G$30)+SUMIF('Week 3 October'!$A$6:$A$29,$A31,'Week 3 October'!$G$6:$G$29)+SUMIF('Week 4 October'!$A$6:$A$30,$A31,'Week 4 October'!$G$6:$G$30)</f>
        <v>44</v>
      </c>
      <c r="S31" s="6" t="n">
        <f aca="false">R31-Q31</f>
        <v>-22</v>
      </c>
      <c r="T31" s="8" t="n">
        <f aca="false">IF(OR($A31="CHINA",$O$47=0),"",O31/$O$47)</f>
        <v>0.00172510949567222</v>
      </c>
    </row>
    <row r="32" customFormat="false" ht="15" hidden="false" customHeight="false" outlineLevel="0" collapsed="false">
      <c r="A32" s="5" t="s">
        <v>70</v>
      </c>
      <c r="B32" s="5" t="s">
        <v>42</v>
      </c>
      <c r="C32" s="6" t="n">
        <f aca="false">SUMIF(September!$A$6:$A$37,$A32,September!$B$6:$B$37)</f>
        <v>0</v>
      </c>
      <c r="D32" s="6" t="n">
        <f aca="false">SUMIF(September!$A$6:$A$37,$A32,September!$C$6:$C$37)</f>
        <v>0</v>
      </c>
      <c r="E32" s="6" t="n">
        <f aca="false">SUMIF('Week 1 October'!$A$6:$A$29,$A32,'Week 1 October'!$B$6:$B$29)</f>
        <v>4958</v>
      </c>
      <c r="F32" s="6" t="n">
        <f aca="false">SUMIF('Week 1 October'!$A$6:$A$29,$A32,'Week 1 October'!$C$6:$C$29)</f>
        <v>0</v>
      </c>
      <c r="G32" s="6" t="n">
        <f aca="false">SUMIF('Week 2 October'!$A$6:$A$30,$A32,'Week 2 October'!$B$6:$B$30)</f>
        <v>0</v>
      </c>
      <c r="H32" s="6" t="n">
        <f aca="false">SUMIF('Week 2 October'!$A$6:$A$30,$A32,'Week 2 October'!$C$6:$C$30)</f>
        <v>0</v>
      </c>
      <c r="I32" s="6" t="n">
        <f aca="false">SUMIF('Week 3 October'!$A$6:$A$29,$A32,'Week 3 October'!$B$6:$B$29)</f>
        <v>0</v>
      </c>
      <c r="J32" s="6" t="n">
        <f aca="false">SUMIF('Week 3 October'!$A$6:$A$29,$A32,'Week 3 October'!$C$6:$C$29)</f>
        <v>0</v>
      </c>
      <c r="K32" s="6" t="n">
        <f aca="false">SUMIF('Week 4 October'!$A$6:$A$30,$A32,'Week 4 October'!$B$6:$B$30)</f>
        <v>0</v>
      </c>
      <c r="L32" s="6" t="n">
        <f aca="false">SUMIF('Week 4 October'!$A$6:$A$30,$A32,'Week 4 October'!$C$6:$C$30)</f>
        <v>0</v>
      </c>
      <c r="M32" s="6" t="n">
        <f aca="false">C32+E32+G32+I32+K32</f>
        <v>4958</v>
      </c>
      <c r="N32" s="6" t="n">
        <f aca="false">D32+F32+H32+J32+L32</f>
        <v>0</v>
      </c>
      <c r="O32" s="6" t="n">
        <f aca="false">N32-M32</f>
        <v>-4958</v>
      </c>
      <c r="P32" s="7" t="n">
        <f aca="false">IF(M32=0,IF(N32=0,0,"new"),N32/M32-1)</f>
        <v>-1</v>
      </c>
      <c r="Q32" s="6" t="n">
        <f aca="false">SUMIF(September!$A$6:$A$37,$A32,September!$F$6:$F$37)+SUMIF('Week 1 October'!$A$6:$A$29,$A32,'Week 1 October'!$F$6:$F$29)+SUMIF('Week 2 October'!$A$6:$A$30,$A32,'Week 2 October'!$F$6:$F$30)+SUMIF('Week 3 October'!$A$6:$A$29,$A32,'Week 3 October'!$F$6:$F$29)+SUMIF('Week 4 October'!$A$6:$A$30,$A32,'Week 4 October'!$F$6:$F$30)</f>
        <v>1</v>
      </c>
      <c r="R32" s="6" t="n">
        <f aca="false">SUMIF(September!$A$6:$A$37,$A32,September!$G$6:$G$37)+SUMIF('Week 1 October'!$A$6:$A$29,$A32,'Week 1 October'!$G$6:$G$29)+SUMIF('Week 2 October'!$A$6:$A$30,$A32,'Week 2 October'!$G$6:$G$30)+SUMIF('Week 3 October'!$A$6:$A$29,$A32,'Week 3 October'!$G$6:$G$29)+SUMIF('Week 4 October'!$A$6:$A$30,$A32,'Week 4 October'!$G$6:$G$30)</f>
        <v>0</v>
      </c>
      <c r="S32" s="6" t="n">
        <f aca="false">R32-Q32</f>
        <v>-1</v>
      </c>
      <c r="T32" s="8" t="n">
        <f aca="false">IF(OR($A32="CHINA",$O$47=0),"",O32/$O$47)</f>
        <v>0.00161775919794644</v>
      </c>
    </row>
    <row r="33" customFormat="false" ht="15" hidden="false" customHeight="false" outlineLevel="0" collapsed="false">
      <c r="A33" s="5" t="s">
        <v>71</v>
      </c>
      <c r="B33" s="5" t="s">
        <v>53</v>
      </c>
      <c r="C33" s="6" t="n">
        <f aca="false">SUMIF(September!$A$6:$A$37,$A33,September!$B$6:$B$37)</f>
        <v>2347</v>
      </c>
      <c r="D33" s="6" t="n">
        <f aca="false">SUMIF(September!$A$6:$A$37,$A33,September!$C$6:$C$37)</f>
        <v>1225</v>
      </c>
      <c r="E33" s="6" t="n">
        <f aca="false">SUMIF('Week 1 October'!$A$6:$A$29,$A33,'Week 1 October'!$B$6:$B$29)</f>
        <v>612</v>
      </c>
      <c r="F33" s="6" t="n">
        <f aca="false">SUMIF('Week 1 October'!$A$6:$A$29,$A33,'Week 1 October'!$C$6:$C$29)</f>
        <v>245</v>
      </c>
      <c r="G33" s="6" t="n">
        <f aca="false">SUMIF('Week 2 October'!$A$6:$A$30,$A33,'Week 2 October'!$B$6:$B$30)</f>
        <v>73</v>
      </c>
      <c r="H33" s="6" t="n">
        <f aca="false">SUMIF('Week 2 October'!$A$6:$A$30,$A33,'Week 2 October'!$C$6:$C$30)</f>
        <v>0</v>
      </c>
      <c r="I33" s="6" t="n">
        <f aca="false">SUMIF('Week 3 October'!$A$6:$A$29,$A33,'Week 3 October'!$B$6:$B$29)</f>
        <v>0</v>
      </c>
      <c r="J33" s="6" t="n">
        <f aca="false">SUMIF('Week 3 October'!$A$6:$A$29,$A33,'Week 3 October'!$C$6:$C$29)</f>
        <v>245</v>
      </c>
      <c r="K33" s="6" t="n">
        <f aca="false">SUMIF('Week 4 October'!$A$6:$A$30,$A33,'Week 4 October'!$B$6:$B$30)</f>
        <v>367</v>
      </c>
      <c r="L33" s="6" t="n">
        <f aca="false">SUMIF('Week 4 October'!$A$6:$A$30,$A33,'Week 4 October'!$C$6:$C$30)</f>
        <v>0</v>
      </c>
      <c r="M33" s="6" t="n">
        <f aca="false">C33+E33+G33+I33+K33</f>
        <v>3399</v>
      </c>
      <c r="N33" s="6" t="n">
        <f aca="false">D33+F33+H33+J33+L33</f>
        <v>1715</v>
      </c>
      <c r="O33" s="6" t="n">
        <f aca="false">N33-M33</f>
        <v>-1684</v>
      </c>
      <c r="P33" s="7" t="n">
        <f aca="false">IF(M33=0,IF(N33=0,0,"new"),N33/M33-1)</f>
        <v>-0.495439835245661</v>
      </c>
      <c r="Q33" s="6" t="n">
        <f aca="false">SUMIF(September!$A$6:$A$37,$A33,September!$F$6:$F$37)+SUMIF('Week 1 October'!$A$6:$A$29,$A33,'Week 1 October'!$F$6:$F$29)+SUMIF('Week 2 October'!$A$6:$A$30,$A33,'Week 2 October'!$F$6:$F$30)+SUMIF('Week 3 October'!$A$6:$A$29,$A33,'Week 3 October'!$F$6:$F$29)+SUMIF('Week 4 October'!$A$6:$A$30,$A33,'Week 4 October'!$F$6:$F$30)</f>
        <v>18</v>
      </c>
      <c r="R33" s="6" t="n">
        <f aca="false">SUMIF(September!$A$6:$A$37,$A33,September!$G$6:$G$37)+SUMIF('Week 1 October'!$A$6:$A$29,$A33,'Week 1 October'!$G$6:$G$29)+SUMIF('Week 2 October'!$A$6:$A$30,$A33,'Week 2 October'!$G$6:$G$30)+SUMIF('Week 3 October'!$A$6:$A$29,$A33,'Week 3 October'!$G$6:$G$29)+SUMIF('Week 4 October'!$A$6:$A$30,$A33,'Week 4 October'!$G$6:$G$30)</f>
        <v>7</v>
      </c>
      <c r="S33" s="6" t="n">
        <f aca="false">R33-Q33</f>
        <v>-11</v>
      </c>
      <c r="T33" s="8" t="n">
        <f aca="false">IF(OR($A33="CHINA",$O$47=0),"",O33/$O$47)</f>
        <v>0.000549476903860793</v>
      </c>
    </row>
    <row r="34" customFormat="false" ht="15" hidden="false" customHeight="false" outlineLevel="0" collapsed="false">
      <c r="A34" s="5" t="s">
        <v>72</v>
      </c>
      <c r="B34" s="5" t="s">
        <v>46</v>
      </c>
      <c r="C34" s="6" t="n">
        <f aca="false">SUMIF(September!$A$6:$A$37,$A34,September!$B$6:$B$37)</f>
        <v>0</v>
      </c>
      <c r="D34" s="6" t="n">
        <f aca="false">SUMIF(September!$A$6:$A$37,$A34,September!$C$6:$C$37)</f>
        <v>0</v>
      </c>
      <c r="E34" s="6" t="n">
        <f aca="false">SUMIF('Week 1 October'!$A$6:$A$29,$A34,'Week 1 October'!$B$6:$B$29)</f>
        <v>0</v>
      </c>
      <c r="F34" s="6" t="n">
        <f aca="false">SUMIF('Week 1 October'!$A$6:$A$29,$A34,'Week 1 October'!$C$6:$C$29)</f>
        <v>35887</v>
      </c>
      <c r="G34" s="6" t="n">
        <f aca="false">SUMIF('Week 2 October'!$A$6:$A$30,$A34,'Week 2 October'!$B$6:$B$30)</f>
        <v>0</v>
      </c>
      <c r="H34" s="6" t="n">
        <f aca="false">SUMIF('Week 2 October'!$A$6:$A$30,$A34,'Week 2 October'!$C$6:$C$30)</f>
        <v>0</v>
      </c>
      <c r="I34" s="6" t="n">
        <f aca="false">SUMIF('Week 3 October'!$A$6:$A$29,$A34,'Week 3 October'!$B$6:$B$29)</f>
        <v>36798</v>
      </c>
      <c r="J34" s="6" t="n">
        <f aca="false">SUMIF('Week 3 October'!$A$6:$A$29,$A34,'Week 3 October'!$C$6:$C$29)</f>
        <v>0</v>
      </c>
      <c r="K34" s="6" t="n">
        <f aca="false">SUMIF('Week 4 October'!$A$6:$A$30,$A34,'Week 4 October'!$B$6:$B$30)</f>
        <v>0</v>
      </c>
      <c r="L34" s="6" t="n">
        <f aca="false">SUMIF('Week 4 October'!$A$6:$A$30,$A34,'Week 4 October'!$C$6:$C$30)</f>
        <v>0</v>
      </c>
      <c r="M34" s="6" t="n">
        <f aca="false">C34+E34+G34+I34+K34</f>
        <v>36798</v>
      </c>
      <c r="N34" s="6" t="n">
        <f aca="false">D34+F34+H34+J34+L34</f>
        <v>35887</v>
      </c>
      <c r="O34" s="6" t="n">
        <f aca="false">N34-M34</f>
        <v>-911</v>
      </c>
      <c r="P34" s="7" t="n">
        <f aca="false">IF(M34=0,IF(N34=0,0,"new"),N34/M34-1)</f>
        <v>-0.0247567802597968</v>
      </c>
      <c r="Q34" s="6" t="n">
        <f aca="false">SUMIF(September!$A$6:$A$37,$A34,September!$F$6:$F$37)+SUMIF('Week 1 October'!$A$6:$A$29,$A34,'Week 1 October'!$F$6:$F$29)+SUMIF('Week 2 October'!$A$6:$A$30,$A34,'Week 2 October'!$F$6:$F$30)+SUMIF('Week 3 October'!$A$6:$A$29,$A34,'Week 3 October'!$F$6:$F$29)+SUMIF('Week 4 October'!$A$6:$A$30,$A34,'Week 4 October'!$F$6:$F$30)</f>
        <v>1</v>
      </c>
      <c r="R34" s="6" t="n">
        <f aca="false">SUMIF(September!$A$6:$A$37,$A34,September!$G$6:$G$37)+SUMIF('Week 1 October'!$A$6:$A$29,$A34,'Week 1 October'!$G$6:$G$29)+SUMIF('Week 2 October'!$A$6:$A$30,$A34,'Week 2 October'!$G$6:$G$30)+SUMIF('Week 3 October'!$A$6:$A$29,$A34,'Week 3 October'!$G$6:$G$29)+SUMIF('Week 4 October'!$A$6:$A$30,$A34,'Week 4 October'!$G$6:$G$30)</f>
        <v>1</v>
      </c>
      <c r="S34" s="6" t="n">
        <f aca="false">R34-Q34</f>
        <v>0</v>
      </c>
      <c r="T34" s="8" t="n">
        <f aca="false">IF(OR($A34="CHINA",$O$47=0),"",O34/$O$47)</f>
        <v>0.000297252648109966</v>
      </c>
    </row>
    <row r="35" customFormat="false" ht="15" hidden="false" customHeight="false" outlineLevel="0" collapsed="false">
      <c r="A35" s="5" t="s">
        <v>73</v>
      </c>
      <c r="B35" s="5" t="s">
        <v>40</v>
      </c>
      <c r="C35" s="6" t="n">
        <f aca="false">SUMIF(September!$A$6:$A$37,$A35,September!$B$6:$B$37)</f>
        <v>0</v>
      </c>
      <c r="D35" s="6" t="n">
        <f aca="false">SUMIF(September!$A$6:$A$37,$A35,September!$C$6:$C$37)</f>
        <v>0</v>
      </c>
      <c r="E35" s="6" t="n">
        <f aca="false">SUMIF('Week 1 October'!$A$6:$A$29,$A35,'Week 1 October'!$B$6:$B$29)</f>
        <v>294</v>
      </c>
      <c r="F35" s="6" t="n">
        <f aca="false">SUMIF('Week 1 October'!$A$6:$A$29,$A35,'Week 1 October'!$C$6:$C$29)</f>
        <v>0</v>
      </c>
      <c r="G35" s="6" t="n">
        <f aca="false">SUMIF('Week 2 October'!$A$6:$A$30,$A35,'Week 2 October'!$B$6:$B$30)</f>
        <v>0</v>
      </c>
      <c r="H35" s="6" t="n">
        <f aca="false">SUMIF('Week 2 October'!$A$6:$A$30,$A35,'Week 2 October'!$C$6:$C$30)</f>
        <v>0</v>
      </c>
      <c r="I35" s="6" t="n">
        <f aca="false">SUMIF('Week 3 October'!$A$6:$A$29,$A35,'Week 3 October'!$B$6:$B$29)</f>
        <v>0</v>
      </c>
      <c r="J35" s="6" t="n">
        <f aca="false">SUMIF('Week 3 October'!$A$6:$A$29,$A35,'Week 3 October'!$C$6:$C$29)</f>
        <v>0</v>
      </c>
      <c r="K35" s="6" t="n">
        <f aca="false">SUMIF('Week 4 October'!$A$6:$A$30,$A35,'Week 4 October'!$B$6:$B$30)</f>
        <v>0</v>
      </c>
      <c r="L35" s="6" t="n">
        <f aca="false">SUMIF('Week 4 October'!$A$6:$A$30,$A35,'Week 4 October'!$C$6:$C$30)</f>
        <v>0</v>
      </c>
      <c r="M35" s="6" t="n">
        <f aca="false">C35+E35+G35+I35+K35</f>
        <v>294</v>
      </c>
      <c r="N35" s="6" t="n">
        <f aca="false">D35+F35+H35+J35+L35</f>
        <v>0</v>
      </c>
      <c r="O35" s="6" t="n">
        <f aca="false">N35-M35</f>
        <v>-294</v>
      </c>
      <c r="P35" s="7" t="n">
        <f aca="false">IF(M35=0,IF(N35=0,0,"new"),N35/M35-1)</f>
        <v>-1</v>
      </c>
      <c r="Q35" s="6" t="n">
        <f aca="false">SUMIF(September!$A$6:$A$37,$A35,September!$F$6:$F$37)+SUMIF('Week 1 October'!$A$6:$A$29,$A35,'Week 1 October'!$F$6:$F$29)+SUMIF('Week 2 October'!$A$6:$A$30,$A35,'Week 2 October'!$F$6:$F$30)+SUMIF('Week 3 October'!$A$6:$A$29,$A35,'Week 3 October'!$F$6:$F$29)+SUMIF('Week 4 October'!$A$6:$A$30,$A35,'Week 4 October'!$F$6:$F$30)</f>
        <v>1</v>
      </c>
      <c r="R35" s="6" t="n">
        <f aca="false">SUMIF(September!$A$6:$A$37,$A35,September!$G$6:$G$37)+SUMIF('Week 1 October'!$A$6:$A$29,$A35,'Week 1 October'!$G$6:$G$29)+SUMIF('Week 2 October'!$A$6:$A$30,$A35,'Week 2 October'!$G$6:$G$30)+SUMIF('Week 3 October'!$A$6:$A$29,$A35,'Week 3 October'!$G$6:$G$29)+SUMIF('Week 4 October'!$A$6:$A$30,$A35,'Week 4 October'!$G$6:$G$30)</f>
        <v>0</v>
      </c>
      <c r="S35" s="6" t="n">
        <f aca="false">R35-Q35</f>
        <v>-1</v>
      </c>
      <c r="T35" s="8" t="n">
        <f aca="false">IF(OR($A35="CHINA",$O$47=0),"",O35/$O$47)</f>
        <v>9.59300532868606E-005</v>
      </c>
    </row>
    <row r="36" customFormat="false" ht="15" hidden="false" customHeight="false" outlineLevel="0" collapsed="false">
      <c r="A36" s="5" t="s">
        <v>74</v>
      </c>
      <c r="B36" s="5" t="s">
        <v>75</v>
      </c>
      <c r="C36" s="6" t="n">
        <f aca="false">SUMIF(September!$A$6:$A$37,$A36,September!$B$6:$B$37)</f>
        <v>0</v>
      </c>
      <c r="D36" s="6" t="n">
        <f aca="false">SUMIF(September!$A$6:$A$37,$A36,September!$C$6:$C$37)</f>
        <v>0</v>
      </c>
      <c r="E36" s="6" t="n">
        <f aca="false">SUMIF('Week 1 October'!$A$6:$A$29,$A36,'Week 1 October'!$B$6:$B$29)</f>
        <v>0</v>
      </c>
      <c r="F36" s="6" t="n">
        <f aca="false">SUMIF('Week 1 October'!$A$6:$A$29,$A36,'Week 1 October'!$C$6:$C$29)</f>
        <v>0</v>
      </c>
      <c r="G36" s="6" t="n">
        <f aca="false">SUMIF('Week 2 October'!$A$6:$A$30,$A36,'Week 2 October'!$B$6:$B$30)</f>
        <v>0</v>
      </c>
      <c r="H36" s="6" t="n">
        <f aca="false">SUMIF('Week 2 October'!$A$6:$A$30,$A36,'Week 2 October'!$C$6:$C$30)</f>
        <v>49</v>
      </c>
      <c r="I36" s="6" t="n">
        <f aca="false">SUMIF('Week 3 October'!$A$6:$A$29,$A36,'Week 3 October'!$B$6:$B$29)</f>
        <v>0</v>
      </c>
      <c r="J36" s="6" t="n">
        <f aca="false">SUMIF('Week 3 October'!$A$6:$A$29,$A36,'Week 3 October'!$C$6:$C$29)</f>
        <v>0</v>
      </c>
      <c r="K36" s="6" t="n">
        <f aca="false">SUMIF('Week 4 October'!$A$6:$A$30,$A36,'Week 4 October'!$B$6:$B$30)</f>
        <v>0</v>
      </c>
      <c r="L36" s="6" t="n">
        <f aca="false">SUMIF('Week 4 October'!$A$6:$A$30,$A36,'Week 4 October'!$C$6:$C$30)</f>
        <v>147</v>
      </c>
      <c r="M36" s="6" t="n">
        <f aca="false">C36+E36+G36+I36+K36</f>
        <v>0</v>
      </c>
      <c r="N36" s="6" t="n">
        <f aca="false">D36+F36+H36+J36+L36</f>
        <v>196</v>
      </c>
      <c r="O36" s="6" t="n">
        <f aca="false">N36-M36</f>
        <v>196</v>
      </c>
      <c r="P36" s="7" t="str">
        <f aca="false">IF(M36=0,IF(N36=0,0,"new"),N36/M36-1)</f>
        <v>new</v>
      </c>
      <c r="Q36" s="6" t="n">
        <f aca="false">SUMIF(September!$A$6:$A$37,$A36,September!$F$6:$F$37)+SUMIF('Week 1 October'!$A$6:$A$29,$A36,'Week 1 October'!$F$6:$F$29)+SUMIF('Week 2 October'!$A$6:$A$30,$A36,'Week 2 October'!$F$6:$F$30)+SUMIF('Week 3 October'!$A$6:$A$29,$A36,'Week 3 October'!$F$6:$F$29)+SUMIF('Week 4 October'!$A$6:$A$30,$A36,'Week 4 October'!$F$6:$F$30)</f>
        <v>0</v>
      </c>
      <c r="R36" s="6" t="n">
        <f aca="false">SUMIF(September!$A$6:$A$37,$A36,September!$G$6:$G$37)+SUMIF('Week 1 October'!$A$6:$A$29,$A36,'Week 1 October'!$G$6:$G$29)+SUMIF('Week 2 October'!$A$6:$A$30,$A36,'Week 2 October'!$G$6:$G$30)+SUMIF('Week 3 October'!$A$6:$A$29,$A36,'Week 3 October'!$G$6:$G$29)+SUMIF('Week 4 October'!$A$6:$A$30,$A36,'Week 4 October'!$G$6:$G$30)</f>
        <v>2</v>
      </c>
      <c r="S36" s="6" t="n">
        <f aca="false">R36-Q36</f>
        <v>2</v>
      </c>
      <c r="T36" s="8" t="n">
        <f aca="false">IF(OR($A36="CHINA",$O$47=0),"",O36/$O$47)</f>
        <v>-6.3953368857907E-005</v>
      </c>
    </row>
    <row r="37" customFormat="false" ht="15" hidden="false" customHeight="false" outlineLevel="0" collapsed="false">
      <c r="A37" s="5" t="s">
        <v>76</v>
      </c>
      <c r="B37" s="5" t="s">
        <v>53</v>
      </c>
      <c r="C37" s="6" t="n">
        <f aca="false">SUMIF(September!$A$6:$A$37,$A37,September!$B$6:$B$37)</f>
        <v>0</v>
      </c>
      <c r="D37" s="6" t="n">
        <f aca="false">SUMIF(September!$A$6:$A$37,$A37,September!$C$6:$C$37)</f>
        <v>245</v>
      </c>
      <c r="E37" s="6" t="n">
        <f aca="false">SUMIF('Week 1 October'!$A$6:$A$29,$A37,'Week 1 October'!$B$6:$B$29)</f>
        <v>0</v>
      </c>
      <c r="F37" s="6" t="n">
        <f aca="false">SUMIF('Week 1 October'!$A$6:$A$29,$A37,'Week 1 October'!$C$6:$C$29)</f>
        <v>0</v>
      </c>
      <c r="G37" s="6" t="n">
        <f aca="false">SUMIF('Week 2 October'!$A$6:$A$30,$A37,'Week 2 October'!$B$6:$B$30)</f>
        <v>0</v>
      </c>
      <c r="H37" s="6" t="n">
        <f aca="false">SUMIF('Week 2 October'!$A$6:$A$30,$A37,'Week 2 October'!$C$6:$C$30)</f>
        <v>0</v>
      </c>
      <c r="I37" s="6" t="n">
        <f aca="false">SUMIF('Week 3 October'!$A$6:$A$29,$A37,'Week 3 October'!$B$6:$B$29)</f>
        <v>0</v>
      </c>
      <c r="J37" s="6" t="n">
        <f aca="false">SUMIF('Week 3 October'!$A$6:$A$29,$A37,'Week 3 October'!$C$6:$C$29)</f>
        <v>0</v>
      </c>
      <c r="K37" s="6" t="n">
        <f aca="false">SUMIF('Week 4 October'!$A$6:$A$30,$A37,'Week 4 October'!$B$6:$B$30)</f>
        <v>0</v>
      </c>
      <c r="L37" s="6" t="n">
        <f aca="false">SUMIF('Week 4 October'!$A$6:$A$30,$A37,'Week 4 October'!$C$6:$C$30)</f>
        <v>0</v>
      </c>
      <c r="M37" s="6" t="n">
        <f aca="false">C37+E37+G37+I37+K37</f>
        <v>0</v>
      </c>
      <c r="N37" s="6" t="n">
        <f aca="false">D37+F37+H37+J37+L37</f>
        <v>245</v>
      </c>
      <c r="O37" s="6" t="n">
        <f aca="false">N37-M37</f>
        <v>245</v>
      </c>
      <c r="P37" s="7" t="str">
        <f aca="false">IF(M37=0,IF(N37=0,0,"new"),N37/M37-1)</f>
        <v>new</v>
      </c>
      <c r="Q37" s="6" t="n">
        <f aca="false">SUMIF(September!$A$6:$A$37,$A37,September!$F$6:$F$37)+SUMIF('Week 1 October'!$A$6:$A$29,$A37,'Week 1 October'!$F$6:$F$29)+SUMIF('Week 2 October'!$A$6:$A$30,$A37,'Week 2 October'!$F$6:$F$30)+SUMIF('Week 3 October'!$A$6:$A$29,$A37,'Week 3 October'!$F$6:$F$29)+SUMIF('Week 4 October'!$A$6:$A$30,$A37,'Week 4 October'!$F$6:$F$30)</f>
        <v>0</v>
      </c>
      <c r="R37" s="6" t="n">
        <f aca="false">SUMIF(September!$A$6:$A$37,$A37,September!$G$6:$G$37)+SUMIF('Week 1 October'!$A$6:$A$29,$A37,'Week 1 October'!$G$6:$G$29)+SUMIF('Week 2 October'!$A$6:$A$30,$A37,'Week 2 October'!$G$6:$G$30)+SUMIF('Week 3 October'!$A$6:$A$29,$A37,'Week 3 October'!$G$6:$G$29)+SUMIF('Week 4 October'!$A$6:$A$30,$A37,'Week 4 October'!$G$6:$G$30)</f>
        <v>1</v>
      </c>
      <c r="S37" s="6" t="n">
        <f aca="false">R37-Q37</f>
        <v>1</v>
      </c>
      <c r="T37" s="8" t="n">
        <f aca="false">IF(OR($A37="CHINA",$O$47=0),"",O37/$O$47)</f>
        <v>-7.99417110723838E-005</v>
      </c>
    </row>
    <row r="38" customFormat="false" ht="15" hidden="false" customHeight="false" outlineLevel="0" collapsed="false">
      <c r="A38" s="5" t="s">
        <v>77</v>
      </c>
      <c r="B38" s="5" t="s">
        <v>42</v>
      </c>
      <c r="C38" s="6" t="n">
        <f aca="false">SUMIF(September!$A$6:$A$37,$A38,September!$B$6:$B$37)</f>
        <v>1000</v>
      </c>
      <c r="D38" s="6" t="n">
        <f aca="false">SUMIF(September!$A$6:$A$37,$A38,September!$C$6:$C$37)</f>
        <v>0</v>
      </c>
      <c r="E38" s="6" t="n">
        <f aca="false">SUMIF('Week 1 October'!$A$6:$A$29,$A38,'Week 1 October'!$B$6:$B$29)</f>
        <v>0</v>
      </c>
      <c r="F38" s="6" t="n">
        <f aca="false">SUMIF('Week 1 October'!$A$6:$A$29,$A38,'Week 1 October'!$C$6:$C$29)</f>
        <v>0</v>
      </c>
      <c r="G38" s="6" t="n">
        <f aca="false">SUMIF('Week 2 October'!$A$6:$A$30,$A38,'Week 2 October'!$B$6:$B$30)</f>
        <v>0</v>
      </c>
      <c r="H38" s="6" t="n">
        <f aca="false">SUMIF('Week 2 October'!$A$6:$A$30,$A38,'Week 2 October'!$C$6:$C$30)</f>
        <v>0</v>
      </c>
      <c r="I38" s="6" t="n">
        <f aca="false">SUMIF('Week 3 October'!$A$6:$A$29,$A38,'Week 3 October'!$B$6:$B$29)</f>
        <v>0</v>
      </c>
      <c r="J38" s="6" t="n">
        <f aca="false">SUMIF('Week 3 October'!$A$6:$A$29,$A38,'Week 3 October'!$C$6:$C$29)</f>
        <v>0</v>
      </c>
      <c r="K38" s="6" t="n">
        <f aca="false">SUMIF('Week 4 October'!$A$6:$A$30,$A38,'Week 4 October'!$B$6:$B$30)</f>
        <v>0</v>
      </c>
      <c r="L38" s="6" t="n">
        <f aca="false">SUMIF('Week 4 October'!$A$6:$A$30,$A38,'Week 4 October'!$C$6:$C$30)</f>
        <v>3500</v>
      </c>
      <c r="M38" s="6" t="n">
        <f aca="false">C38+E38+G38+I38+K38</f>
        <v>1000</v>
      </c>
      <c r="N38" s="6" t="n">
        <f aca="false">D38+F38+H38+J38+L38</f>
        <v>3500</v>
      </c>
      <c r="O38" s="6" t="n">
        <f aca="false">N38-M38</f>
        <v>2500</v>
      </c>
      <c r="P38" s="7" t="n">
        <f aca="false">IF(M38=0,IF(N38=0,0,"new"),N38/M38-1)</f>
        <v>2.5</v>
      </c>
      <c r="Q38" s="6" t="n">
        <f aca="false">SUMIF(September!$A$6:$A$37,$A38,September!$F$6:$F$37)+SUMIF('Week 1 October'!$A$6:$A$29,$A38,'Week 1 October'!$F$6:$F$29)+SUMIF('Week 2 October'!$A$6:$A$30,$A38,'Week 2 October'!$F$6:$F$30)+SUMIF('Week 3 October'!$A$6:$A$29,$A38,'Week 3 October'!$F$6:$F$29)+SUMIF('Week 4 October'!$A$6:$A$30,$A38,'Week 4 October'!$F$6:$F$30)</f>
        <v>1</v>
      </c>
      <c r="R38" s="6" t="n">
        <f aca="false">SUMIF(September!$A$6:$A$37,$A38,September!$G$6:$G$37)+SUMIF('Week 1 October'!$A$6:$A$29,$A38,'Week 1 October'!$G$6:$G$29)+SUMIF('Week 2 October'!$A$6:$A$30,$A38,'Week 2 October'!$G$6:$G$30)+SUMIF('Week 3 October'!$A$6:$A$29,$A38,'Week 3 October'!$G$6:$G$29)+SUMIF('Week 4 October'!$A$6:$A$30,$A38,'Week 4 October'!$G$6:$G$30)</f>
        <v>1</v>
      </c>
      <c r="S38" s="6" t="n">
        <f aca="false">R38-Q38</f>
        <v>0</v>
      </c>
      <c r="T38" s="8" t="n">
        <f aca="false">IF(OR($A38="CHINA",$O$47=0),"",O38/$O$47)</f>
        <v>-0.000815731745636569</v>
      </c>
    </row>
    <row r="39" customFormat="false" ht="15" hidden="false" customHeight="false" outlineLevel="0" collapsed="false">
      <c r="A39" s="5" t="s">
        <v>78</v>
      </c>
      <c r="B39" s="5" t="s">
        <v>42</v>
      </c>
      <c r="C39" s="6" t="n">
        <f aca="false">SUMIF(September!$A$6:$A$37,$A39,September!$B$6:$B$37)</f>
        <v>0</v>
      </c>
      <c r="D39" s="6" t="n">
        <f aca="false">SUMIF(September!$A$6:$A$37,$A39,September!$C$6:$C$37)</f>
        <v>4001</v>
      </c>
      <c r="E39" s="6" t="n">
        <f aca="false">SUMIF('Week 1 October'!$A$6:$A$29,$A39,'Week 1 October'!$B$6:$B$29)</f>
        <v>0</v>
      </c>
      <c r="F39" s="6" t="n">
        <f aca="false">SUMIF('Week 1 October'!$A$6:$A$29,$A39,'Week 1 October'!$C$6:$C$29)</f>
        <v>0</v>
      </c>
      <c r="G39" s="6" t="n">
        <f aca="false">SUMIF('Week 2 October'!$A$6:$A$30,$A39,'Week 2 October'!$B$6:$B$30)</f>
        <v>0</v>
      </c>
      <c r="H39" s="6" t="n">
        <f aca="false">SUMIF('Week 2 October'!$A$6:$A$30,$A39,'Week 2 October'!$C$6:$C$30)</f>
        <v>0</v>
      </c>
      <c r="I39" s="6" t="n">
        <f aca="false">SUMIF('Week 3 October'!$A$6:$A$29,$A39,'Week 3 October'!$B$6:$B$29)</f>
        <v>0</v>
      </c>
      <c r="J39" s="6" t="n">
        <f aca="false">SUMIF('Week 3 October'!$A$6:$A$29,$A39,'Week 3 October'!$C$6:$C$29)</f>
        <v>0</v>
      </c>
      <c r="K39" s="6" t="n">
        <f aca="false">SUMIF('Week 4 October'!$A$6:$A$30,$A39,'Week 4 October'!$B$6:$B$30)</f>
        <v>0</v>
      </c>
      <c r="L39" s="6" t="n">
        <f aca="false">SUMIF('Week 4 October'!$A$6:$A$30,$A39,'Week 4 October'!$C$6:$C$30)</f>
        <v>0</v>
      </c>
      <c r="M39" s="6" t="n">
        <f aca="false">C39+E39+G39+I39+K39</f>
        <v>0</v>
      </c>
      <c r="N39" s="6" t="n">
        <f aca="false">D39+F39+H39+J39+L39</f>
        <v>4001</v>
      </c>
      <c r="O39" s="6" t="n">
        <f aca="false">N39-M39</f>
        <v>4001</v>
      </c>
      <c r="P39" s="7" t="str">
        <f aca="false">IF(M39=0,IF(N39=0,0,"new"),N39/M39-1)</f>
        <v>new</v>
      </c>
      <c r="Q39" s="6" t="n">
        <f aca="false">SUMIF(September!$A$6:$A$37,$A39,September!$F$6:$F$37)+SUMIF('Week 1 October'!$A$6:$A$29,$A39,'Week 1 October'!$F$6:$F$29)+SUMIF('Week 2 October'!$A$6:$A$30,$A39,'Week 2 October'!$F$6:$F$30)+SUMIF('Week 3 October'!$A$6:$A$29,$A39,'Week 3 October'!$F$6:$F$29)+SUMIF('Week 4 October'!$A$6:$A$30,$A39,'Week 4 October'!$F$6:$F$30)</f>
        <v>0</v>
      </c>
      <c r="R39" s="6" t="n">
        <f aca="false">SUMIF(September!$A$6:$A$37,$A39,September!$G$6:$G$37)+SUMIF('Week 1 October'!$A$6:$A$29,$A39,'Week 1 October'!$G$6:$G$29)+SUMIF('Week 2 October'!$A$6:$A$30,$A39,'Week 2 October'!$G$6:$G$30)+SUMIF('Week 3 October'!$A$6:$A$29,$A39,'Week 3 October'!$G$6:$G$29)+SUMIF('Week 4 October'!$A$6:$A$30,$A39,'Week 4 October'!$G$6:$G$30)</f>
        <v>1</v>
      </c>
      <c r="S39" s="6" t="n">
        <f aca="false">R39-Q39</f>
        <v>1</v>
      </c>
      <c r="T39" s="8" t="n">
        <f aca="false">IF(OR($A39="CHINA",$O$47=0),"",O39/$O$47)</f>
        <v>-0.00130549708571677</v>
      </c>
    </row>
    <row r="40" customFormat="false" ht="15" hidden="false" customHeight="false" outlineLevel="0" collapsed="false">
      <c r="A40" s="5" t="s">
        <v>79</v>
      </c>
      <c r="B40" s="5" t="s">
        <v>42</v>
      </c>
      <c r="C40" s="6" t="n">
        <f aca="false">SUMIF(September!$A$6:$A$37,$A40,September!$B$6:$B$37)</f>
        <v>1996</v>
      </c>
      <c r="D40" s="6" t="n">
        <f aca="false">SUMIF(September!$A$6:$A$37,$A40,September!$C$6:$C$37)</f>
        <v>7963</v>
      </c>
      <c r="E40" s="6" t="n">
        <f aca="false">SUMIF('Week 1 October'!$A$6:$A$29,$A40,'Week 1 October'!$B$6:$B$29)</f>
        <v>0</v>
      </c>
      <c r="F40" s="6" t="n">
        <f aca="false">SUMIF('Week 1 October'!$A$6:$A$29,$A40,'Week 1 October'!$C$6:$C$29)</f>
        <v>0</v>
      </c>
      <c r="G40" s="6" t="n">
        <f aca="false">SUMIF('Week 2 October'!$A$6:$A$30,$A40,'Week 2 October'!$B$6:$B$30)</f>
        <v>0</v>
      </c>
      <c r="H40" s="6" t="n">
        <f aca="false">SUMIF('Week 2 October'!$A$6:$A$30,$A40,'Week 2 October'!$C$6:$C$30)</f>
        <v>0</v>
      </c>
      <c r="I40" s="6" t="n">
        <f aca="false">SUMIF('Week 3 October'!$A$6:$A$29,$A40,'Week 3 October'!$B$6:$B$29)</f>
        <v>0</v>
      </c>
      <c r="J40" s="6" t="n">
        <f aca="false">SUMIF('Week 3 October'!$A$6:$A$29,$A40,'Week 3 October'!$C$6:$C$29)</f>
        <v>0</v>
      </c>
      <c r="K40" s="6" t="n">
        <f aca="false">SUMIF('Week 4 October'!$A$6:$A$30,$A40,'Week 4 October'!$B$6:$B$30)</f>
        <v>0</v>
      </c>
      <c r="L40" s="6" t="n">
        <f aca="false">SUMIF('Week 4 October'!$A$6:$A$30,$A40,'Week 4 October'!$C$6:$C$30)</f>
        <v>0</v>
      </c>
      <c r="M40" s="6" t="n">
        <f aca="false">C40+E40+G40+I40+K40</f>
        <v>1996</v>
      </c>
      <c r="N40" s="6" t="n">
        <f aca="false">D40+F40+H40+J40+L40</f>
        <v>7963</v>
      </c>
      <c r="O40" s="6" t="n">
        <f aca="false">N40-M40</f>
        <v>5967</v>
      </c>
      <c r="P40" s="7" t="n">
        <f aca="false">IF(M40=0,IF(N40=0,0,"new"),N40/M40-1)</f>
        <v>2.98947895791583</v>
      </c>
      <c r="Q40" s="6" t="n">
        <f aca="false">SUMIF(September!$A$6:$A$37,$A40,September!$F$6:$F$37)+SUMIF('Week 1 October'!$A$6:$A$29,$A40,'Week 1 October'!$F$6:$F$29)+SUMIF('Week 2 October'!$A$6:$A$30,$A40,'Week 2 October'!$F$6:$F$30)+SUMIF('Week 3 October'!$A$6:$A$29,$A40,'Week 3 October'!$F$6:$F$29)+SUMIF('Week 4 October'!$A$6:$A$30,$A40,'Week 4 October'!$F$6:$F$30)</f>
        <v>2</v>
      </c>
      <c r="R40" s="6" t="n">
        <f aca="false">SUMIF(September!$A$6:$A$37,$A40,September!$G$6:$G$37)+SUMIF('Week 1 October'!$A$6:$A$29,$A40,'Week 1 October'!$G$6:$G$29)+SUMIF('Week 2 October'!$A$6:$A$30,$A40,'Week 2 October'!$G$6:$G$30)+SUMIF('Week 3 October'!$A$6:$A$29,$A40,'Week 3 October'!$G$6:$G$29)+SUMIF('Week 4 October'!$A$6:$A$30,$A40,'Week 4 October'!$G$6:$G$30)</f>
        <v>1</v>
      </c>
      <c r="S40" s="6" t="n">
        <f aca="false">R40-Q40</f>
        <v>-1</v>
      </c>
      <c r="T40" s="8" t="n">
        <f aca="false">IF(OR($A40="CHINA",$O$47=0),"",O40/$O$47)</f>
        <v>-0.00194698853048536</v>
      </c>
    </row>
    <row r="41" customFormat="false" ht="15" hidden="false" customHeight="false" outlineLevel="0" collapsed="false">
      <c r="A41" s="5" t="s">
        <v>80</v>
      </c>
      <c r="B41" s="5" t="s">
        <v>49</v>
      </c>
      <c r="C41" s="6" t="n">
        <f aca="false">SUMIF(September!$A$6:$A$37,$A41,September!$B$6:$B$37)</f>
        <v>257479</v>
      </c>
      <c r="D41" s="6" t="n">
        <f aca="false">SUMIF(September!$A$6:$A$37,$A41,September!$C$6:$C$37)</f>
        <v>170766</v>
      </c>
      <c r="E41" s="6" t="n">
        <f aca="false">SUMIF('Week 1 October'!$A$6:$A$29,$A41,'Week 1 October'!$B$6:$B$29)</f>
        <v>10429</v>
      </c>
      <c r="F41" s="6" t="n">
        <f aca="false">SUMIF('Week 1 October'!$A$6:$A$29,$A41,'Week 1 October'!$C$6:$C$29)</f>
        <v>21886</v>
      </c>
      <c r="G41" s="6" t="n">
        <f aca="false">SUMIF('Week 2 October'!$A$6:$A$30,$A41,'Week 2 October'!$B$6:$B$30)</f>
        <v>19882</v>
      </c>
      <c r="H41" s="6" t="n">
        <f aca="false">SUMIF('Week 2 October'!$A$6:$A$30,$A41,'Week 2 October'!$C$6:$C$30)</f>
        <v>58266</v>
      </c>
      <c r="I41" s="6" t="n">
        <f aca="false">SUMIF('Week 3 October'!$A$6:$A$29,$A41,'Week 3 October'!$B$6:$B$29)</f>
        <v>58763</v>
      </c>
      <c r="J41" s="6" t="n">
        <f aca="false">SUMIF('Week 3 October'!$A$6:$A$29,$A41,'Week 3 October'!$C$6:$C$29)</f>
        <v>94911</v>
      </c>
      <c r="K41" s="6" t="n">
        <f aca="false">SUMIF('Week 4 October'!$A$6:$A$30,$A41,'Week 4 October'!$B$6:$B$30)</f>
        <v>42250</v>
      </c>
      <c r="L41" s="6" t="n">
        <f aca="false">SUMIF('Week 4 October'!$A$6:$A$30,$A41,'Week 4 October'!$C$6:$C$30)</f>
        <v>50173</v>
      </c>
      <c r="M41" s="6" t="n">
        <f aca="false">C41+E41+G41+I41+K41</f>
        <v>388803</v>
      </c>
      <c r="N41" s="6" t="n">
        <f aca="false">D41+F41+H41+J41+L41</f>
        <v>396002</v>
      </c>
      <c r="O41" s="6" t="n">
        <f aca="false">N41-M41</f>
        <v>7199</v>
      </c>
      <c r="P41" s="7" t="n">
        <f aca="false">IF(M41=0,IF(N41=0,0,"new"),N41/M41-1)</f>
        <v>0.0185158036332025</v>
      </c>
      <c r="Q41" s="6" t="n">
        <f aca="false">SUMIF(September!$A$6:$A$37,$A41,September!$F$6:$F$37)+SUMIF('Week 1 October'!$A$6:$A$29,$A41,'Week 1 October'!$F$6:$F$29)+SUMIF('Week 2 October'!$A$6:$A$30,$A41,'Week 2 October'!$F$6:$F$30)+SUMIF('Week 3 October'!$A$6:$A$29,$A41,'Week 3 October'!$F$6:$F$29)+SUMIF('Week 4 October'!$A$6:$A$30,$A41,'Week 4 October'!$F$6:$F$30)</f>
        <v>43</v>
      </c>
      <c r="R41" s="6" t="n">
        <f aca="false">SUMIF(September!$A$6:$A$37,$A41,September!$G$6:$G$37)+SUMIF('Week 1 October'!$A$6:$A$29,$A41,'Week 1 October'!$G$6:$G$29)+SUMIF('Week 2 October'!$A$6:$A$30,$A41,'Week 2 October'!$G$6:$G$30)+SUMIF('Week 3 October'!$A$6:$A$29,$A41,'Week 3 October'!$G$6:$G$29)+SUMIF('Week 4 October'!$A$6:$A$30,$A41,'Week 4 October'!$G$6:$G$30)</f>
        <v>58</v>
      </c>
      <c r="S41" s="6" t="n">
        <f aca="false">R41-Q41</f>
        <v>15</v>
      </c>
      <c r="T41" s="8" t="n">
        <f aca="false">IF(OR($A41="CHINA",$O$47=0),"",O41/$O$47)</f>
        <v>-0.00234898113473507</v>
      </c>
    </row>
    <row r="42" customFormat="false" ht="15" hidden="false" customHeight="false" outlineLevel="0" collapsed="false">
      <c r="A42" s="5" t="s">
        <v>81</v>
      </c>
      <c r="B42" s="5" t="s">
        <v>44</v>
      </c>
      <c r="C42" s="6" t="n">
        <f aca="false">SUMIF(September!$A$6:$A$37,$A42,September!$B$6:$B$37)</f>
        <v>0</v>
      </c>
      <c r="D42" s="6" t="n">
        <f aca="false">SUMIF(September!$A$6:$A$37,$A42,September!$C$6:$C$37)</f>
        <v>9853</v>
      </c>
      <c r="E42" s="6" t="n">
        <f aca="false">SUMIF('Week 1 October'!$A$6:$A$29,$A42,'Week 1 October'!$B$6:$B$29)</f>
        <v>21871</v>
      </c>
      <c r="F42" s="6" t="n">
        <f aca="false">SUMIF('Week 1 October'!$A$6:$A$29,$A42,'Week 1 October'!$C$6:$C$29)</f>
        <v>0</v>
      </c>
      <c r="G42" s="6" t="n">
        <f aca="false">SUMIF('Week 2 October'!$A$6:$A$30,$A42,'Week 2 October'!$B$6:$B$30)</f>
        <v>0</v>
      </c>
      <c r="H42" s="6" t="n">
        <f aca="false">SUMIF('Week 2 October'!$A$6:$A$30,$A42,'Week 2 October'!$C$6:$C$30)</f>
        <v>0</v>
      </c>
      <c r="I42" s="6" t="n">
        <f aca="false">SUMIF('Week 3 October'!$A$6:$A$29,$A42,'Week 3 October'!$B$6:$B$29)</f>
        <v>0</v>
      </c>
      <c r="J42" s="6" t="n">
        <f aca="false">SUMIF('Week 3 October'!$A$6:$A$29,$A42,'Week 3 October'!$C$6:$C$29)</f>
        <v>0</v>
      </c>
      <c r="K42" s="6" t="n">
        <f aca="false">SUMIF('Week 4 October'!$A$6:$A$30,$A42,'Week 4 October'!$B$6:$B$30)</f>
        <v>0</v>
      </c>
      <c r="L42" s="6" t="n">
        <f aca="false">SUMIF('Week 4 October'!$A$6:$A$30,$A42,'Week 4 October'!$C$6:$C$30)</f>
        <v>20913</v>
      </c>
      <c r="M42" s="6" t="n">
        <f aca="false">C42+E42+G42+I42+K42</f>
        <v>21871</v>
      </c>
      <c r="N42" s="6" t="n">
        <f aca="false">D42+F42+H42+J42+L42</f>
        <v>30766</v>
      </c>
      <c r="O42" s="6" t="n">
        <f aca="false">N42-M42</f>
        <v>8895</v>
      </c>
      <c r="P42" s="7" t="n">
        <f aca="false">IF(M42=0,IF(N42=0,0,"new"),N42/M42-1)</f>
        <v>0.406702939966165</v>
      </c>
      <c r="Q42" s="6" t="n">
        <f aca="false">SUMIF(September!$A$6:$A$37,$A42,September!$F$6:$F$37)+SUMIF('Week 1 October'!$A$6:$A$29,$A42,'Week 1 October'!$F$6:$F$29)+SUMIF('Week 2 October'!$A$6:$A$30,$A42,'Week 2 October'!$F$6:$F$30)+SUMIF('Week 3 October'!$A$6:$A$29,$A42,'Week 3 October'!$F$6:$F$29)+SUMIF('Week 4 October'!$A$6:$A$30,$A42,'Week 4 October'!$F$6:$F$30)</f>
        <v>1</v>
      </c>
      <c r="R42" s="6" t="n">
        <f aca="false">SUMIF(September!$A$6:$A$37,$A42,September!$G$6:$G$37)+SUMIF('Week 1 October'!$A$6:$A$29,$A42,'Week 1 October'!$G$6:$G$29)+SUMIF('Week 2 October'!$A$6:$A$30,$A42,'Week 2 October'!$G$6:$G$30)+SUMIF('Week 3 October'!$A$6:$A$29,$A42,'Week 3 October'!$G$6:$G$29)+SUMIF('Week 4 October'!$A$6:$A$30,$A42,'Week 4 October'!$G$6:$G$30)</f>
        <v>2</v>
      </c>
      <c r="S42" s="6" t="n">
        <f aca="false">R42-Q42</f>
        <v>1</v>
      </c>
      <c r="T42" s="8" t="n">
        <f aca="false">IF(OR($A42="CHINA",$O$47=0),"",O42/$O$47)</f>
        <v>-0.00290237355097491</v>
      </c>
    </row>
    <row r="43" customFormat="false" ht="15" hidden="false" customHeight="false" outlineLevel="0" collapsed="false">
      <c r="A43" s="5" t="s">
        <v>82</v>
      </c>
      <c r="B43" s="5" t="s">
        <v>53</v>
      </c>
      <c r="C43" s="6" t="n">
        <f aca="false">SUMIF(September!$A$6:$A$37,$A43,September!$B$6:$B$37)</f>
        <v>30794</v>
      </c>
      <c r="D43" s="6" t="n">
        <f aca="false">SUMIF(September!$A$6:$A$37,$A43,September!$C$6:$C$37)</f>
        <v>40096</v>
      </c>
      <c r="E43" s="6" t="n">
        <f aca="false">SUMIF('Week 1 October'!$A$6:$A$29,$A43,'Week 1 October'!$B$6:$B$29)</f>
        <v>12194</v>
      </c>
      <c r="F43" s="6" t="n">
        <f aca="false">SUMIF('Week 1 October'!$A$6:$A$29,$A43,'Week 1 October'!$C$6:$C$29)</f>
        <v>11555</v>
      </c>
      <c r="G43" s="6" t="n">
        <f aca="false">SUMIF('Week 2 October'!$A$6:$A$30,$A43,'Week 2 October'!$B$6:$B$30)</f>
        <v>19441</v>
      </c>
      <c r="H43" s="6" t="n">
        <f aca="false">SUMIF('Week 2 October'!$A$6:$A$30,$A43,'Week 2 October'!$C$6:$C$30)</f>
        <v>75868</v>
      </c>
      <c r="I43" s="6" t="n">
        <f aca="false">SUMIF('Week 3 October'!$A$6:$A$29,$A43,'Week 3 October'!$B$6:$B$29)</f>
        <v>166695</v>
      </c>
      <c r="J43" s="6" t="n">
        <f aca="false">SUMIF('Week 3 October'!$A$6:$A$29,$A43,'Week 3 October'!$C$6:$C$29)</f>
        <v>75538</v>
      </c>
      <c r="K43" s="6" t="n">
        <f aca="false">SUMIF('Week 4 October'!$A$6:$A$30,$A43,'Week 4 October'!$B$6:$B$30)</f>
        <v>23187</v>
      </c>
      <c r="L43" s="6" t="n">
        <f aca="false">SUMIF('Week 4 October'!$A$6:$A$30,$A43,'Week 4 October'!$C$6:$C$30)</f>
        <v>84591</v>
      </c>
      <c r="M43" s="6" t="n">
        <f aca="false">C43+E43+G43+I43+K43</f>
        <v>252311</v>
      </c>
      <c r="N43" s="6" t="n">
        <f aca="false">D43+F43+H43+J43+L43</f>
        <v>287648</v>
      </c>
      <c r="O43" s="6" t="n">
        <f aca="false">N43-M43</f>
        <v>35337</v>
      </c>
      <c r="P43" s="7" t="n">
        <f aca="false">IF(M43=0,IF(N43=0,0,"new"),N43/M43-1)</f>
        <v>0.140053346861611</v>
      </c>
      <c r="Q43" s="6" t="n">
        <f aca="false">SUMIF(September!$A$6:$A$37,$A43,September!$F$6:$F$37)+SUMIF('Week 1 October'!$A$6:$A$29,$A43,'Week 1 October'!$F$6:$F$29)+SUMIF('Week 2 October'!$A$6:$A$30,$A43,'Week 2 October'!$F$6:$F$30)+SUMIF('Week 3 October'!$A$6:$A$29,$A43,'Week 3 October'!$F$6:$F$29)+SUMIF('Week 4 October'!$A$6:$A$30,$A43,'Week 4 October'!$F$6:$F$30)</f>
        <v>371</v>
      </c>
      <c r="R43" s="6" t="n">
        <f aca="false">SUMIF(September!$A$6:$A$37,$A43,September!$G$6:$G$37)+SUMIF('Week 1 October'!$A$6:$A$29,$A43,'Week 1 October'!$G$6:$G$29)+SUMIF('Week 2 October'!$A$6:$A$30,$A43,'Week 2 October'!$G$6:$G$30)+SUMIF('Week 3 October'!$A$6:$A$29,$A43,'Week 3 October'!$G$6:$G$29)+SUMIF('Week 4 October'!$A$6:$A$30,$A43,'Week 4 October'!$G$6:$G$30)</f>
        <v>427</v>
      </c>
      <c r="S43" s="6" t="n">
        <f aca="false">R43-Q43</f>
        <v>56</v>
      </c>
      <c r="T43" s="8" t="n">
        <f aca="false">IF(OR($A43="CHINA",$O$47=0),"",O43/$O$47)</f>
        <v>-0.0115302050782238</v>
      </c>
    </row>
    <row r="44" customFormat="false" ht="15" hidden="false" customHeight="false" outlineLevel="0" collapsed="false">
      <c r="A44" s="5" t="s">
        <v>83</v>
      </c>
      <c r="B44" s="5" t="s">
        <v>44</v>
      </c>
      <c r="C44" s="6" t="n">
        <f aca="false">SUMIF(September!$A$6:$A$37,$A44,September!$B$6:$B$37)</f>
        <v>88670</v>
      </c>
      <c r="D44" s="6" t="n">
        <f aca="false">SUMIF(September!$A$6:$A$37,$A44,September!$C$6:$C$37)</f>
        <v>128695</v>
      </c>
      <c r="E44" s="6" t="n">
        <f aca="false">SUMIF('Week 1 October'!$A$6:$A$29,$A44,'Week 1 October'!$B$6:$B$29)</f>
        <v>0</v>
      </c>
      <c r="F44" s="6" t="n">
        <f aca="false">SUMIF('Week 1 October'!$A$6:$A$29,$A44,'Week 1 October'!$C$6:$C$29)</f>
        <v>126680</v>
      </c>
      <c r="G44" s="6" t="n">
        <f aca="false">SUMIF('Week 2 October'!$A$6:$A$30,$A44,'Week 2 October'!$B$6:$B$30)</f>
        <v>44999</v>
      </c>
      <c r="H44" s="6" t="n">
        <f aca="false">SUMIF('Week 2 October'!$A$6:$A$30,$A44,'Week 2 October'!$C$6:$C$30)</f>
        <v>44003</v>
      </c>
      <c r="I44" s="6" t="n">
        <f aca="false">SUMIF('Week 3 October'!$A$6:$A$29,$A44,'Week 3 October'!$B$6:$B$29)</f>
        <v>0</v>
      </c>
      <c r="J44" s="6" t="n">
        <f aca="false">SUMIF('Week 3 October'!$A$6:$A$29,$A44,'Week 3 October'!$C$6:$C$29)</f>
        <v>47306</v>
      </c>
      <c r="K44" s="6" t="n">
        <f aca="false">SUMIF('Week 4 October'!$A$6:$A$30,$A44,'Week 4 October'!$B$6:$B$30)</f>
        <v>0</v>
      </c>
      <c r="L44" s="6" t="n">
        <f aca="false">SUMIF('Week 4 October'!$A$6:$A$30,$A44,'Week 4 October'!$C$6:$C$30)</f>
        <v>96300</v>
      </c>
      <c r="M44" s="6" t="n">
        <f aca="false">C44+E44+G44+I44+K44</f>
        <v>133669</v>
      </c>
      <c r="N44" s="6" t="n">
        <f aca="false">D44+F44+H44+J44+L44</f>
        <v>442984</v>
      </c>
      <c r="O44" s="6" t="n">
        <f aca="false">N44-M44</f>
        <v>309315</v>
      </c>
      <c r="P44" s="7" t="n">
        <f aca="false">IF(M44=0,IF(N44=0,0,"new"),N44/M44-1)</f>
        <v>2.31403691207385</v>
      </c>
      <c r="Q44" s="6" t="n">
        <f aca="false">SUMIF(September!$A$6:$A$37,$A44,September!$F$6:$F$37)+SUMIF('Week 1 October'!$A$6:$A$29,$A44,'Week 1 October'!$F$6:$F$29)+SUMIF('Week 2 October'!$A$6:$A$30,$A44,'Week 2 October'!$F$6:$F$30)+SUMIF('Week 3 October'!$A$6:$A$29,$A44,'Week 3 October'!$F$6:$F$29)+SUMIF('Week 4 October'!$A$6:$A$30,$A44,'Week 4 October'!$F$6:$F$30)</f>
        <v>3</v>
      </c>
      <c r="R44" s="6" t="n">
        <f aca="false">SUMIF(September!$A$6:$A$37,$A44,September!$G$6:$G$37)+SUMIF('Week 1 October'!$A$6:$A$29,$A44,'Week 1 October'!$G$6:$G$29)+SUMIF('Week 2 October'!$A$6:$A$30,$A44,'Week 2 October'!$G$6:$G$30)+SUMIF('Week 3 October'!$A$6:$A$29,$A44,'Week 3 October'!$G$6:$G$29)+SUMIF('Week 4 October'!$A$6:$A$30,$A44,'Week 4 October'!$G$6:$G$30)</f>
        <v>10</v>
      </c>
      <c r="S44" s="6" t="n">
        <f aca="false">R44-Q44</f>
        <v>7</v>
      </c>
      <c r="T44" s="8" t="n">
        <f aca="false">IF(OR($A44="CHINA",$O$47=0),"",O44/$O$47)</f>
        <v>-0.10092722596063</v>
      </c>
    </row>
    <row r="45" customFormat="false" ht="15" hidden="false" customHeight="false" outlineLevel="0" collapsed="false">
      <c r="A45" s="9" t="s">
        <v>84</v>
      </c>
      <c r="B45" s="9"/>
      <c r="C45" s="10" t="n">
        <f aca="false">SUM(C6:C44)</f>
        <v>2466553</v>
      </c>
      <c r="D45" s="10" t="n">
        <f aca="false">SUM(D6:D44)</f>
        <v>3071514</v>
      </c>
      <c r="E45" s="10" t="n">
        <f aca="false">SUM(E6:E44)</f>
        <v>783495</v>
      </c>
      <c r="F45" s="10" t="n">
        <f aca="false">SUM(F6:F44)</f>
        <v>1199430</v>
      </c>
      <c r="G45" s="10" t="n">
        <f aca="false">SUM(G6:G44)</f>
        <v>1017196</v>
      </c>
      <c r="H45" s="10" t="n">
        <f aca="false">SUM(H6:H44)</f>
        <v>1112594</v>
      </c>
      <c r="I45" s="10" t="n">
        <f aca="false">SUM(I6:I44)</f>
        <v>1591342</v>
      </c>
      <c r="J45" s="10" t="n">
        <f aca="false">SUM(J6:J44)</f>
        <v>2068086</v>
      </c>
      <c r="K45" s="10" t="n">
        <f aca="false">SUM(K6:K44)</f>
        <v>1161105</v>
      </c>
      <c r="L45" s="10" t="n">
        <f aca="false">SUM(L6:L44)</f>
        <v>2476453</v>
      </c>
      <c r="M45" s="10" t="n">
        <f aca="false">SUM(M6:M44)</f>
        <v>7019691</v>
      </c>
      <c r="N45" s="10" t="n">
        <f aca="false">SUM(N6:N44)</f>
        <v>9928077</v>
      </c>
      <c r="O45" s="10" t="n">
        <f aca="false">N45-M45</f>
        <v>2908386</v>
      </c>
      <c r="P45" s="11" t="n">
        <f aca="false">IF(M45=0,IF(N45=0,0,"new"),N45/M45-1)</f>
        <v>0.414318237084795</v>
      </c>
      <c r="Q45" s="10" t="n">
        <f aca="false">SUM(Q6:Q44)</f>
        <v>2573</v>
      </c>
      <c r="R45" s="10" t="n">
        <f aca="false">SUM(R6:R44)</f>
        <v>1850</v>
      </c>
      <c r="S45" s="10" t="n">
        <f aca="false">R45-Q45</f>
        <v>-723</v>
      </c>
      <c r="T45" s="12"/>
    </row>
    <row r="46" customFormat="false" ht="15" hidden="false" customHeight="false" outlineLevel="0" collapsed="false">
      <c r="A46" s="4" t="s">
        <v>14</v>
      </c>
      <c r="B46" s="4"/>
      <c r="C46" s="16" t="n">
        <f aca="false">SUMIF($A$6:$A$44,"CHINA",C6:C44)</f>
        <v>0</v>
      </c>
      <c r="D46" s="16" t="n">
        <f aca="false">SUMIF($A$6:$A$44,"CHINA",D6:D44)</f>
        <v>1581810</v>
      </c>
      <c r="E46" s="16" t="n">
        <f aca="false">SUMIF($A$6:$A$44,"CHINA",E6:E44)</f>
        <v>0</v>
      </c>
      <c r="F46" s="16" t="n">
        <f aca="false">SUMIF($A$6:$A$44,"CHINA",F6:F44)</f>
        <v>756492</v>
      </c>
      <c r="G46" s="16" t="n">
        <f aca="false">SUMIF($A$6:$A$44,"CHINA",G6:G44)</f>
        <v>0</v>
      </c>
      <c r="H46" s="16" t="n">
        <f aca="false">SUMIF($A$6:$A$44,"CHINA",H6:H44)</f>
        <v>649252</v>
      </c>
      <c r="I46" s="16" t="n">
        <f aca="false">SUMIF($A$6:$A$44,"CHINA",I6:I44)</f>
        <v>0</v>
      </c>
      <c r="J46" s="16" t="n">
        <f aca="false">SUMIF($A$6:$A$44,"CHINA",J6:J44)</f>
        <v>1333625</v>
      </c>
      <c r="K46" s="16" t="n">
        <f aca="false">SUMIF($A$6:$A$44,"CHINA",K6:K44)</f>
        <v>0</v>
      </c>
      <c r="L46" s="16" t="n">
        <f aca="false">SUMIF($A$6:$A$44,"CHINA",L6:L44)</f>
        <v>1651940</v>
      </c>
      <c r="M46" s="16" t="n">
        <f aca="false">SUMIF($A$6:$A$44,"CHINA",M6:M44)</f>
        <v>0</v>
      </c>
      <c r="N46" s="16" t="n">
        <f aca="false">SUMIF($A$6:$A$44,"CHINA",N6:N44)</f>
        <v>5973119</v>
      </c>
      <c r="O46" s="16" t="n">
        <f aca="false">N46-M46</f>
        <v>5973119</v>
      </c>
      <c r="P46" s="17" t="str">
        <f aca="false">IF(M46=0,IF(N46=0,0,"new"),N46/M46-1)</f>
        <v>new</v>
      </c>
      <c r="Q46" s="16" t="n">
        <f aca="false">SUMIF($A$6:$A$44,"CHINA",Q6:Q44)</f>
        <v>0</v>
      </c>
      <c r="R46" s="16" t="n">
        <f aca="false">SUMIF($A$6:$A$44,"CHINA",R6:R44)</f>
        <v>91</v>
      </c>
      <c r="S46" s="16" t="n">
        <f aca="false">R46-Q46</f>
        <v>91</v>
      </c>
      <c r="T46" s="18"/>
    </row>
    <row r="47" customFormat="false" ht="15" hidden="false" customHeight="false" outlineLevel="0" collapsed="false">
      <c r="A47" s="4" t="s">
        <v>15</v>
      </c>
      <c r="B47" s="4"/>
      <c r="C47" s="16" t="n">
        <f aca="false">C45-C46</f>
        <v>2466553</v>
      </c>
      <c r="D47" s="16" t="n">
        <f aca="false">D45-D46</f>
        <v>1489704</v>
      </c>
      <c r="E47" s="16" t="n">
        <f aca="false">E45-E46</f>
        <v>783495</v>
      </c>
      <c r="F47" s="16" t="n">
        <f aca="false">F45-F46</f>
        <v>442938</v>
      </c>
      <c r="G47" s="16" t="n">
        <f aca="false">G45-G46</f>
        <v>1017196</v>
      </c>
      <c r="H47" s="16" t="n">
        <f aca="false">H45-H46</f>
        <v>463342</v>
      </c>
      <c r="I47" s="16" t="n">
        <f aca="false">I45-I46</f>
        <v>1591342</v>
      </c>
      <c r="J47" s="16" t="n">
        <f aca="false">J45-J46</f>
        <v>734461</v>
      </c>
      <c r="K47" s="16" t="n">
        <f aca="false">K45-K46</f>
        <v>1161105</v>
      </c>
      <c r="L47" s="16" t="n">
        <f aca="false">L45-L46</f>
        <v>824513</v>
      </c>
      <c r="M47" s="16" t="n">
        <f aca="false">M45-M46</f>
        <v>7019691</v>
      </c>
      <c r="N47" s="16" t="n">
        <f aca="false">N45-N46</f>
        <v>3954958</v>
      </c>
      <c r="O47" s="16" t="n">
        <f aca="false">N47-M47</f>
        <v>-3064733</v>
      </c>
      <c r="P47" s="17" t="n">
        <f aca="false">IF(M47=0,IF(N47=0,0,"new"),N47/M47-1)</f>
        <v>-0.436590869883019</v>
      </c>
      <c r="Q47" s="16" t="n">
        <f aca="false">Q45-Q46</f>
        <v>2573</v>
      </c>
      <c r="R47" s="16" t="n">
        <f aca="false">R45-R46</f>
        <v>1759</v>
      </c>
      <c r="S47" s="16" t="n">
        <f aca="false">R47-Q47</f>
        <v>-814</v>
      </c>
      <c r="T47" s="18" t="n">
        <f aca="false">IF(OR($A47="CHINA",$O$47=0),"",O47/$O$47)</f>
        <v>1</v>
      </c>
    </row>
    <row r="49" customFormat="false" ht="15" hidden="false" customHeight="false" outlineLevel="0" collapsed="false">
      <c r="A49" s="4" t="s">
        <v>85</v>
      </c>
    </row>
    <row r="50" customFormat="false" ht="28.35" hidden="false" customHeight="false" outlineLevel="0" collapsed="false">
      <c r="A50" s="3" t="s">
        <v>28</v>
      </c>
      <c r="B50" s="3" t="s">
        <v>86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37</v>
      </c>
    </row>
    <row r="51" customFormat="false" ht="15" hidden="false" customHeight="false" outlineLevel="0" collapsed="false">
      <c r="A51" s="6" t="s">
        <v>14</v>
      </c>
      <c r="B51" s="6" t="n">
        <f aca="false">COUNTIF($B$6:$B$44,A51)</f>
        <v>1</v>
      </c>
      <c r="C51" s="6" t="n">
        <f aca="false">SUMIF($B$6:$B$44,$A51,M$6:M$44)</f>
        <v>0</v>
      </c>
      <c r="D51" s="6" t="n">
        <f aca="false">SUMIF($B$6:$B$44,$A51,N$6:N$44)</f>
        <v>5973119</v>
      </c>
      <c r="E51" s="6" t="n">
        <f aca="false">D51-C51</f>
        <v>5973119</v>
      </c>
      <c r="F51" s="7" t="str">
        <f aca="false">IF(C51=0,IF(D51=0,0,"new"),D51/C51-1)</f>
        <v>new</v>
      </c>
      <c r="G51" s="8" t="str">
        <f aca="false">IF(A51="China","",E51/$O$47)</f>
        <v/>
      </c>
    </row>
    <row r="52" customFormat="false" ht="15" hidden="false" customHeight="false" outlineLevel="0" collapsed="false">
      <c r="A52" s="6" t="s">
        <v>49</v>
      </c>
      <c r="B52" s="6" t="n">
        <f aca="false">COUNTIF($B$6:$B$44,A52)</f>
        <v>3</v>
      </c>
      <c r="C52" s="6" t="n">
        <f aca="false">SUMIF($B$6:$B$44,$A52,M$6:M$44)</f>
        <v>891958</v>
      </c>
      <c r="D52" s="6" t="n">
        <f aca="false">SUMIF($B$6:$B$44,$A52,N$6:N$44)</f>
        <v>501186</v>
      </c>
      <c r="E52" s="6" t="n">
        <f aca="false">D52-C52</f>
        <v>-390772</v>
      </c>
      <c r="F52" s="7" t="n">
        <f aca="false">IF(C52=0,IF(D52=0,0,"new"),D52/C52-1)</f>
        <v>-0.438105830095139</v>
      </c>
      <c r="G52" s="8" t="n">
        <f aca="false">IF(A52="China","",E52/$O$47)</f>
        <v>0.127506050282357</v>
      </c>
    </row>
    <row r="53" customFormat="false" ht="15" hidden="false" customHeight="false" outlineLevel="0" collapsed="false">
      <c r="A53" s="6" t="s">
        <v>53</v>
      </c>
      <c r="B53" s="6" t="n">
        <f aca="false">COUNTIF($B$6:$B$44,A53)</f>
        <v>7</v>
      </c>
      <c r="C53" s="6" t="n">
        <f aca="false">SUMIF($B$6:$B$44,$A53,M$6:M$44)</f>
        <v>842893</v>
      </c>
      <c r="D53" s="6" t="n">
        <f aca="false">SUMIF($B$6:$B$44,$A53,N$6:N$44)</f>
        <v>619394</v>
      </c>
      <c r="E53" s="6" t="n">
        <f aca="false">D53-C53</f>
        <v>-223499</v>
      </c>
      <c r="F53" s="7" t="n">
        <f aca="false">IF(C53=0,IF(D53=0,0,"new"),D53/C53-1)</f>
        <v>-0.26515702467573</v>
      </c>
      <c r="G53" s="8" t="n">
        <f aca="false">IF(A53="China","",E53/$O$47)</f>
        <v>0.072926091767211</v>
      </c>
    </row>
    <row r="54" customFormat="false" ht="15" hidden="false" customHeight="false" outlineLevel="0" collapsed="false">
      <c r="A54" s="6" t="s">
        <v>40</v>
      </c>
      <c r="B54" s="6" t="n">
        <f aca="false">COUNTIF($B$6:$B$44,A54)</f>
        <v>4</v>
      </c>
      <c r="C54" s="6" t="n">
        <f aca="false">SUMIF($B$6:$B$44,$A54,M$6:M$44)</f>
        <v>1056525</v>
      </c>
      <c r="D54" s="6" t="n">
        <f aca="false">SUMIF($B$6:$B$44,$A54,N$6:N$44)</f>
        <v>238678</v>
      </c>
      <c r="E54" s="6" t="n">
        <f aca="false">D54-C54</f>
        <v>-817847</v>
      </c>
      <c r="F54" s="7" t="n">
        <f aca="false">IF(C54=0,IF(D54=0,0,"new"),D54/C54-1)</f>
        <v>-0.774091479141525</v>
      </c>
      <c r="G54" s="8" t="n">
        <f aca="false">IF(A54="China","",E54/$O$47)</f>
        <v>0.266857504389453</v>
      </c>
    </row>
    <row r="55" customFormat="false" ht="15" hidden="false" customHeight="false" outlineLevel="0" collapsed="false">
      <c r="A55" s="6" t="s">
        <v>44</v>
      </c>
      <c r="B55" s="6" t="n">
        <f aca="false">COUNTIF($B$6:$B$44,A55)</f>
        <v>7</v>
      </c>
      <c r="C55" s="6" t="n">
        <f aca="false">SUMIF($B$6:$B$44,$A55,M$6:M$44)</f>
        <v>1492430</v>
      </c>
      <c r="D55" s="6" t="n">
        <f aca="false">SUMIF($B$6:$B$44,$A55,N$6:N$44)</f>
        <v>1137501</v>
      </c>
      <c r="E55" s="6" t="n">
        <f aca="false">D55-C55</f>
        <v>-354929</v>
      </c>
      <c r="F55" s="7" t="n">
        <f aca="false">IF(C55=0,IF(D55=0,0,"new"),D55/C55-1)</f>
        <v>-0.237819529224151</v>
      </c>
      <c r="G55" s="8" t="n">
        <f aca="false">IF(A55="China","",E55/$O$47)</f>
        <v>0.115810741098817</v>
      </c>
    </row>
    <row r="56" customFormat="false" ht="15" hidden="false" customHeight="false" outlineLevel="0" collapsed="false">
      <c r="A56" s="6" t="s">
        <v>46</v>
      </c>
      <c r="B56" s="6" t="n">
        <f aca="false">COUNTIF($B$6:$B$44,A56)</f>
        <v>7</v>
      </c>
      <c r="C56" s="6" t="n">
        <f aca="false">SUMIF($B$6:$B$44,$A56,M$6:M$44)</f>
        <v>1442793</v>
      </c>
      <c r="D56" s="6" t="n">
        <f aca="false">SUMIF($B$6:$B$44,$A56,N$6:N$44)</f>
        <v>560496</v>
      </c>
      <c r="E56" s="6" t="n">
        <f aca="false">D56-C56</f>
        <v>-882297</v>
      </c>
      <c r="F56" s="7" t="n">
        <f aca="false">IF(C56=0,IF(D56=0,0,"new"),D56/C56-1)</f>
        <v>-0.611520155698011</v>
      </c>
      <c r="G56" s="8" t="n">
        <f aca="false">IF(A56="China","",E56/$O$47)</f>
        <v>0.287887068791963</v>
      </c>
    </row>
    <row r="57" customFormat="false" ht="15" hidden="false" customHeight="false" outlineLevel="0" collapsed="false">
      <c r="A57" s="6" t="s">
        <v>42</v>
      </c>
      <c r="B57" s="6" t="n">
        <f aca="false">COUNTIF($B$6:$B$44,A57)</f>
        <v>9</v>
      </c>
      <c r="C57" s="6" t="n">
        <f aca="false">SUMIF($B$6:$B$44,$A57,M$6:M$44)</f>
        <v>1293092</v>
      </c>
      <c r="D57" s="6" t="n">
        <f aca="false">SUMIF($B$6:$B$44,$A57,N$6:N$44)</f>
        <v>897507</v>
      </c>
      <c r="E57" s="6" t="n">
        <f aca="false">D57-C57</f>
        <v>-395585</v>
      </c>
      <c r="F57" s="7" t="n">
        <f aca="false">IF(C57=0,IF(D57=0,0,"new"),D57/C57-1)</f>
        <v>-0.305921775094115</v>
      </c>
      <c r="G57" s="8" t="n">
        <f aca="false">IF(A57="China","",E57/$O$47)</f>
        <v>0.129076497039057</v>
      </c>
    </row>
    <row r="58" customFormat="false" ht="15" hidden="false" customHeight="false" outlineLevel="0" collapsed="false">
      <c r="A58" s="6" t="s">
        <v>75</v>
      </c>
      <c r="B58" s="6" t="n">
        <f aca="false">COUNTIF($B$6:$B$44,A58)</f>
        <v>1</v>
      </c>
      <c r="C58" s="6" t="n">
        <f aca="false">SUMIF($B$6:$B$44,$A58,M$6:M$44)</f>
        <v>0</v>
      </c>
      <c r="D58" s="6" t="n">
        <f aca="false">SUMIF($B$6:$B$44,$A58,N$6:N$44)</f>
        <v>196</v>
      </c>
      <c r="E58" s="6" t="n">
        <f aca="false">D58-C58</f>
        <v>196</v>
      </c>
      <c r="F58" s="7" t="str">
        <f aca="false">IF(C58=0,IF(D58=0,0,"new"),D58/C58-1)</f>
        <v>new</v>
      </c>
      <c r="G58" s="8" t="n">
        <f aca="false">IF(A58="China","",E58/$O$47)</f>
        <v>-6.3953368857907E-005</v>
      </c>
    </row>
    <row r="59" customFormat="false" ht="15" hidden="false" customHeight="false" outlineLevel="0" collapsed="false">
      <c r="A59" s="10" t="s">
        <v>84</v>
      </c>
      <c r="B59" s="10" t="n">
        <f aca="false">SUM(B51:B58)</f>
        <v>39</v>
      </c>
      <c r="C59" s="10" t="n">
        <f aca="false">SUM(C51:C58)</f>
        <v>7019691</v>
      </c>
      <c r="D59" s="10" t="n">
        <f aca="false">SUM(D51:D58)</f>
        <v>9928077</v>
      </c>
      <c r="E59" s="10" t="n">
        <f aca="false">SUM(E51:E58)</f>
        <v>2908386</v>
      </c>
      <c r="F59" s="11" t="n">
        <f aca="false">IF(C59=0,0,D59/C59-1)</f>
        <v>0.414318237084795</v>
      </c>
      <c r="G59" s="12"/>
    </row>
  </sheetData>
  <mergeCells count="8">
    <mergeCell ref="A4:A5"/>
    <mergeCell ref="B4:B5"/>
    <mergeCell ref="C4:D4"/>
    <mergeCell ref="E4:F4"/>
    <mergeCell ref="G4:H4"/>
    <mergeCell ref="I4:J4"/>
    <mergeCell ref="K4:L4"/>
    <mergeCell ref="M4:T4"/>
  </mergeCells>
  <conditionalFormatting sqref="O6:P47">
    <cfRule type="expression" priority="2" aboveAverage="0" equalAverage="0" bottom="0" percent="0" rank="0" text="" dxfId="0">
      <formula>AND(ISNUMBER(O6),O6&gt;0)</formula>
    </cfRule>
    <cfRule type="expression" priority="3" aboveAverage="0" equalAverage="0" bottom="0" percent="0" rank="0" text="" dxfId="1">
      <formula>AND(ISNUMBER(O6),O6&lt;0)</formula>
    </cfRule>
  </conditionalFormatting>
  <conditionalFormatting sqref="S6:S47">
    <cfRule type="expression" priority="4" aboveAverage="0" equalAverage="0" bottom="0" percent="0" rank="0" text="" dxfId="0">
      <formula>AND(ISNUMBER(S6),S6&gt;0)</formula>
    </cfRule>
    <cfRule type="expression" priority="5" aboveAverage="0" equalAverage="0" bottom="0" percent="0" rank="0" text="" dxfId="1">
      <formula>AND(ISNUMBER(S6),S6&lt;0)</formula>
    </cfRule>
  </conditionalFormatting>
  <conditionalFormatting sqref="E51:F59">
    <cfRule type="expression" priority="6" aboveAverage="0" equalAverage="0" bottom="0" percent="0" rank="0" text="" dxfId="0">
      <formula>AND(ISNUMBER(E51),E51&gt;0)</formula>
    </cfRule>
    <cfRule type="expression" priority="7" aboveAverage="0" equalAverage="0" bottom="0" percent="0" rank="0" text="" dxfId="1">
      <formula>AND(ISNUMBER(E51),E51&lt;0)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9" t="s">
        <v>27</v>
      </c>
      <c r="B4" s="19" t="s">
        <v>89</v>
      </c>
      <c r="C4" s="19"/>
      <c r="D4" s="19"/>
      <c r="E4" s="19"/>
      <c r="F4" s="19" t="s">
        <v>90</v>
      </c>
      <c r="G4" s="19"/>
      <c r="H4" s="19"/>
    </row>
    <row r="5" customFormat="false" ht="15" hidden="false" customHeight="false" outlineLevel="0" collapsed="false">
      <c r="A5" s="19"/>
      <c r="B5" s="20" t="s">
        <v>35</v>
      </c>
      <c r="C5" s="20" t="s">
        <v>36</v>
      </c>
      <c r="D5" s="20" t="s">
        <v>6</v>
      </c>
      <c r="E5" s="20" t="s">
        <v>7</v>
      </c>
      <c r="F5" s="20" t="s">
        <v>35</v>
      </c>
      <c r="G5" s="20" t="s">
        <v>36</v>
      </c>
      <c r="H5" s="20" t="s">
        <v>91</v>
      </c>
    </row>
    <row r="6" customFormat="false" ht="15" hidden="false" customHeight="false" outlineLevel="0" collapsed="false">
      <c r="A6" s="5" t="s">
        <v>38</v>
      </c>
      <c r="B6" s="6" t="n">
        <v>0</v>
      </c>
      <c r="C6" s="6" t="n">
        <v>1581810</v>
      </c>
      <c r="D6" s="6" t="n">
        <f aca="false">C6-B6</f>
        <v>1581810</v>
      </c>
      <c r="E6" s="7" t="str">
        <f aca="false">IF(B6=0,IF(C6=0,0,"new"),C6/B6-1)</f>
        <v>new</v>
      </c>
      <c r="F6" s="6" t="n">
        <v>0</v>
      </c>
      <c r="G6" s="6" t="n">
        <v>24</v>
      </c>
      <c r="H6" s="6" t="n">
        <f aca="false">G6-F6</f>
        <v>24</v>
      </c>
    </row>
    <row r="7" customFormat="false" ht="15" hidden="false" customHeight="false" outlineLevel="0" collapsed="false">
      <c r="A7" s="5" t="s">
        <v>43</v>
      </c>
      <c r="B7" s="6" t="n">
        <v>392308</v>
      </c>
      <c r="C7" s="6" t="n">
        <v>287000</v>
      </c>
      <c r="D7" s="6" t="n">
        <f aca="false">C7-B7</f>
        <v>-105308</v>
      </c>
      <c r="E7" s="7" t="n">
        <f aca="false">IF(B7=0,IF(C7=0,0,"new"),C7/B7-1)</f>
        <v>-0.268431946327885</v>
      </c>
      <c r="F7" s="6" t="n">
        <v>7</v>
      </c>
      <c r="G7" s="6" t="n">
        <v>5</v>
      </c>
      <c r="H7" s="6" t="n">
        <f aca="false">G7-F7</f>
        <v>-2</v>
      </c>
    </row>
    <row r="8" customFormat="false" ht="15" hidden="false" customHeight="false" outlineLevel="0" collapsed="false">
      <c r="A8" s="5" t="s">
        <v>41</v>
      </c>
      <c r="B8" s="6" t="n">
        <v>332913</v>
      </c>
      <c r="C8" s="6" t="n">
        <v>196733</v>
      </c>
      <c r="D8" s="6" t="n">
        <f aca="false">C8-B8</f>
        <v>-136180</v>
      </c>
      <c r="E8" s="7" t="n">
        <f aca="false">IF(B8=0,IF(C8=0,0,"new"),C8/B8-1)</f>
        <v>-0.409055819388249</v>
      </c>
      <c r="F8" s="6" t="n">
        <v>39</v>
      </c>
      <c r="G8" s="6" t="n">
        <v>36</v>
      </c>
      <c r="H8" s="6" t="n">
        <f aca="false">G8-F8</f>
        <v>-3</v>
      </c>
    </row>
    <row r="9" customFormat="false" ht="15" hidden="false" customHeight="false" outlineLevel="0" collapsed="false">
      <c r="A9" s="5" t="s">
        <v>80</v>
      </c>
      <c r="B9" s="6" t="n">
        <v>257479</v>
      </c>
      <c r="C9" s="6" t="n">
        <v>170766</v>
      </c>
      <c r="D9" s="6" t="n">
        <f aca="false">C9-B9</f>
        <v>-86713</v>
      </c>
      <c r="E9" s="7" t="n">
        <f aca="false">IF(B9=0,IF(C9=0,0,"new"),C9/B9-1)</f>
        <v>-0.336776979870203</v>
      </c>
      <c r="F9" s="6" t="n">
        <v>19</v>
      </c>
      <c r="G9" s="6" t="n">
        <v>31</v>
      </c>
      <c r="H9" s="6" t="n">
        <f aca="false">G9-F9</f>
        <v>12</v>
      </c>
    </row>
    <row r="10" customFormat="false" ht="15" hidden="false" customHeight="false" outlineLevel="0" collapsed="false">
      <c r="A10" s="5" t="s">
        <v>50</v>
      </c>
      <c r="B10" s="6" t="n">
        <v>185744</v>
      </c>
      <c r="C10" s="6" t="n">
        <v>162784</v>
      </c>
      <c r="D10" s="6" t="n">
        <f aca="false">C10-B10</f>
        <v>-22960</v>
      </c>
      <c r="E10" s="7" t="n">
        <f aca="false">IF(B10=0,IF(C10=0,0,"new"),C10/B10-1)</f>
        <v>-0.123610991472134</v>
      </c>
      <c r="F10" s="6" t="n">
        <v>3</v>
      </c>
      <c r="G10" s="6" t="n">
        <v>3</v>
      </c>
      <c r="H10" s="6" t="n">
        <f aca="false">G10-F10</f>
        <v>0</v>
      </c>
    </row>
    <row r="11" customFormat="false" ht="15" hidden="false" customHeight="false" outlineLevel="0" collapsed="false">
      <c r="A11" s="5" t="s">
        <v>52</v>
      </c>
      <c r="B11" s="6" t="n">
        <v>188108</v>
      </c>
      <c r="C11" s="6" t="n">
        <v>133674</v>
      </c>
      <c r="D11" s="6" t="n">
        <f aca="false">C11-B11</f>
        <v>-54434</v>
      </c>
      <c r="E11" s="7" t="n">
        <f aca="false">IF(B11=0,IF(C11=0,0,"new"),C11/B11-1)</f>
        <v>-0.289376315733515</v>
      </c>
      <c r="F11" s="6" t="n">
        <v>212</v>
      </c>
      <c r="G11" s="6" t="n">
        <v>231</v>
      </c>
      <c r="H11" s="6" t="n">
        <f aca="false">G11-F11</f>
        <v>19</v>
      </c>
    </row>
    <row r="12" customFormat="false" ht="15" hidden="false" customHeight="false" outlineLevel="0" collapsed="false">
      <c r="A12" s="5" t="s">
        <v>83</v>
      </c>
      <c r="B12" s="6" t="n">
        <v>88670</v>
      </c>
      <c r="C12" s="6" t="n">
        <v>128695</v>
      </c>
      <c r="D12" s="6" t="n">
        <f aca="false">C12-B12</f>
        <v>40025</v>
      </c>
      <c r="E12" s="7" t="n">
        <f aca="false">IF(B12=0,IF(C12=0,0,"new"),C12/B12-1)</f>
        <v>0.451392804781775</v>
      </c>
      <c r="F12" s="6" t="n">
        <v>2</v>
      </c>
      <c r="G12" s="6" t="n">
        <v>3</v>
      </c>
      <c r="H12" s="6" t="n">
        <f aca="false">G12-F12</f>
        <v>1</v>
      </c>
    </row>
    <row r="13" customFormat="false" ht="15" hidden="false" customHeight="false" outlineLevel="0" collapsed="false">
      <c r="A13" s="5" t="s">
        <v>47</v>
      </c>
      <c r="B13" s="6" t="n">
        <v>169531</v>
      </c>
      <c r="C13" s="6" t="n">
        <v>114598</v>
      </c>
      <c r="D13" s="6" t="n">
        <f aca="false">C13-B13</f>
        <v>-54933</v>
      </c>
      <c r="E13" s="7" t="n">
        <f aca="false">IF(B13=0,IF(C13=0,0,"new"),C13/B13-1)</f>
        <v>-0.324029233591497</v>
      </c>
      <c r="F13" s="6" t="n">
        <v>3</v>
      </c>
      <c r="G13" s="6" t="n">
        <v>2</v>
      </c>
      <c r="H13" s="6" t="n">
        <f aca="false">G13-F13</f>
        <v>-1</v>
      </c>
    </row>
    <row r="14" customFormat="false" ht="15" hidden="false" customHeight="false" outlineLevel="0" collapsed="false">
      <c r="A14" s="5" t="s">
        <v>58</v>
      </c>
      <c r="B14" s="6" t="n">
        <v>69088</v>
      </c>
      <c r="C14" s="6" t="n">
        <v>59652</v>
      </c>
      <c r="D14" s="6" t="n">
        <f aca="false">C14-B14</f>
        <v>-9436</v>
      </c>
      <c r="E14" s="7" t="n">
        <f aca="false">IF(B14=0,IF(C14=0,0,"new"),C14/B14-1)</f>
        <v>-0.136579434923576</v>
      </c>
      <c r="F14" s="6" t="n">
        <v>1</v>
      </c>
      <c r="G14" s="6" t="n">
        <v>1</v>
      </c>
      <c r="H14" s="6" t="n">
        <f aca="false">G14-F14</f>
        <v>0</v>
      </c>
    </row>
    <row r="15" customFormat="false" ht="15" hidden="false" customHeight="false" outlineLevel="0" collapsed="false">
      <c r="A15" s="5" t="s">
        <v>51</v>
      </c>
      <c r="B15" s="6" t="n">
        <v>128961</v>
      </c>
      <c r="C15" s="6" t="n">
        <v>58374</v>
      </c>
      <c r="D15" s="6" t="n">
        <f aca="false">C15-B15</f>
        <v>-70587</v>
      </c>
      <c r="E15" s="7" t="n">
        <f aca="false">IF(B15=0,IF(C15=0,0,"new"),C15/B15-1)</f>
        <v>-0.547351524879615</v>
      </c>
      <c r="F15" s="6" t="n">
        <v>2</v>
      </c>
      <c r="G15" s="6" t="n">
        <v>1</v>
      </c>
      <c r="H15" s="6" t="n">
        <f aca="false">G15-F15</f>
        <v>-1</v>
      </c>
    </row>
    <row r="16" customFormat="false" ht="15" hidden="false" customHeight="false" outlineLevel="0" collapsed="false">
      <c r="A16" s="5" t="s">
        <v>82</v>
      </c>
      <c r="B16" s="6" t="n">
        <v>30794</v>
      </c>
      <c r="C16" s="6" t="n">
        <v>40096</v>
      </c>
      <c r="D16" s="6" t="n">
        <f aca="false">C16-B16</f>
        <v>9302</v>
      </c>
      <c r="E16" s="7" t="n">
        <f aca="false">IF(B16=0,IF(C16=0,0,"new"),C16/B16-1)</f>
        <v>0.302071832175099</v>
      </c>
      <c r="F16" s="6" t="n">
        <v>118</v>
      </c>
      <c r="G16" s="6" t="n">
        <v>162</v>
      </c>
      <c r="H16" s="6" t="n">
        <f aca="false">G16-F16</f>
        <v>44</v>
      </c>
    </row>
    <row r="17" customFormat="false" ht="15" hidden="false" customHeight="false" outlineLevel="0" collapsed="false">
      <c r="A17" s="5" t="s">
        <v>66</v>
      </c>
      <c r="B17" s="6" t="n">
        <v>27740</v>
      </c>
      <c r="C17" s="6" t="n">
        <v>33430</v>
      </c>
      <c r="D17" s="6" t="n">
        <f aca="false">C17-B17</f>
        <v>5690</v>
      </c>
      <c r="E17" s="7" t="n">
        <f aca="false">IF(B17=0,IF(C17=0,0,"new"),C17/B17-1)</f>
        <v>0.205118961788032</v>
      </c>
      <c r="F17" s="6" t="n">
        <v>3</v>
      </c>
      <c r="G17" s="6" t="n">
        <v>4</v>
      </c>
      <c r="H17" s="6" t="n">
        <f aca="false">G17-F17</f>
        <v>1</v>
      </c>
    </row>
    <row r="18" customFormat="false" ht="15" hidden="false" customHeight="false" outlineLevel="0" collapsed="false">
      <c r="A18" s="5" t="s">
        <v>48</v>
      </c>
      <c r="B18" s="6" t="n">
        <v>85344</v>
      </c>
      <c r="C18" s="6" t="n">
        <v>32370</v>
      </c>
      <c r="D18" s="6" t="n">
        <f aca="false">C18-B18</f>
        <v>-52974</v>
      </c>
      <c r="E18" s="7" t="n">
        <f aca="false">IF(B18=0,IF(C18=0,0,"new"),C18/B18-1)</f>
        <v>-0.620711473565804</v>
      </c>
      <c r="F18" s="6" t="n">
        <v>233</v>
      </c>
      <c r="G18" s="6" t="n">
        <v>96</v>
      </c>
      <c r="H18" s="6" t="n">
        <f aca="false">G18-F18</f>
        <v>-137</v>
      </c>
    </row>
    <row r="19" customFormat="false" ht="15" hidden="false" customHeight="false" outlineLevel="0" collapsed="false">
      <c r="A19" s="5" t="s">
        <v>64</v>
      </c>
      <c r="B19" s="6" t="n">
        <v>43375</v>
      </c>
      <c r="C19" s="6" t="n">
        <v>23412</v>
      </c>
      <c r="D19" s="6" t="n">
        <f aca="false">C19-B19</f>
        <v>-19963</v>
      </c>
      <c r="E19" s="7" t="n">
        <f aca="false">IF(B19=0,IF(C19=0,0,"new"),C19/B19-1)</f>
        <v>-0.460242074927954</v>
      </c>
      <c r="F19" s="6" t="n">
        <v>117</v>
      </c>
      <c r="G19" s="6" t="n">
        <v>63</v>
      </c>
      <c r="H19" s="6" t="n">
        <f aca="false">G19-F19</f>
        <v>-54</v>
      </c>
    </row>
    <row r="20" customFormat="false" ht="15" hidden="false" customHeight="false" outlineLevel="0" collapsed="false">
      <c r="A20" s="5" t="s">
        <v>65</v>
      </c>
      <c r="B20" s="6" t="n">
        <v>25355</v>
      </c>
      <c r="C20" s="6" t="n">
        <v>12500</v>
      </c>
      <c r="D20" s="6" t="n">
        <f aca="false">C20-B20</f>
        <v>-12855</v>
      </c>
      <c r="E20" s="7" t="n">
        <f aca="false">IF(B20=0,IF(C20=0,0,"new"),C20/B20-1)</f>
        <v>-0.50700059159929</v>
      </c>
      <c r="F20" s="6" t="n">
        <v>2</v>
      </c>
      <c r="G20" s="6" t="n">
        <v>1</v>
      </c>
      <c r="H20" s="6" t="n">
        <f aca="false">G20-F20</f>
        <v>-1</v>
      </c>
    </row>
    <row r="21" customFormat="false" ht="15" hidden="false" customHeight="false" outlineLevel="0" collapsed="false">
      <c r="A21" s="5" t="s">
        <v>81</v>
      </c>
      <c r="B21" s="6" t="n">
        <v>0</v>
      </c>
      <c r="C21" s="6" t="n">
        <v>9853</v>
      </c>
      <c r="D21" s="6" t="n">
        <f aca="false">C21-B21</f>
        <v>9853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79</v>
      </c>
      <c r="B22" s="6" t="n">
        <v>1996</v>
      </c>
      <c r="C22" s="6" t="n">
        <v>7963</v>
      </c>
      <c r="D22" s="6" t="n">
        <f aca="false">C22-B22</f>
        <v>5967</v>
      </c>
      <c r="E22" s="7" t="n">
        <f aca="false">IF(B22=0,IF(C22=0,0,"new"),C22/B22-1)</f>
        <v>2.98947895791583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69</v>
      </c>
      <c r="B23" s="6" t="n">
        <v>11038</v>
      </c>
      <c r="C23" s="6" t="n">
        <v>6656</v>
      </c>
      <c r="D23" s="6" t="n">
        <f aca="false">C23-B23</f>
        <v>-4382</v>
      </c>
      <c r="E23" s="7" t="n">
        <f aca="false">IF(B23=0,IF(C23=0,0,"new"),C23/B23-1)</f>
        <v>-0.396992208733466</v>
      </c>
      <c r="F23" s="6" t="n">
        <v>40</v>
      </c>
      <c r="G23" s="6" t="n">
        <v>26</v>
      </c>
      <c r="H23" s="6" t="n">
        <f aca="false">G23-F23</f>
        <v>-14</v>
      </c>
    </row>
    <row r="24" customFormat="false" ht="15" hidden="false" customHeight="false" outlineLevel="0" collapsed="false">
      <c r="A24" s="5" t="s">
        <v>78</v>
      </c>
      <c r="B24" s="6" t="n">
        <v>0</v>
      </c>
      <c r="C24" s="6" t="n">
        <v>4001</v>
      </c>
      <c r="D24" s="6" t="n">
        <f aca="false">C24-B24</f>
        <v>4001</v>
      </c>
      <c r="E24" s="7" t="str">
        <f aca="false">IF(B24=0,IF(C24=0,0,"new"),C24/B24-1)</f>
        <v>new</v>
      </c>
      <c r="F24" s="6" t="n">
        <v>0</v>
      </c>
      <c r="G24" s="6" t="n">
        <v>1</v>
      </c>
      <c r="H24" s="6" t="n">
        <f aca="false">G24-F24</f>
        <v>1</v>
      </c>
    </row>
    <row r="25" customFormat="false" ht="15" hidden="false" customHeight="false" outlineLevel="0" collapsed="false">
      <c r="A25" s="5" t="s">
        <v>57</v>
      </c>
      <c r="B25" s="6" t="n">
        <v>17262</v>
      </c>
      <c r="C25" s="6" t="n">
        <v>3992</v>
      </c>
      <c r="D25" s="6" t="n">
        <f aca="false">C25-B25</f>
        <v>-13270</v>
      </c>
      <c r="E25" s="7" t="n">
        <f aca="false">IF(B25=0,IF(C25=0,0,"new"),C25/B25-1)</f>
        <v>-0.768740586258835</v>
      </c>
      <c r="F25" s="6" t="n">
        <v>60</v>
      </c>
      <c r="G25" s="6" t="n">
        <v>11</v>
      </c>
      <c r="H25" s="6" t="n">
        <f aca="false">G25-F25</f>
        <v>-49</v>
      </c>
    </row>
    <row r="26" customFormat="false" ht="15" hidden="false" customHeight="false" outlineLevel="0" collapsed="false">
      <c r="A26" s="5" t="s">
        <v>55</v>
      </c>
      <c r="B26" s="6" t="n">
        <v>342</v>
      </c>
      <c r="C26" s="6" t="n">
        <v>1685</v>
      </c>
      <c r="D26" s="6" t="n">
        <f aca="false">C26-B26</f>
        <v>1343</v>
      </c>
      <c r="E26" s="7" t="n">
        <f aca="false">IF(B26=0,IF(C26=0,0,"new"),C26/B26-1)</f>
        <v>3.92690058479532</v>
      </c>
      <c r="F26" s="6" t="n">
        <v>3</v>
      </c>
      <c r="G26" s="6" t="n">
        <v>12</v>
      </c>
      <c r="H26" s="6" t="n">
        <f aca="false">G26-F26</f>
        <v>9</v>
      </c>
    </row>
    <row r="27" customFormat="false" ht="15" hidden="false" customHeight="false" outlineLevel="0" collapsed="false">
      <c r="A27" s="5" t="s">
        <v>71</v>
      </c>
      <c r="B27" s="6" t="n">
        <v>2347</v>
      </c>
      <c r="C27" s="6" t="n">
        <v>1225</v>
      </c>
      <c r="D27" s="6" t="n">
        <f aca="false">C27-B27</f>
        <v>-1122</v>
      </c>
      <c r="E27" s="7" t="n">
        <f aca="false">IF(B27=0,IF(C27=0,0,"new"),C27/B27-1)</f>
        <v>-0.478057094162761</v>
      </c>
      <c r="F27" s="6" t="n">
        <v>13</v>
      </c>
      <c r="G27" s="6" t="n">
        <v>5</v>
      </c>
      <c r="H27" s="6" t="n">
        <f aca="false">G27-F27</f>
        <v>-8</v>
      </c>
    </row>
    <row r="28" customFormat="false" ht="15" hidden="false" customHeight="false" outlineLevel="0" collapsed="false">
      <c r="A28" s="5" t="s">
        <v>76</v>
      </c>
      <c r="B28" s="6" t="n">
        <v>0</v>
      </c>
      <c r="C28" s="6" t="n">
        <v>245</v>
      </c>
      <c r="D28" s="6" t="n">
        <f aca="false">C28-B28</f>
        <v>245</v>
      </c>
      <c r="E28" s="7" t="str">
        <f aca="false">IF(B28=0,IF(C28=0,0,"new"),C28/B28-1)</f>
        <v>new</v>
      </c>
      <c r="F28" s="6" t="n">
        <v>0</v>
      </c>
      <c r="G28" s="6" t="n">
        <v>1</v>
      </c>
      <c r="H28" s="6" t="n">
        <f aca="false">G28-F28</f>
        <v>1</v>
      </c>
    </row>
    <row r="29" customFormat="false" ht="15" hidden="false" customHeight="false" outlineLevel="0" collapsed="false">
      <c r="A29" s="5" t="s">
        <v>54</v>
      </c>
      <c r="B29" s="6" t="n">
        <v>140323</v>
      </c>
      <c r="C29" s="6" t="n">
        <v>0</v>
      </c>
      <c r="D29" s="6" t="n">
        <f aca="false">C29-B29</f>
        <v>-140323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59</v>
      </c>
      <c r="B30" s="6" t="n">
        <v>67129</v>
      </c>
      <c r="C30" s="6" t="n">
        <v>0</v>
      </c>
      <c r="D30" s="6" t="n">
        <f aca="false">C30-B30</f>
        <v>-67129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5" t="s">
        <v>39</v>
      </c>
      <c r="B31" s="6" t="n">
        <v>58648</v>
      </c>
      <c r="C31" s="6" t="n">
        <v>0</v>
      </c>
      <c r="D31" s="6" t="n">
        <f aca="false">C31-B31</f>
        <v>-58648</v>
      </c>
      <c r="E31" s="7" t="n">
        <f aca="false">IF(B31=0,IF(C31=0,0,"new"),C31/B31-1)</f>
        <v>-1</v>
      </c>
      <c r="F31" s="6" t="n">
        <v>1</v>
      </c>
      <c r="G31" s="6" t="n">
        <v>0</v>
      </c>
      <c r="H31" s="6" t="n">
        <f aca="false">G31-F31</f>
        <v>-1</v>
      </c>
    </row>
    <row r="32" customFormat="false" ht="15" hidden="false" customHeight="false" outlineLevel="0" collapsed="false">
      <c r="A32" s="5" t="s">
        <v>56</v>
      </c>
      <c r="B32" s="6" t="n">
        <v>52418</v>
      </c>
      <c r="C32" s="6" t="n">
        <v>0</v>
      </c>
      <c r="D32" s="6" t="n">
        <f aca="false">C32-B32</f>
        <v>-52418</v>
      </c>
      <c r="E32" s="7" t="n">
        <f aca="false">IF(B32=0,IF(C32=0,0,"new"),C32/B32-1)</f>
        <v>-1</v>
      </c>
      <c r="F32" s="6" t="n">
        <v>1</v>
      </c>
      <c r="G32" s="6" t="n">
        <v>0</v>
      </c>
      <c r="H32" s="6" t="n">
        <f aca="false">G32-F32</f>
        <v>-1</v>
      </c>
    </row>
    <row r="33" customFormat="false" ht="15" hidden="false" customHeight="false" outlineLevel="0" collapsed="false">
      <c r="A33" s="5" t="s">
        <v>45</v>
      </c>
      <c r="B33" s="6" t="n">
        <v>50899</v>
      </c>
      <c r="C33" s="6" t="n">
        <v>0</v>
      </c>
      <c r="D33" s="6" t="n">
        <f aca="false">C33-B33</f>
        <v>-50899</v>
      </c>
      <c r="E33" s="7" t="n">
        <f aca="false">IF(B33=0,IF(C33=0,0,"new"),C33/B33-1)</f>
        <v>-1</v>
      </c>
      <c r="F33" s="6" t="n">
        <v>1</v>
      </c>
      <c r="G33" s="6" t="n">
        <v>0</v>
      </c>
      <c r="H33" s="6" t="n">
        <f aca="false">G33-F33</f>
        <v>-1</v>
      </c>
    </row>
    <row r="34" customFormat="false" ht="15" hidden="false" customHeight="false" outlineLevel="0" collapsed="false">
      <c r="A34" s="5" t="s">
        <v>60</v>
      </c>
      <c r="B34" s="6" t="n">
        <v>29189</v>
      </c>
      <c r="C34" s="6" t="n">
        <v>0</v>
      </c>
      <c r="D34" s="6" t="n">
        <f aca="false">C34-B34</f>
        <v>-29189</v>
      </c>
      <c r="E34" s="7" t="n">
        <f aca="false">IF(B34=0,IF(C34=0,0,"new"),C34/B34-1)</f>
        <v>-1</v>
      </c>
      <c r="F34" s="6" t="n">
        <v>1</v>
      </c>
      <c r="G34" s="6" t="n">
        <v>0</v>
      </c>
      <c r="H34" s="6" t="n">
        <f aca="false">G34-F34</f>
        <v>-1</v>
      </c>
    </row>
    <row r="35" customFormat="false" ht="15" hidden="false" customHeight="false" outlineLevel="0" collapsed="false">
      <c r="A35" s="5" t="s">
        <v>67</v>
      </c>
      <c r="B35" s="6" t="n">
        <v>7205</v>
      </c>
      <c r="C35" s="6" t="n">
        <v>0</v>
      </c>
      <c r="D35" s="6" t="n">
        <f aca="false">C35-B35</f>
        <v>-7205</v>
      </c>
      <c r="E35" s="7" t="n">
        <f aca="false">IF(B35=0,IF(C35=0,0,"new"),C35/B35-1)</f>
        <v>-1</v>
      </c>
      <c r="F35" s="6" t="n">
        <v>1</v>
      </c>
      <c r="G35" s="6" t="n">
        <v>0</v>
      </c>
      <c r="H35" s="6" t="n">
        <f aca="false">G35-F35</f>
        <v>-1</v>
      </c>
    </row>
    <row r="36" customFormat="false" ht="15" hidden="false" customHeight="false" outlineLevel="0" collapsed="false">
      <c r="A36" s="5" t="s">
        <v>68</v>
      </c>
      <c r="B36" s="6" t="n">
        <v>1347</v>
      </c>
      <c r="C36" s="6" t="n">
        <v>0</v>
      </c>
      <c r="D36" s="6" t="n">
        <f aca="false">C36-B36</f>
        <v>-1347</v>
      </c>
      <c r="E36" s="7" t="n">
        <f aca="false">IF(B36=0,IF(C36=0,0,"new"),C36/B36-1)</f>
        <v>-1</v>
      </c>
      <c r="F36" s="6" t="n">
        <v>4</v>
      </c>
      <c r="G36" s="6" t="n">
        <v>0</v>
      </c>
      <c r="H36" s="6" t="n">
        <f aca="false">G36-F36</f>
        <v>-4</v>
      </c>
    </row>
    <row r="37" customFormat="false" ht="15" hidden="false" customHeight="false" outlineLevel="0" collapsed="false">
      <c r="A37" s="5" t="s">
        <v>77</v>
      </c>
      <c r="B37" s="6" t="n">
        <v>1000</v>
      </c>
      <c r="C37" s="6" t="n">
        <v>0</v>
      </c>
      <c r="D37" s="6" t="n">
        <f aca="false">C37-B37</f>
        <v>-1000</v>
      </c>
      <c r="E37" s="7" t="n">
        <f aca="false">IF(B37=0,IF(C37=0,0,"new"),C37/B37-1)</f>
        <v>-1</v>
      </c>
      <c r="F37" s="6" t="n">
        <v>1</v>
      </c>
      <c r="G37" s="6" t="n">
        <v>0</v>
      </c>
      <c r="H37" s="6" t="n">
        <f aca="false">G37-F37</f>
        <v>-1</v>
      </c>
    </row>
    <row r="38" customFormat="false" ht="15" hidden="false" customHeight="false" outlineLevel="0" collapsed="false">
      <c r="A38" s="9" t="s">
        <v>84</v>
      </c>
      <c r="B38" s="10" t="n">
        <f aca="false">SUM(B6:B37)</f>
        <v>2466553</v>
      </c>
      <c r="C38" s="10" t="n">
        <f aca="false">SUM(C6:C37)</f>
        <v>3071514</v>
      </c>
      <c r="D38" s="10" t="n">
        <f aca="false">C38-B38</f>
        <v>604961</v>
      </c>
      <c r="E38" s="11" t="n">
        <f aca="false">IF(B38=0,IF(C38=0,0,"new"),C38/B38-1)</f>
        <v>0.245265761570905</v>
      </c>
      <c r="F38" s="10" t="n">
        <f aca="false">SUM(F6:F37)</f>
        <v>892</v>
      </c>
      <c r="G38" s="10" t="n">
        <f aca="false">SUM(G6:G37)</f>
        <v>721</v>
      </c>
      <c r="H38" s="10" t="n">
        <f aca="false">G38-F38</f>
        <v>-171</v>
      </c>
    </row>
    <row r="39" customFormat="false" ht="15" hidden="false" customHeight="false" outlineLevel="0" collapsed="false">
      <c r="A39" s="4" t="s">
        <v>14</v>
      </c>
      <c r="B39" s="16" t="n">
        <f aca="false">SUMIF($A$6:$A$37,"CHINA",B6:B37)</f>
        <v>0</v>
      </c>
      <c r="C39" s="16" t="n">
        <f aca="false">SUMIF($A$6:$A$37,"CHINA",C6:C37)</f>
        <v>1581810</v>
      </c>
      <c r="D39" s="16" t="n">
        <f aca="false">C39-B39</f>
        <v>1581810</v>
      </c>
      <c r="E39" s="17" t="str">
        <f aca="false">IF(B39=0,IF(C39=0,0,"new"),C39/B39-1)</f>
        <v>new</v>
      </c>
      <c r="F39" s="16" t="n">
        <f aca="false">SUMIF($A$6:$A$37,"CHINA",F6:F37)</f>
        <v>0</v>
      </c>
      <c r="G39" s="16" t="n">
        <f aca="false">SUMIF($A$6:$A$37,"CHINA",G6:G37)</f>
        <v>24</v>
      </c>
      <c r="H39" s="16" t="n">
        <f aca="false">G39-F39</f>
        <v>24</v>
      </c>
    </row>
    <row r="40" customFormat="false" ht="15" hidden="false" customHeight="false" outlineLevel="0" collapsed="false">
      <c r="A40" s="4" t="s">
        <v>15</v>
      </c>
      <c r="B40" s="16" t="n">
        <f aca="false">B38-B39</f>
        <v>2466553</v>
      </c>
      <c r="C40" s="16" t="n">
        <f aca="false">C38-C39</f>
        <v>1489704</v>
      </c>
      <c r="D40" s="16" t="n">
        <f aca="false">C40-B40</f>
        <v>-976849</v>
      </c>
      <c r="E40" s="17" t="n">
        <f aca="false">IF(B40=0,IF(C40=0,0,"new"),C40/B40-1)</f>
        <v>-0.396038114729341</v>
      </c>
      <c r="F40" s="16" t="n">
        <f aca="false">F38-F39</f>
        <v>892</v>
      </c>
      <c r="G40" s="16" t="n">
        <f aca="false">G38-G39</f>
        <v>697</v>
      </c>
      <c r="H40" s="16" t="n">
        <f aca="false">G40-F40</f>
        <v>-195</v>
      </c>
    </row>
  </sheetData>
  <mergeCells count="3">
    <mergeCell ref="A4:A5"/>
    <mergeCell ref="B4:E4"/>
    <mergeCell ref="F4:H4"/>
  </mergeCells>
  <conditionalFormatting sqref="D6:E40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40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9" t="s">
        <v>27</v>
      </c>
      <c r="B4" s="19" t="s">
        <v>89</v>
      </c>
      <c r="C4" s="19"/>
      <c r="D4" s="19"/>
      <c r="E4" s="19"/>
      <c r="F4" s="19" t="s">
        <v>90</v>
      </c>
      <c r="G4" s="19"/>
      <c r="H4" s="19"/>
    </row>
    <row r="5" customFormat="false" ht="15" hidden="false" customHeight="false" outlineLevel="0" collapsed="false">
      <c r="A5" s="19"/>
      <c r="B5" s="20" t="s">
        <v>35</v>
      </c>
      <c r="C5" s="20" t="s">
        <v>36</v>
      </c>
      <c r="D5" s="20" t="s">
        <v>6</v>
      </c>
      <c r="E5" s="20" t="s">
        <v>7</v>
      </c>
      <c r="F5" s="20" t="s">
        <v>35</v>
      </c>
      <c r="G5" s="20" t="s">
        <v>36</v>
      </c>
      <c r="H5" s="20" t="s">
        <v>91</v>
      </c>
    </row>
    <row r="6" customFormat="false" ht="15" hidden="false" customHeight="false" outlineLevel="0" collapsed="false">
      <c r="A6" s="5" t="s">
        <v>38</v>
      </c>
      <c r="B6" s="6" t="n">
        <v>0</v>
      </c>
      <c r="C6" s="6" t="n">
        <v>756492</v>
      </c>
      <c r="D6" s="6" t="n">
        <f aca="false">C6-B6</f>
        <v>756492</v>
      </c>
      <c r="E6" s="7" t="str">
        <f aca="false">IF(B6=0,IF(C6=0,0,"new"),C6/B6-1)</f>
        <v>new</v>
      </c>
      <c r="F6" s="6" t="n">
        <v>0</v>
      </c>
      <c r="G6" s="6" t="n">
        <v>12</v>
      </c>
      <c r="H6" s="6" t="n">
        <f aca="false">G6-F6</f>
        <v>12</v>
      </c>
    </row>
    <row r="7" customFormat="false" ht="15" hidden="false" customHeight="false" outlineLevel="0" collapsed="false">
      <c r="A7" s="5" t="s">
        <v>83</v>
      </c>
      <c r="B7" s="6" t="n">
        <v>0</v>
      </c>
      <c r="C7" s="6" t="n">
        <v>126680</v>
      </c>
      <c r="D7" s="6" t="n">
        <f aca="false">C7-B7</f>
        <v>126680</v>
      </c>
      <c r="E7" s="7" t="str">
        <f aca="false">IF(B7=0,IF(C7=0,0,"new"),C7/B7-1)</f>
        <v>new</v>
      </c>
      <c r="F7" s="6" t="n">
        <v>0</v>
      </c>
      <c r="G7" s="6" t="n">
        <v>3</v>
      </c>
      <c r="H7" s="6" t="n">
        <f aca="false">G7-F7</f>
        <v>3</v>
      </c>
    </row>
    <row r="8" customFormat="false" ht="15" hidden="false" customHeight="false" outlineLevel="0" collapsed="false">
      <c r="A8" s="5" t="s">
        <v>47</v>
      </c>
      <c r="B8" s="6" t="n">
        <v>0</v>
      </c>
      <c r="C8" s="6" t="n">
        <v>59219</v>
      </c>
      <c r="D8" s="6" t="n">
        <f aca="false">C8-B8</f>
        <v>59219</v>
      </c>
      <c r="E8" s="7" t="str">
        <f aca="false">IF(B8=0,IF(C8=0,0,"new"),C8/B8-1)</f>
        <v>new</v>
      </c>
      <c r="F8" s="6" t="n">
        <v>0</v>
      </c>
      <c r="G8" s="6" t="n">
        <v>1</v>
      </c>
      <c r="H8" s="6" t="n">
        <f aca="false">G8-F8</f>
        <v>1</v>
      </c>
    </row>
    <row r="9" customFormat="false" ht="15" hidden="false" customHeight="false" outlineLevel="0" collapsed="false">
      <c r="A9" s="5" t="s">
        <v>51</v>
      </c>
      <c r="B9" s="6" t="n">
        <v>0</v>
      </c>
      <c r="C9" s="6" t="n">
        <v>58993</v>
      </c>
      <c r="D9" s="6" t="n">
        <f aca="false">C9-B9</f>
        <v>58993</v>
      </c>
      <c r="E9" s="7" t="str">
        <f aca="false">IF(B9=0,IF(C9=0,0,"new"),C9/B9-1)</f>
        <v>new</v>
      </c>
      <c r="F9" s="6" t="n">
        <v>0</v>
      </c>
      <c r="G9" s="6" t="n">
        <v>1</v>
      </c>
      <c r="H9" s="6" t="n">
        <f aca="false">G9-F9</f>
        <v>1</v>
      </c>
    </row>
    <row r="10" customFormat="false" ht="15" hidden="false" customHeight="false" outlineLevel="0" collapsed="false">
      <c r="A10" s="5" t="s">
        <v>54</v>
      </c>
      <c r="B10" s="6" t="n">
        <v>69297</v>
      </c>
      <c r="C10" s="6" t="n">
        <v>57366</v>
      </c>
      <c r="D10" s="6" t="n">
        <f aca="false">C10-B10</f>
        <v>-11931</v>
      </c>
      <c r="E10" s="7" t="n">
        <f aca="false">IF(B10=0,IF(C10=0,0,"new"),C10/B10-1)</f>
        <v>-0.172171955495909</v>
      </c>
      <c r="F10" s="6" t="n">
        <v>1</v>
      </c>
      <c r="G10" s="6" t="n">
        <v>1</v>
      </c>
      <c r="H10" s="6" t="n">
        <f aca="false">G10-F10</f>
        <v>0</v>
      </c>
    </row>
    <row r="11" customFormat="false" ht="15" hidden="false" customHeight="false" outlineLevel="0" collapsed="false">
      <c r="A11" s="5" t="s">
        <v>72</v>
      </c>
      <c r="B11" s="6" t="n">
        <v>0</v>
      </c>
      <c r="C11" s="6" t="n">
        <v>35887</v>
      </c>
      <c r="D11" s="6" t="n">
        <f aca="false">C11-B11</f>
        <v>35887</v>
      </c>
      <c r="E11" s="7" t="str">
        <f aca="false">IF(B11=0,IF(C11=0,0,"new"),C11/B11-1)</f>
        <v>new</v>
      </c>
      <c r="F11" s="6" t="n">
        <v>0</v>
      </c>
      <c r="G11" s="6" t="n">
        <v>1</v>
      </c>
      <c r="H11" s="6" t="n">
        <f aca="false">G11-F11</f>
        <v>1</v>
      </c>
    </row>
    <row r="12" customFormat="false" ht="15" hidden="false" customHeight="false" outlineLevel="0" collapsed="false">
      <c r="A12" s="5" t="s">
        <v>41</v>
      </c>
      <c r="B12" s="6" t="n">
        <v>217595</v>
      </c>
      <c r="C12" s="6" t="n">
        <v>32033</v>
      </c>
      <c r="D12" s="6" t="n">
        <f aca="false">C12-B12</f>
        <v>-185562</v>
      </c>
      <c r="E12" s="7" t="n">
        <f aca="false">IF(B12=0,IF(C12=0,0,"new"),C12/B12-1)</f>
        <v>-0.852786139387394</v>
      </c>
      <c r="F12" s="6" t="n">
        <v>15</v>
      </c>
      <c r="G12" s="6" t="n">
        <v>6</v>
      </c>
      <c r="H12" s="6" t="n">
        <f aca="false">G12-F12</f>
        <v>-9</v>
      </c>
    </row>
    <row r="13" customFormat="false" ht="15" hidden="false" customHeight="false" outlineLevel="0" collapsed="false">
      <c r="A13" s="5" t="s">
        <v>80</v>
      </c>
      <c r="B13" s="6" t="n">
        <v>10429</v>
      </c>
      <c r="C13" s="6" t="n">
        <v>21886</v>
      </c>
      <c r="D13" s="6" t="n">
        <f aca="false">C13-B13</f>
        <v>11457</v>
      </c>
      <c r="E13" s="7" t="n">
        <f aca="false">IF(B13=0,IF(C13=0,0,"new"),C13/B13-1)</f>
        <v>1.09857129159076</v>
      </c>
      <c r="F13" s="6" t="n">
        <v>6</v>
      </c>
      <c r="G13" s="6" t="n">
        <v>4</v>
      </c>
      <c r="H13" s="6" t="n">
        <f aca="false">G13-F13</f>
        <v>-2</v>
      </c>
    </row>
    <row r="14" customFormat="false" ht="15" hidden="false" customHeight="false" outlineLevel="0" collapsed="false">
      <c r="A14" s="5" t="s">
        <v>82</v>
      </c>
      <c r="B14" s="6" t="n">
        <v>12194</v>
      </c>
      <c r="C14" s="6" t="n">
        <v>11555</v>
      </c>
      <c r="D14" s="6" t="n">
        <f aca="false">C14-B14</f>
        <v>-639</v>
      </c>
      <c r="E14" s="7" t="n">
        <f aca="false">IF(B14=0,IF(C14=0,0,"new"),C14/B14-1)</f>
        <v>-0.0524028210595375</v>
      </c>
      <c r="F14" s="6" t="n">
        <v>39</v>
      </c>
      <c r="G14" s="6" t="n">
        <v>45</v>
      </c>
      <c r="H14" s="6" t="n">
        <f aca="false">G14-F14</f>
        <v>6</v>
      </c>
    </row>
    <row r="15" customFormat="false" ht="15" hidden="false" customHeight="false" outlineLevel="0" collapsed="false">
      <c r="A15" s="5" t="s">
        <v>66</v>
      </c>
      <c r="B15" s="6" t="n">
        <v>6285</v>
      </c>
      <c r="C15" s="6" t="n">
        <v>10628</v>
      </c>
      <c r="D15" s="6" t="n">
        <f aca="false">C15-B15</f>
        <v>4343</v>
      </c>
      <c r="E15" s="7" t="n">
        <f aca="false">IF(B15=0,IF(C15=0,0,"new"),C15/B15-1)</f>
        <v>0.691010342084328</v>
      </c>
      <c r="F15" s="6" t="n">
        <v>1</v>
      </c>
      <c r="G15" s="6" t="n">
        <v>1</v>
      </c>
      <c r="H15" s="6" t="n">
        <f aca="false">G15-F15</f>
        <v>0</v>
      </c>
    </row>
    <row r="16" customFormat="false" ht="15" hidden="false" customHeight="false" outlineLevel="0" collapsed="false">
      <c r="A16" s="5" t="s">
        <v>52</v>
      </c>
      <c r="B16" s="6" t="n">
        <v>44171</v>
      </c>
      <c r="C16" s="6" t="n">
        <v>9034</v>
      </c>
      <c r="D16" s="6" t="n">
        <f aca="false">C16-B16</f>
        <v>-35137</v>
      </c>
      <c r="E16" s="7" t="n">
        <f aca="false">IF(B16=0,IF(C16=0,0,"new"),C16/B16-1)</f>
        <v>-0.795476670213489</v>
      </c>
      <c r="F16" s="6" t="n">
        <v>128</v>
      </c>
      <c r="G16" s="6" t="n">
        <v>28</v>
      </c>
      <c r="H16" s="6" t="n">
        <f aca="false">G16-F16</f>
        <v>-100</v>
      </c>
    </row>
    <row r="17" customFormat="false" ht="15" hidden="false" customHeight="false" outlineLevel="0" collapsed="false">
      <c r="A17" s="5" t="s">
        <v>65</v>
      </c>
      <c r="B17" s="6" t="n">
        <v>12285</v>
      </c>
      <c r="C17" s="6" t="n">
        <v>7196</v>
      </c>
      <c r="D17" s="6" t="n">
        <f aca="false">C17-B17</f>
        <v>-5089</v>
      </c>
      <c r="E17" s="7" t="n">
        <f aca="false">IF(B17=0,IF(C17=0,0,"new"),C17/B17-1)</f>
        <v>-0.414245014245014</v>
      </c>
      <c r="F17" s="6" t="n">
        <v>1</v>
      </c>
      <c r="G17" s="6" t="n">
        <v>1</v>
      </c>
      <c r="H17" s="6" t="n">
        <f aca="false">G17-F17</f>
        <v>0</v>
      </c>
    </row>
    <row r="18" customFormat="false" ht="15" hidden="false" customHeight="false" outlineLevel="0" collapsed="false">
      <c r="A18" s="5" t="s">
        <v>48</v>
      </c>
      <c r="B18" s="6" t="n">
        <v>28900</v>
      </c>
      <c r="C18" s="6" t="n">
        <v>5777</v>
      </c>
      <c r="D18" s="6" t="n">
        <f aca="false">C18-B18</f>
        <v>-23123</v>
      </c>
      <c r="E18" s="7" t="n">
        <f aca="false">IF(B18=0,IF(C18=0,0,"new"),C18/B18-1)</f>
        <v>-0.800103806228374</v>
      </c>
      <c r="F18" s="6" t="n">
        <v>75</v>
      </c>
      <c r="G18" s="6" t="n">
        <v>17</v>
      </c>
      <c r="H18" s="6" t="n">
        <f aca="false">G18-F18</f>
        <v>-58</v>
      </c>
    </row>
    <row r="19" customFormat="false" ht="15" hidden="false" customHeight="false" outlineLevel="0" collapsed="false">
      <c r="A19" s="5" t="s">
        <v>64</v>
      </c>
      <c r="B19" s="6" t="n">
        <v>6244</v>
      </c>
      <c r="C19" s="6" t="n">
        <v>3967</v>
      </c>
      <c r="D19" s="6" t="n">
        <f aca="false">C19-B19</f>
        <v>-2277</v>
      </c>
      <c r="E19" s="7" t="n">
        <f aca="false">IF(B19=0,IF(C19=0,0,"new"),C19/B19-1)</f>
        <v>-0.364670083279949</v>
      </c>
      <c r="F19" s="6" t="n">
        <v>15</v>
      </c>
      <c r="G19" s="6" t="n">
        <v>11</v>
      </c>
      <c r="H19" s="6" t="n">
        <f aca="false">G19-F19</f>
        <v>-4</v>
      </c>
    </row>
    <row r="20" customFormat="false" ht="15" hidden="false" customHeight="false" outlineLevel="0" collapsed="false">
      <c r="A20" s="5" t="s">
        <v>69</v>
      </c>
      <c r="B20" s="6" t="n">
        <v>171</v>
      </c>
      <c r="C20" s="6" t="n">
        <v>1150</v>
      </c>
      <c r="D20" s="6" t="n">
        <f aca="false">C20-B20</f>
        <v>979</v>
      </c>
      <c r="E20" s="7" t="n">
        <f aca="false">IF(B20=0,IF(C20=0,0,"new"),C20/B20-1)</f>
        <v>5.72514619883041</v>
      </c>
      <c r="F20" s="6" t="n">
        <v>2</v>
      </c>
      <c r="G20" s="6" t="n">
        <v>5</v>
      </c>
      <c r="H20" s="6" t="n">
        <f aca="false">G20-F20</f>
        <v>3</v>
      </c>
    </row>
    <row r="21" customFormat="false" ht="15" hidden="false" customHeight="false" outlineLevel="0" collapsed="false">
      <c r="A21" s="5" t="s">
        <v>57</v>
      </c>
      <c r="B21" s="6" t="n">
        <v>5142</v>
      </c>
      <c r="C21" s="6" t="n">
        <v>979</v>
      </c>
      <c r="D21" s="6" t="n">
        <f aca="false">C21-B21</f>
        <v>-4163</v>
      </c>
      <c r="E21" s="7" t="n">
        <f aca="false">IF(B21=0,IF(C21=0,0,"new"),C21/B21-1)</f>
        <v>-0.809607156748347</v>
      </c>
      <c r="F21" s="6" t="n">
        <v>16</v>
      </c>
      <c r="G21" s="6" t="n">
        <v>3</v>
      </c>
      <c r="H21" s="6" t="n">
        <f aca="false">G21-F21</f>
        <v>-13</v>
      </c>
    </row>
    <row r="22" customFormat="false" ht="15" hidden="false" customHeight="false" outlineLevel="0" collapsed="false">
      <c r="A22" s="5" t="s">
        <v>55</v>
      </c>
      <c r="B22" s="6" t="n">
        <v>538</v>
      </c>
      <c r="C22" s="6" t="n">
        <v>343</v>
      </c>
      <c r="D22" s="6" t="n">
        <f aca="false">C22-B22</f>
        <v>-195</v>
      </c>
      <c r="E22" s="7" t="n">
        <f aca="false">IF(B22=0,IF(C22=0,0,"new"),C22/B22-1)</f>
        <v>-0.362453531598513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71</v>
      </c>
      <c r="B23" s="6" t="n">
        <v>612</v>
      </c>
      <c r="C23" s="6" t="n">
        <v>245</v>
      </c>
      <c r="D23" s="6" t="n">
        <f aca="false">C23-B23</f>
        <v>-367</v>
      </c>
      <c r="E23" s="7" t="n">
        <f aca="false">IF(B23=0,IF(C23=0,0,"new"),C23/B23-1)</f>
        <v>-0.599673202614379</v>
      </c>
      <c r="F23" s="6" t="n">
        <v>3</v>
      </c>
      <c r="G23" s="6" t="n">
        <v>1</v>
      </c>
      <c r="H23" s="6" t="n">
        <f aca="false">G23-F23</f>
        <v>-2</v>
      </c>
    </row>
    <row r="24" customFormat="false" ht="15" hidden="false" customHeight="false" outlineLevel="0" collapsed="false">
      <c r="A24" s="5" t="s">
        <v>43</v>
      </c>
      <c r="B24" s="6" t="n">
        <v>181571</v>
      </c>
      <c r="C24" s="6" t="n">
        <v>0</v>
      </c>
      <c r="D24" s="6" t="n">
        <f aca="false">C24-B24</f>
        <v>-181571</v>
      </c>
      <c r="E24" s="7" t="n">
        <f aca="false">IF(B24=0,IF(C24=0,0,"new"),C24/B24-1)</f>
        <v>-1</v>
      </c>
      <c r="F24" s="6" t="n">
        <v>3</v>
      </c>
      <c r="G24" s="6" t="n">
        <v>0</v>
      </c>
      <c r="H24" s="6" t="n">
        <f aca="false">G24-F24</f>
        <v>-3</v>
      </c>
    </row>
    <row r="25" customFormat="false" ht="15" hidden="false" customHeight="false" outlineLevel="0" collapsed="false">
      <c r="A25" s="5" t="s">
        <v>39</v>
      </c>
      <c r="B25" s="6" t="n">
        <v>115038</v>
      </c>
      <c r="C25" s="6" t="n">
        <v>0</v>
      </c>
      <c r="D25" s="6" t="n">
        <f aca="false">C25-B25</f>
        <v>-115038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50</v>
      </c>
      <c r="B26" s="6" t="n">
        <v>45900</v>
      </c>
      <c r="C26" s="6" t="n">
        <v>0</v>
      </c>
      <c r="D26" s="6" t="n">
        <f aca="false">C26-B26</f>
        <v>-45900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81</v>
      </c>
      <c r="B27" s="6" t="n">
        <v>21871</v>
      </c>
      <c r="C27" s="6" t="n">
        <v>0</v>
      </c>
      <c r="D27" s="6" t="n">
        <f aca="false">C27-B27</f>
        <v>-21871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70</v>
      </c>
      <c r="B28" s="6" t="n">
        <v>4958</v>
      </c>
      <c r="C28" s="6" t="n">
        <v>0</v>
      </c>
      <c r="D28" s="6" t="n">
        <f aca="false">C28-B28</f>
        <v>-4958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73</v>
      </c>
      <c r="B29" s="6" t="n">
        <v>294</v>
      </c>
      <c r="C29" s="6" t="n">
        <v>0</v>
      </c>
      <c r="D29" s="6" t="n">
        <f aca="false">C29-B29</f>
        <v>-294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84</v>
      </c>
      <c r="B30" s="10" t="n">
        <f aca="false">SUM(B6:B29)</f>
        <v>783495</v>
      </c>
      <c r="C30" s="10" t="n">
        <f aca="false">SUM(C6:C29)</f>
        <v>1199430</v>
      </c>
      <c r="D30" s="10" t="n">
        <f aca="false">C30-B30</f>
        <v>415935</v>
      </c>
      <c r="E30" s="11" t="n">
        <f aca="false">IF(B30=0,IF(C30=0,0,"new"),C30/B30-1)</f>
        <v>0.530871288266039</v>
      </c>
      <c r="F30" s="10" t="n">
        <f aca="false">SUM(F6:F29)</f>
        <v>313</v>
      </c>
      <c r="G30" s="10" t="n">
        <f aca="false">SUM(G6:G29)</f>
        <v>142</v>
      </c>
      <c r="H30" s="10" t="n">
        <f aca="false">G30-F30</f>
        <v>-171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756492</v>
      </c>
      <c r="D31" s="16" t="n">
        <f aca="false">C31-B31</f>
        <v>756492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12</v>
      </c>
      <c r="H31" s="16" t="n">
        <f aca="false">G31-F31</f>
        <v>12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783495</v>
      </c>
      <c r="C32" s="16" t="n">
        <f aca="false">C30-C31</f>
        <v>442938</v>
      </c>
      <c r="D32" s="16" t="n">
        <f aca="false">C32-B32</f>
        <v>-340557</v>
      </c>
      <c r="E32" s="17" t="n">
        <f aca="false">IF(B32=0,IF(C32=0,0,"new"),C32/B32-1)</f>
        <v>-0.434663909788831</v>
      </c>
      <c r="F32" s="16" t="n">
        <f aca="false">F30-F31</f>
        <v>313</v>
      </c>
      <c r="G32" s="16" t="n">
        <f aca="false">G30-G31</f>
        <v>130</v>
      </c>
      <c r="H32" s="16" t="n">
        <f aca="false">G32-F32</f>
        <v>-183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9" t="s">
        <v>27</v>
      </c>
      <c r="B4" s="19" t="s">
        <v>89</v>
      </c>
      <c r="C4" s="19"/>
      <c r="D4" s="19"/>
      <c r="E4" s="19"/>
      <c r="F4" s="19" t="s">
        <v>90</v>
      </c>
      <c r="G4" s="19"/>
      <c r="H4" s="19"/>
    </row>
    <row r="5" customFormat="false" ht="15" hidden="false" customHeight="false" outlineLevel="0" collapsed="false">
      <c r="A5" s="19"/>
      <c r="B5" s="20" t="s">
        <v>35</v>
      </c>
      <c r="C5" s="20" t="s">
        <v>36</v>
      </c>
      <c r="D5" s="20" t="s">
        <v>6</v>
      </c>
      <c r="E5" s="20" t="s">
        <v>7</v>
      </c>
      <c r="F5" s="20" t="s">
        <v>35</v>
      </c>
      <c r="G5" s="20" t="s">
        <v>36</v>
      </c>
      <c r="H5" s="20" t="s">
        <v>91</v>
      </c>
    </row>
    <row r="6" customFormat="false" ht="15" hidden="false" customHeight="false" outlineLevel="0" collapsed="false">
      <c r="A6" s="5" t="s">
        <v>38</v>
      </c>
      <c r="B6" s="6" t="n">
        <v>0</v>
      </c>
      <c r="C6" s="6" t="n">
        <v>649252</v>
      </c>
      <c r="D6" s="6" t="n">
        <f aca="false">C6-B6</f>
        <v>649252</v>
      </c>
      <c r="E6" s="7" t="str">
        <f aca="false">IF(B6=0,IF(C6=0,0,"new"),C6/B6-1)</f>
        <v>new</v>
      </c>
      <c r="F6" s="6" t="n">
        <v>0</v>
      </c>
      <c r="G6" s="6" t="n">
        <v>10</v>
      </c>
      <c r="H6" s="6" t="n">
        <f aca="false">G6-F6</f>
        <v>10</v>
      </c>
    </row>
    <row r="7" customFormat="false" ht="15" hidden="false" customHeight="false" outlineLevel="0" collapsed="false">
      <c r="A7" s="5" t="s">
        <v>41</v>
      </c>
      <c r="B7" s="6" t="n">
        <v>195947</v>
      </c>
      <c r="C7" s="6" t="n">
        <v>99486</v>
      </c>
      <c r="D7" s="6" t="n">
        <f aca="false">C7-B7</f>
        <v>-96461</v>
      </c>
      <c r="E7" s="7" t="n">
        <f aca="false">IF(B7=0,IF(C7=0,0,"new"),C7/B7-1)</f>
        <v>-0.492281076005246</v>
      </c>
      <c r="F7" s="6" t="n">
        <v>44</v>
      </c>
      <c r="G7" s="6" t="n">
        <v>9</v>
      </c>
      <c r="H7" s="6" t="n">
        <f aca="false">G7-F7</f>
        <v>-35</v>
      </c>
    </row>
    <row r="8" customFormat="false" ht="15" hidden="false" customHeight="false" outlineLevel="0" collapsed="false">
      <c r="A8" s="5" t="s">
        <v>43</v>
      </c>
      <c r="B8" s="6" t="n">
        <v>0</v>
      </c>
      <c r="C8" s="6" t="n">
        <v>79022</v>
      </c>
      <c r="D8" s="6" t="n">
        <f aca="false">C8-B8</f>
        <v>79022</v>
      </c>
      <c r="E8" s="7" t="str">
        <f aca="false">IF(B8=0,IF(C8=0,0,"new"),C8/B8-1)</f>
        <v>new</v>
      </c>
      <c r="F8" s="6" t="n">
        <v>0</v>
      </c>
      <c r="G8" s="6" t="n">
        <v>2</v>
      </c>
      <c r="H8" s="6" t="n">
        <f aca="false">G8-F8</f>
        <v>2</v>
      </c>
    </row>
    <row r="9" customFormat="false" ht="15" hidden="false" customHeight="false" outlineLevel="0" collapsed="false">
      <c r="A9" s="5" t="s">
        <v>82</v>
      </c>
      <c r="B9" s="6" t="n">
        <v>19441</v>
      </c>
      <c r="C9" s="6" t="n">
        <v>75868</v>
      </c>
      <c r="D9" s="6" t="n">
        <f aca="false">C9-B9</f>
        <v>56427</v>
      </c>
      <c r="E9" s="7" t="n">
        <f aca="false">IF(B9=0,IF(C9=0,0,"new"),C9/B9-1)</f>
        <v>2.90247415256417</v>
      </c>
      <c r="F9" s="6" t="n">
        <v>62</v>
      </c>
      <c r="G9" s="6" t="n">
        <v>53</v>
      </c>
      <c r="H9" s="6" t="n">
        <f aca="false">G9-F9</f>
        <v>-9</v>
      </c>
    </row>
    <row r="10" customFormat="false" ht="15" hidden="false" customHeight="false" outlineLevel="0" collapsed="false">
      <c r="A10" s="5" t="s">
        <v>80</v>
      </c>
      <c r="B10" s="6" t="n">
        <v>19882</v>
      </c>
      <c r="C10" s="6" t="n">
        <v>58266</v>
      </c>
      <c r="D10" s="6" t="n">
        <f aca="false">C10-B10</f>
        <v>38384</v>
      </c>
      <c r="E10" s="7" t="n">
        <f aca="false">IF(B10=0,IF(C10=0,0,"new"),C10/B10-1)</f>
        <v>1.93059048385474</v>
      </c>
      <c r="F10" s="6" t="n">
        <v>4</v>
      </c>
      <c r="G10" s="6" t="n">
        <v>10</v>
      </c>
      <c r="H10" s="6" t="n">
        <f aca="false">G10-F10</f>
        <v>6</v>
      </c>
    </row>
    <row r="11" customFormat="false" ht="15" hidden="false" customHeight="false" outlineLevel="0" collapsed="false">
      <c r="A11" s="5" t="s">
        <v>51</v>
      </c>
      <c r="B11" s="6" t="n">
        <v>52471</v>
      </c>
      <c r="C11" s="6" t="n">
        <v>56965</v>
      </c>
      <c r="D11" s="6" t="n">
        <f aca="false">C11-B11</f>
        <v>4494</v>
      </c>
      <c r="E11" s="7" t="n">
        <f aca="false">IF(B11=0,IF(C11=0,0,"new"),C11/B11-1)</f>
        <v>0.0856473099426349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83</v>
      </c>
      <c r="B12" s="6" t="n">
        <v>44999</v>
      </c>
      <c r="C12" s="6" t="n">
        <v>44003</v>
      </c>
      <c r="D12" s="6" t="n">
        <f aca="false">C12-B12</f>
        <v>-996</v>
      </c>
      <c r="E12" s="7" t="n">
        <f aca="false">IF(B12=0,IF(C12=0,0,"new"),C12/B12-1)</f>
        <v>-0.0221338251961155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52</v>
      </c>
      <c r="B13" s="6" t="n">
        <v>44470</v>
      </c>
      <c r="C13" s="6" t="n">
        <v>21059</v>
      </c>
      <c r="D13" s="6" t="n">
        <f aca="false">C13-B13</f>
        <v>-23411</v>
      </c>
      <c r="E13" s="7" t="n">
        <f aca="false">IF(B13=0,IF(C13=0,0,"new"),C13/B13-1)</f>
        <v>-0.52644479424331</v>
      </c>
      <c r="F13" s="6" t="n">
        <v>131</v>
      </c>
      <c r="G13" s="6" t="n">
        <v>65</v>
      </c>
      <c r="H13" s="6" t="n">
        <f aca="false">G13-F13</f>
        <v>-66</v>
      </c>
    </row>
    <row r="14" customFormat="false" ht="15" hidden="false" customHeight="false" outlineLevel="0" collapsed="false">
      <c r="A14" s="5" t="s">
        <v>48</v>
      </c>
      <c r="B14" s="6" t="n">
        <v>44471</v>
      </c>
      <c r="C14" s="6" t="n">
        <v>11578</v>
      </c>
      <c r="D14" s="6" t="n">
        <f aca="false">C14-B14</f>
        <v>-32893</v>
      </c>
      <c r="E14" s="7" t="n">
        <f aca="false">IF(B14=0,IF(C14=0,0,"new"),C14/B14-1)</f>
        <v>-0.739650558791122</v>
      </c>
      <c r="F14" s="6" t="n">
        <v>124</v>
      </c>
      <c r="G14" s="6" t="n">
        <v>35</v>
      </c>
      <c r="H14" s="6" t="n">
        <f aca="false">G14-F14</f>
        <v>-89</v>
      </c>
    </row>
    <row r="15" customFormat="false" ht="15" hidden="false" customHeight="false" outlineLevel="0" collapsed="false">
      <c r="A15" s="5" t="s">
        <v>64</v>
      </c>
      <c r="B15" s="6" t="n">
        <v>5193</v>
      </c>
      <c r="C15" s="6" t="n">
        <v>9210</v>
      </c>
      <c r="D15" s="6" t="n">
        <f aca="false">C15-B15</f>
        <v>4017</v>
      </c>
      <c r="E15" s="7" t="n">
        <f aca="false">IF(B15=0,IF(C15=0,0,"new"),C15/B15-1)</f>
        <v>0.773541305603697</v>
      </c>
      <c r="F15" s="6" t="n">
        <v>12</v>
      </c>
      <c r="G15" s="6" t="n">
        <v>23</v>
      </c>
      <c r="H15" s="6" t="n">
        <f aca="false">G15-F15</f>
        <v>11</v>
      </c>
    </row>
    <row r="16" customFormat="false" ht="15" hidden="false" customHeight="false" outlineLevel="0" collapsed="false">
      <c r="A16" s="5" t="s">
        <v>57</v>
      </c>
      <c r="B16" s="6" t="n">
        <v>3967</v>
      </c>
      <c r="C16" s="6" t="n">
        <v>5634</v>
      </c>
      <c r="D16" s="6" t="n">
        <f aca="false">C16-B16</f>
        <v>1667</v>
      </c>
      <c r="E16" s="7" t="n">
        <f aca="false">IF(B16=0,IF(C16=0,0,"new"),C16/B16-1)</f>
        <v>0.420216788505168</v>
      </c>
      <c r="F16" s="6" t="n">
        <v>11</v>
      </c>
      <c r="G16" s="6" t="n">
        <v>14</v>
      </c>
      <c r="H16" s="6" t="n">
        <f aca="false">G16-F16</f>
        <v>3</v>
      </c>
    </row>
    <row r="17" customFormat="false" ht="15" hidden="false" customHeight="false" outlineLevel="0" collapsed="false">
      <c r="A17" s="5" t="s">
        <v>69</v>
      </c>
      <c r="B17" s="6" t="n">
        <v>1445</v>
      </c>
      <c r="C17" s="6" t="n">
        <v>1811</v>
      </c>
      <c r="D17" s="6" t="n">
        <f aca="false">C17-B17</f>
        <v>366</v>
      </c>
      <c r="E17" s="7" t="n">
        <f aca="false">IF(B17=0,IF(C17=0,0,"new"),C17/B17-1)</f>
        <v>0.253287197231834</v>
      </c>
      <c r="F17" s="6" t="n">
        <v>6</v>
      </c>
      <c r="G17" s="6" t="n">
        <v>6</v>
      </c>
      <c r="H17" s="6" t="n">
        <f aca="false">G17-F17</f>
        <v>0</v>
      </c>
    </row>
    <row r="18" customFormat="false" ht="15" hidden="false" customHeight="false" outlineLevel="0" collapsed="false">
      <c r="A18" s="5" t="s">
        <v>55</v>
      </c>
      <c r="B18" s="6" t="n">
        <v>59567</v>
      </c>
      <c r="C18" s="6" t="n">
        <v>220</v>
      </c>
      <c r="D18" s="6" t="n">
        <f aca="false">C18-B18</f>
        <v>-59347</v>
      </c>
      <c r="E18" s="7" t="n">
        <f aca="false">IF(B18=0,IF(C18=0,0,"new"),C18/B18-1)</f>
        <v>-0.996306679873084</v>
      </c>
      <c r="F18" s="6" t="n">
        <v>2</v>
      </c>
      <c r="G18" s="6" t="n">
        <v>2</v>
      </c>
      <c r="H18" s="6" t="n">
        <f aca="false">G18-F18</f>
        <v>0</v>
      </c>
    </row>
    <row r="19" customFormat="false" ht="15" hidden="false" customHeight="false" outlineLevel="0" collapsed="false">
      <c r="A19" s="5" t="s">
        <v>67</v>
      </c>
      <c r="B19" s="6" t="n">
        <v>0</v>
      </c>
      <c r="C19" s="6" t="n">
        <v>171</v>
      </c>
      <c r="D19" s="6" t="n">
        <f aca="false">C19-B19</f>
        <v>171</v>
      </c>
      <c r="E19" s="7" t="str">
        <f aca="false">IF(B19=0,IF(C19=0,0,"new"),C19/B19-1)</f>
        <v>new</v>
      </c>
      <c r="F19" s="6" t="n">
        <v>0</v>
      </c>
      <c r="G19" s="6" t="n">
        <v>1</v>
      </c>
      <c r="H19" s="6" t="n">
        <f aca="false">G19-F19</f>
        <v>1</v>
      </c>
    </row>
    <row r="20" customFormat="false" ht="15" hidden="false" customHeight="false" outlineLevel="0" collapsed="false">
      <c r="A20" s="5" t="s">
        <v>74</v>
      </c>
      <c r="B20" s="6" t="n">
        <v>0</v>
      </c>
      <c r="C20" s="6" t="n">
        <v>49</v>
      </c>
      <c r="D20" s="6" t="n">
        <f aca="false">C20-B20</f>
        <v>49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45</v>
      </c>
      <c r="B21" s="6" t="n">
        <v>182090</v>
      </c>
      <c r="C21" s="6" t="n">
        <v>0</v>
      </c>
      <c r="D21" s="6" t="n">
        <f aca="false">C21-B21</f>
        <v>-182090</v>
      </c>
      <c r="E21" s="7" t="n">
        <f aca="false">IF(B21=0,IF(C21=0,0,"new"),C21/B21-1)</f>
        <v>-1</v>
      </c>
      <c r="F21" s="6" t="n">
        <v>3</v>
      </c>
      <c r="G21" s="6" t="n">
        <v>0</v>
      </c>
      <c r="H21" s="6" t="n">
        <f aca="false">G21-F21</f>
        <v>-3</v>
      </c>
    </row>
    <row r="22" customFormat="false" ht="15" hidden="false" customHeight="false" outlineLevel="0" collapsed="false">
      <c r="A22" s="5" t="s">
        <v>47</v>
      </c>
      <c r="B22" s="6" t="n">
        <v>117598</v>
      </c>
      <c r="C22" s="6" t="n">
        <v>0</v>
      </c>
      <c r="D22" s="6" t="n">
        <f aca="false">C22-B22</f>
        <v>-117598</v>
      </c>
      <c r="E22" s="7" t="n">
        <f aca="false">IF(B22=0,IF(C22=0,0,"new"),C22/B22-1)</f>
        <v>-1</v>
      </c>
      <c r="F22" s="6" t="n">
        <v>2</v>
      </c>
      <c r="G22" s="6" t="n">
        <v>0</v>
      </c>
      <c r="H22" s="6" t="n">
        <f aca="false">G22-F22</f>
        <v>-2</v>
      </c>
    </row>
    <row r="23" customFormat="false" ht="15" hidden="false" customHeight="false" outlineLevel="0" collapsed="false">
      <c r="A23" s="5" t="s">
        <v>50</v>
      </c>
      <c r="B23" s="6" t="n">
        <v>72599</v>
      </c>
      <c r="C23" s="6" t="n">
        <v>0</v>
      </c>
      <c r="D23" s="6" t="n">
        <f aca="false">C23-B23</f>
        <v>-72599</v>
      </c>
      <c r="E23" s="7" t="n">
        <f aca="false">IF(B23=0,IF(C23=0,0,"new"),C23/B23-1)</f>
        <v>-1</v>
      </c>
      <c r="F23" s="6" t="n">
        <v>1</v>
      </c>
      <c r="G23" s="6" t="n">
        <v>0</v>
      </c>
      <c r="H23" s="6" t="n">
        <f aca="false">G23-F23</f>
        <v>-1</v>
      </c>
    </row>
    <row r="24" customFormat="false" ht="15" hidden="false" customHeight="false" outlineLevel="0" collapsed="false">
      <c r="A24" s="5" t="s">
        <v>58</v>
      </c>
      <c r="B24" s="6" t="n">
        <v>59208</v>
      </c>
      <c r="C24" s="6" t="n">
        <v>0</v>
      </c>
      <c r="D24" s="6" t="n">
        <f aca="false">C24-B24</f>
        <v>-59208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39</v>
      </c>
      <c r="B25" s="6" t="n">
        <v>57840</v>
      </c>
      <c r="C25" s="6" t="n">
        <v>0</v>
      </c>
      <c r="D25" s="6" t="n">
        <f aca="false">C25-B25</f>
        <v>-57840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54</v>
      </c>
      <c r="B26" s="6" t="n">
        <v>21172</v>
      </c>
      <c r="C26" s="6" t="n">
        <v>0</v>
      </c>
      <c r="D26" s="6" t="n">
        <f aca="false">C26-B26</f>
        <v>-21172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65</v>
      </c>
      <c r="B27" s="6" t="n">
        <v>7274</v>
      </c>
      <c r="C27" s="6" t="n">
        <v>0</v>
      </c>
      <c r="D27" s="6" t="n">
        <f aca="false">C27-B27</f>
        <v>-7274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66</v>
      </c>
      <c r="B28" s="6" t="n">
        <v>6999</v>
      </c>
      <c r="C28" s="6" t="n">
        <v>0</v>
      </c>
      <c r="D28" s="6" t="n">
        <f aca="false">C28-B28</f>
        <v>-6999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68</v>
      </c>
      <c r="B29" s="6" t="n">
        <v>490</v>
      </c>
      <c r="C29" s="6" t="n">
        <v>0</v>
      </c>
      <c r="D29" s="6" t="n">
        <f aca="false">C29-B29</f>
        <v>-490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5" t="s">
        <v>71</v>
      </c>
      <c r="B30" s="6" t="n">
        <v>73</v>
      </c>
      <c r="C30" s="6" t="n">
        <v>0</v>
      </c>
      <c r="D30" s="6" t="n">
        <f aca="false">C30-B30</f>
        <v>-73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84</v>
      </c>
      <c r="B31" s="10" t="n">
        <f aca="false">SUM(B6:B30)</f>
        <v>1017196</v>
      </c>
      <c r="C31" s="10" t="n">
        <f aca="false">SUM(C6:C30)</f>
        <v>1112594</v>
      </c>
      <c r="D31" s="10" t="n">
        <f aca="false">C31-B31</f>
        <v>95398</v>
      </c>
      <c r="E31" s="11" t="n">
        <f aca="false">IF(B31=0,IF(C31=0,0,"new"),C31/B31-1)</f>
        <v>0.0937852685224874</v>
      </c>
      <c r="F31" s="10" t="n">
        <f aca="false">SUM(F6:F30)</f>
        <v>411</v>
      </c>
      <c r="G31" s="10" t="n">
        <f aca="false">SUM(G6:G30)</f>
        <v>233</v>
      </c>
      <c r="H31" s="10" t="n">
        <f aca="false">G31-F31</f>
        <v>-178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649252</v>
      </c>
      <c r="D32" s="16" t="n">
        <f aca="false">C32-B32</f>
        <v>649252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10</v>
      </c>
      <c r="H32" s="16" t="n">
        <f aca="false">G32-F32</f>
        <v>10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1017196</v>
      </c>
      <c r="C33" s="16" t="n">
        <f aca="false">C31-C32</f>
        <v>463342</v>
      </c>
      <c r="D33" s="16" t="n">
        <f aca="false">C33-B33</f>
        <v>-553854</v>
      </c>
      <c r="E33" s="17" t="n">
        <f aca="false">IF(B33=0,IF(C33=0,0,"new"),C33/B33-1)</f>
        <v>-0.544490933900645</v>
      </c>
      <c r="F33" s="16" t="n">
        <f aca="false">F31-F32</f>
        <v>411</v>
      </c>
      <c r="G33" s="16" t="n">
        <f aca="false">G31-G32</f>
        <v>223</v>
      </c>
      <c r="H33" s="16" t="n">
        <f aca="false">G33-F33</f>
        <v>-188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9" t="s">
        <v>27</v>
      </c>
      <c r="B4" s="19" t="s">
        <v>89</v>
      </c>
      <c r="C4" s="19"/>
      <c r="D4" s="19"/>
      <c r="E4" s="19"/>
      <c r="F4" s="19" t="s">
        <v>90</v>
      </c>
      <c r="G4" s="19"/>
      <c r="H4" s="19"/>
    </row>
    <row r="5" customFormat="false" ht="15" hidden="false" customHeight="false" outlineLevel="0" collapsed="false">
      <c r="A5" s="19"/>
      <c r="B5" s="20" t="s">
        <v>35</v>
      </c>
      <c r="C5" s="20" t="s">
        <v>36</v>
      </c>
      <c r="D5" s="20" t="s">
        <v>6</v>
      </c>
      <c r="E5" s="20" t="s">
        <v>7</v>
      </c>
      <c r="F5" s="20" t="s">
        <v>35</v>
      </c>
      <c r="G5" s="20" t="s">
        <v>36</v>
      </c>
      <c r="H5" s="20" t="s">
        <v>91</v>
      </c>
    </row>
    <row r="6" customFormat="false" ht="15" hidden="false" customHeight="false" outlineLevel="0" collapsed="false">
      <c r="A6" s="5" t="s">
        <v>38</v>
      </c>
      <c r="B6" s="6" t="n">
        <v>0</v>
      </c>
      <c r="C6" s="6" t="n">
        <v>1333625</v>
      </c>
      <c r="D6" s="6" t="n">
        <f aca="false">C6-B6</f>
        <v>1333625</v>
      </c>
      <c r="E6" s="7" t="str">
        <f aca="false">IF(B6=0,IF(C6=0,0,"new"),C6/B6-1)</f>
        <v>new</v>
      </c>
      <c r="F6" s="6" t="n">
        <v>0</v>
      </c>
      <c r="G6" s="6" t="n">
        <v>20</v>
      </c>
      <c r="H6" s="6" t="n">
        <f aca="false">G6-F6</f>
        <v>20</v>
      </c>
    </row>
    <row r="7" customFormat="false" ht="15" hidden="false" customHeight="false" outlineLevel="0" collapsed="false">
      <c r="A7" s="5" t="s">
        <v>41</v>
      </c>
      <c r="B7" s="6" t="n">
        <v>232745</v>
      </c>
      <c r="C7" s="6" t="n">
        <v>213260</v>
      </c>
      <c r="D7" s="6" t="n">
        <f aca="false">C7-B7</f>
        <v>-19485</v>
      </c>
      <c r="E7" s="7" t="n">
        <f aca="false">IF(B7=0,IF(C7=0,0,"new"),C7/B7-1)</f>
        <v>-0.0837182324002664</v>
      </c>
      <c r="F7" s="6" t="n">
        <v>20</v>
      </c>
      <c r="G7" s="6" t="n">
        <v>24</v>
      </c>
      <c r="H7" s="6" t="n">
        <f aca="false">G7-F7</f>
        <v>4</v>
      </c>
    </row>
    <row r="8" customFormat="false" ht="15" hidden="false" customHeight="false" outlineLevel="0" collapsed="false">
      <c r="A8" s="5" t="s">
        <v>80</v>
      </c>
      <c r="B8" s="6" t="n">
        <v>58763</v>
      </c>
      <c r="C8" s="6" t="n">
        <v>94911</v>
      </c>
      <c r="D8" s="6" t="n">
        <f aca="false">C8-B8</f>
        <v>36148</v>
      </c>
      <c r="E8" s="7" t="n">
        <f aca="false">IF(B8=0,IF(C8=0,0,"new"),C8/B8-1)</f>
        <v>0.61514898830897</v>
      </c>
      <c r="F8" s="6" t="n">
        <v>10</v>
      </c>
      <c r="G8" s="6" t="n">
        <v>10</v>
      </c>
      <c r="H8" s="6" t="n">
        <f aca="false">G8-F8</f>
        <v>0</v>
      </c>
    </row>
    <row r="9" customFormat="false" ht="15" hidden="false" customHeight="false" outlineLevel="0" collapsed="false">
      <c r="A9" s="5" t="s">
        <v>51</v>
      </c>
      <c r="B9" s="6" t="n">
        <v>136901</v>
      </c>
      <c r="C9" s="6" t="n">
        <v>84515</v>
      </c>
      <c r="D9" s="6" t="n">
        <f aca="false">C9-B9</f>
        <v>-52386</v>
      </c>
      <c r="E9" s="7" t="n">
        <f aca="false">IF(B9=0,IF(C9=0,0,"new"),C9/B9-1)</f>
        <v>-0.382656079940979</v>
      </c>
      <c r="F9" s="6" t="n">
        <v>4</v>
      </c>
      <c r="G9" s="6" t="n">
        <v>1</v>
      </c>
      <c r="H9" s="6" t="n">
        <f aca="false">G9-F9</f>
        <v>-3</v>
      </c>
    </row>
    <row r="10" customFormat="false" ht="15" hidden="false" customHeight="false" outlineLevel="0" collapsed="false">
      <c r="A10" s="5" t="s">
        <v>82</v>
      </c>
      <c r="B10" s="6" t="n">
        <v>166695</v>
      </c>
      <c r="C10" s="6" t="n">
        <v>75538</v>
      </c>
      <c r="D10" s="6" t="n">
        <f aca="false">C10-B10</f>
        <v>-91157</v>
      </c>
      <c r="E10" s="7" t="n">
        <f aca="false">IF(B10=0,IF(C10=0,0,"new"),C10/B10-1)</f>
        <v>-0.546849035663937</v>
      </c>
      <c r="F10" s="6" t="n">
        <v>75</v>
      </c>
      <c r="G10" s="6" t="n">
        <v>72</v>
      </c>
      <c r="H10" s="6" t="n">
        <f aca="false">G10-F10</f>
        <v>-3</v>
      </c>
    </row>
    <row r="11" customFormat="false" ht="15" hidden="false" customHeight="false" outlineLevel="0" collapsed="false">
      <c r="A11" s="5" t="s">
        <v>52</v>
      </c>
      <c r="B11" s="6" t="n">
        <v>61850</v>
      </c>
      <c r="C11" s="6" t="n">
        <v>60743</v>
      </c>
      <c r="D11" s="6" t="n">
        <f aca="false">C11-B11</f>
        <v>-1107</v>
      </c>
      <c r="E11" s="7" t="n">
        <f aca="false">IF(B11=0,IF(C11=0,0,"new"),C11/B11-1)</f>
        <v>-0.0178981406628941</v>
      </c>
      <c r="F11" s="6" t="n">
        <v>185</v>
      </c>
      <c r="G11" s="6" t="n">
        <v>115</v>
      </c>
      <c r="H11" s="6" t="n">
        <f aca="false">G11-F11</f>
        <v>-70</v>
      </c>
    </row>
    <row r="12" customFormat="false" ht="15" hidden="false" customHeight="false" outlineLevel="0" collapsed="false">
      <c r="A12" s="5" t="s">
        <v>54</v>
      </c>
      <c r="B12" s="6" t="n">
        <v>21109</v>
      </c>
      <c r="C12" s="6" t="n">
        <v>52964</v>
      </c>
      <c r="D12" s="6" t="n">
        <f aca="false">C12-B12</f>
        <v>31855</v>
      </c>
      <c r="E12" s="7" t="n">
        <f aca="false">IF(B12=0,IF(C12=0,0,"new"),C12/B12-1)</f>
        <v>1.50907195982756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43</v>
      </c>
      <c r="B13" s="6" t="n">
        <v>163652</v>
      </c>
      <c r="C13" s="6" t="n">
        <v>52353</v>
      </c>
      <c r="D13" s="6" t="n">
        <f aca="false">C13-B13</f>
        <v>-111299</v>
      </c>
      <c r="E13" s="7" t="n">
        <f aca="false">IF(B13=0,IF(C13=0,0,"new"),C13/B13-1)</f>
        <v>-0.680095568645663</v>
      </c>
      <c r="F13" s="6" t="n">
        <v>3</v>
      </c>
      <c r="G13" s="6" t="n">
        <v>1</v>
      </c>
      <c r="H13" s="6" t="n">
        <f aca="false">G13-F13</f>
        <v>-2</v>
      </c>
    </row>
    <row r="14" customFormat="false" ht="15" hidden="false" customHeight="false" outlineLevel="0" collapsed="false">
      <c r="A14" s="5" t="s">
        <v>83</v>
      </c>
      <c r="B14" s="6" t="n">
        <v>0</v>
      </c>
      <c r="C14" s="6" t="n">
        <v>47306</v>
      </c>
      <c r="D14" s="6" t="n">
        <f aca="false">C14-B14</f>
        <v>47306</v>
      </c>
      <c r="E14" s="7" t="str">
        <f aca="false">IF(B14=0,IF(C14=0,0,"new"),C14/B14-1)</f>
        <v>new</v>
      </c>
      <c r="F14" s="6" t="n">
        <v>0</v>
      </c>
      <c r="G14" s="6" t="n">
        <v>1</v>
      </c>
      <c r="H14" s="6" t="n">
        <f aca="false">G14-F14</f>
        <v>1</v>
      </c>
    </row>
    <row r="15" customFormat="false" ht="15" hidden="false" customHeight="false" outlineLevel="0" collapsed="false">
      <c r="A15" s="5" t="s">
        <v>48</v>
      </c>
      <c r="B15" s="6" t="n">
        <v>122140</v>
      </c>
      <c r="C15" s="6" t="n">
        <v>24804</v>
      </c>
      <c r="D15" s="6" t="n">
        <f aca="false">C15-B15</f>
        <v>-97336</v>
      </c>
      <c r="E15" s="7" t="n">
        <f aca="false">IF(B15=0,IF(C15=0,0,"new"),C15/B15-1)</f>
        <v>-0.796921565416735</v>
      </c>
      <c r="F15" s="6" t="n">
        <v>138</v>
      </c>
      <c r="G15" s="6" t="n">
        <v>121</v>
      </c>
      <c r="H15" s="6" t="n">
        <f aca="false">G15-F15</f>
        <v>-17</v>
      </c>
    </row>
    <row r="16" customFormat="false" ht="15" hidden="false" customHeight="false" outlineLevel="0" collapsed="false">
      <c r="A16" s="5" t="s">
        <v>65</v>
      </c>
      <c r="B16" s="6" t="n">
        <v>0</v>
      </c>
      <c r="C16" s="6" t="n">
        <v>12050</v>
      </c>
      <c r="D16" s="6" t="n">
        <f aca="false">C16-B16</f>
        <v>12050</v>
      </c>
      <c r="E16" s="7" t="str">
        <f aca="false">IF(B16=0,IF(C16=0,0,"new"),C16/B16-1)</f>
        <v>new</v>
      </c>
      <c r="F16" s="6" t="n">
        <v>0</v>
      </c>
      <c r="G16" s="6" t="n">
        <v>1</v>
      </c>
      <c r="H16" s="6" t="n">
        <f aca="false">G16-F16</f>
        <v>1</v>
      </c>
    </row>
    <row r="17" customFormat="false" ht="15" hidden="false" customHeight="false" outlineLevel="0" collapsed="false">
      <c r="A17" s="5" t="s">
        <v>64</v>
      </c>
      <c r="B17" s="6" t="n">
        <v>10802</v>
      </c>
      <c r="C17" s="6" t="n">
        <v>8302</v>
      </c>
      <c r="D17" s="6" t="n">
        <f aca="false">C17-B17</f>
        <v>-2500</v>
      </c>
      <c r="E17" s="7" t="n">
        <f aca="false">IF(B17=0,IF(C17=0,0,"new"),C17/B17-1)</f>
        <v>-0.231438622477319</v>
      </c>
      <c r="F17" s="6" t="n">
        <v>25</v>
      </c>
      <c r="G17" s="6" t="n">
        <v>20</v>
      </c>
      <c r="H17" s="6" t="n">
        <f aca="false">G17-F17</f>
        <v>-5</v>
      </c>
    </row>
    <row r="18" customFormat="false" ht="15" hidden="false" customHeight="false" outlineLevel="0" collapsed="false">
      <c r="A18" s="5" t="s">
        <v>57</v>
      </c>
      <c r="B18" s="6" t="n">
        <v>65562</v>
      </c>
      <c r="C18" s="6" t="n">
        <v>5535</v>
      </c>
      <c r="D18" s="6" t="n">
        <f aca="false">C18-B18</f>
        <v>-60027</v>
      </c>
      <c r="E18" s="7" t="n">
        <f aca="false">IF(B18=0,IF(C18=0,0,"new"),C18/B18-1)</f>
        <v>-0.915576095909216</v>
      </c>
      <c r="F18" s="6" t="n">
        <v>16</v>
      </c>
      <c r="G18" s="6" t="n">
        <v>18</v>
      </c>
      <c r="H18" s="6" t="n">
        <f aca="false">G18-F18</f>
        <v>2</v>
      </c>
    </row>
    <row r="19" customFormat="false" ht="15" hidden="false" customHeight="false" outlineLevel="0" collapsed="false">
      <c r="A19" s="5" t="s">
        <v>69</v>
      </c>
      <c r="B19" s="6" t="n">
        <v>1812</v>
      </c>
      <c r="C19" s="6" t="n">
        <v>1102</v>
      </c>
      <c r="D19" s="6" t="n">
        <f aca="false">C19-B19</f>
        <v>-710</v>
      </c>
      <c r="E19" s="7" t="n">
        <f aca="false">IF(B19=0,IF(C19=0,0,"new"),C19/B19-1)</f>
        <v>-0.391832229580574</v>
      </c>
      <c r="F19" s="6" t="n">
        <v>7</v>
      </c>
      <c r="G19" s="6" t="n">
        <v>3</v>
      </c>
      <c r="H19" s="6" t="n">
        <f aca="false">G19-F19</f>
        <v>-4</v>
      </c>
    </row>
    <row r="20" customFormat="false" ht="15" hidden="false" customHeight="false" outlineLevel="0" collapsed="false">
      <c r="A20" s="5" t="s">
        <v>68</v>
      </c>
      <c r="B20" s="6" t="n">
        <v>2449</v>
      </c>
      <c r="C20" s="6" t="n">
        <v>833</v>
      </c>
      <c r="D20" s="6" t="n">
        <f aca="false">C20-B20</f>
        <v>-1616</v>
      </c>
      <c r="E20" s="7" t="n">
        <f aca="false">IF(B20=0,IF(C20=0,0,"new"),C20/B20-1)</f>
        <v>-0.659861167823602</v>
      </c>
      <c r="F20" s="6" t="n">
        <v>7</v>
      </c>
      <c r="G20" s="6" t="n">
        <v>2</v>
      </c>
      <c r="H20" s="6" t="n">
        <f aca="false">G20-F20</f>
        <v>-5</v>
      </c>
    </row>
    <row r="21" customFormat="false" ht="15" hidden="false" customHeight="false" outlineLevel="0" collapsed="false">
      <c r="A21" s="5" t="s">
        <v>71</v>
      </c>
      <c r="B21" s="6" t="n">
        <v>0</v>
      </c>
      <c r="C21" s="6" t="n">
        <v>245</v>
      </c>
      <c r="D21" s="6" t="n">
        <f aca="false">C21-B21</f>
        <v>245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47</v>
      </c>
      <c r="B22" s="6" t="n">
        <v>175411</v>
      </c>
      <c r="C22" s="6" t="n">
        <v>0</v>
      </c>
      <c r="D22" s="6" t="n">
        <f aca="false">C22-B22</f>
        <v>-175411</v>
      </c>
      <c r="E22" s="7" t="n">
        <f aca="false">IF(B22=0,IF(C22=0,0,"new"),C22/B22-1)</f>
        <v>-1</v>
      </c>
      <c r="F22" s="6" t="n">
        <v>3</v>
      </c>
      <c r="G22" s="6" t="n">
        <v>0</v>
      </c>
      <c r="H22" s="6" t="n">
        <f aca="false">G22-F22</f>
        <v>-3</v>
      </c>
    </row>
    <row r="23" customFormat="false" ht="15" hidden="false" customHeight="false" outlineLevel="0" collapsed="false">
      <c r="A23" s="5" t="s">
        <v>39</v>
      </c>
      <c r="B23" s="6" t="n">
        <v>167380</v>
      </c>
      <c r="C23" s="6" t="n">
        <v>0</v>
      </c>
      <c r="D23" s="6" t="n">
        <f aca="false">C23-B23</f>
        <v>-167380</v>
      </c>
      <c r="E23" s="7" t="n">
        <f aca="false">IF(B23=0,IF(C23=0,0,"new"),C23/B23-1)</f>
        <v>-1</v>
      </c>
      <c r="F23" s="6" t="n">
        <v>3</v>
      </c>
      <c r="G23" s="6" t="n">
        <v>0</v>
      </c>
      <c r="H23" s="6" t="n">
        <f aca="false">G23-F23</f>
        <v>-3</v>
      </c>
    </row>
    <row r="24" customFormat="false" ht="15" hidden="false" customHeight="false" outlineLevel="0" collapsed="false">
      <c r="A24" s="5" t="s">
        <v>56</v>
      </c>
      <c r="B24" s="6" t="n">
        <v>57055</v>
      </c>
      <c r="C24" s="6" t="n">
        <v>0</v>
      </c>
      <c r="D24" s="6" t="n">
        <f aca="false">C24-B24</f>
        <v>-57055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45</v>
      </c>
      <c r="B25" s="6" t="n">
        <v>54787</v>
      </c>
      <c r="C25" s="6" t="n">
        <v>0</v>
      </c>
      <c r="D25" s="6" t="n">
        <f aca="false">C25-B25</f>
        <v>-54787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72</v>
      </c>
      <c r="B26" s="6" t="n">
        <v>36798</v>
      </c>
      <c r="C26" s="6" t="n">
        <v>0</v>
      </c>
      <c r="D26" s="6" t="n">
        <f aca="false">C26-B26</f>
        <v>-36798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62</v>
      </c>
      <c r="B27" s="6" t="n">
        <v>35200</v>
      </c>
      <c r="C27" s="6" t="n">
        <v>0</v>
      </c>
      <c r="D27" s="6" t="n">
        <f aca="false">C27-B27</f>
        <v>-35200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61</v>
      </c>
      <c r="B28" s="6" t="n">
        <v>20109</v>
      </c>
      <c r="C28" s="6" t="n">
        <v>0</v>
      </c>
      <c r="D28" s="6" t="n">
        <f aca="false">C28-B28</f>
        <v>-20109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55</v>
      </c>
      <c r="B29" s="6" t="n">
        <v>122</v>
      </c>
      <c r="C29" s="6" t="n">
        <v>0</v>
      </c>
      <c r="D29" s="6" t="n">
        <f aca="false">C29-B29</f>
        <v>-122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84</v>
      </c>
      <c r="B30" s="10" t="n">
        <f aca="false">SUM(B6:B29)</f>
        <v>1591342</v>
      </c>
      <c r="C30" s="10" t="n">
        <f aca="false">SUM(C6:C29)</f>
        <v>2068086</v>
      </c>
      <c r="D30" s="10" t="n">
        <f aca="false">C30-B30</f>
        <v>476744</v>
      </c>
      <c r="E30" s="11" t="n">
        <f aca="false">IF(B30=0,IF(C30=0,0,"new"),C30/B30-1)</f>
        <v>0.299586135475592</v>
      </c>
      <c r="F30" s="10" t="n">
        <f aca="false">SUM(F6:F29)</f>
        <v>503</v>
      </c>
      <c r="G30" s="10" t="n">
        <f aca="false">SUM(G6:G29)</f>
        <v>411</v>
      </c>
      <c r="H30" s="10" t="n">
        <f aca="false">G30-F30</f>
        <v>-92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1333625</v>
      </c>
      <c r="D31" s="16" t="n">
        <f aca="false">C31-B31</f>
        <v>1333625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20</v>
      </c>
      <c r="H31" s="16" t="n">
        <f aca="false">G31-F31</f>
        <v>20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1591342</v>
      </c>
      <c r="C32" s="16" t="n">
        <f aca="false">C30-C31</f>
        <v>734461</v>
      </c>
      <c r="D32" s="16" t="n">
        <f aca="false">C32-B32</f>
        <v>-856881</v>
      </c>
      <c r="E32" s="17" t="n">
        <f aca="false">IF(B32=0,IF(C32=0,0,"new"),C32/B32-1)</f>
        <v>-0.538464390432729</v>
      </c>
      <c r="F32" s="16" t="n">
        <f aca="false">F30-F31</f>
        <v>503</v>
      </c>
      <c r="G32" s="16" t="n">
        <f aca="false">G30-G31</f>
        <v>391</v>
      </c>
      <c r="H32" s="16" t="n">
        <f aca="false">G32-F32</f>
        <v>-112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9" t="s">
        <v>27</v>
      </c>
      <c r="B4" s="19" t="s">
        <v>89</v>
      </c>
      <c r="C4" s="19"/>
      <c r="D4" s="19"/>
      <c r="E4" s="19"/>
      <c r="F4" s="19" t="s">
        <v>90</v>
      </c>
      <c r="G4" s="19"/>
      <c r="H4" s="19"/>
    </row>
    <row r="5" customFormat="false" ht="15" hidden="false" customHeight="false" outlineLevel="0" collapsed="false">
      <c r="A5" s="19"/>
      <c r="B5" s="20" t="s">
        <v>35</v>
      </c>
      <c r="C5" s="20" t="s">
        <v>36</v>
      </c>
      <c r="D5" s="20" t="s">
        <v>6</v>
      </c>
      <c r="E5" s="20" t="s">
        <v>7</v>
      </c>
      <c r="F5" s="20" t="s">
        <v>35</v>
      </c>
      <c r="G5" s="20" t="s">
        <v>36</v>
      </c>
      <c r="H5" s="20" t="s">
        <v>91</v>
      </c>
    </row>
    <row r="6" customFormat="false" ht="15" hidden="false" customHeight="false" outlineLevel="0" collapsed="false">
      <c r="A6" s="5" t="s">
        <v>38</v>
      </c>
      <c r="B6" s="6" t="n">
        <v>0</v>
      </c>
      <c r="C6" s="6" t="n">
        <v>1651940</v>
      </c>
      <c r="D6" s="6" t="n">
        <f aca="false">C6-B6</f>
        <v>1651940</v>
      </c>
      <c r="E6" s="7" t="str">
        <f aca="false">IF(B6=0,IF(C6=0,0,"new"),C6/B6-1)</f>
        <v>new</v>
      </c>
      <c r="F6" s="6" t="n">
        <v>0</v>
      </c>
      <c r="G6" s="6" t="n">
        <v>25</v>
      </c>
      <c r="H6" s="6" t="n">
        <f aca="false">G6-F6</f>
        <v>25</v>
      </c>
    </row>
    <row r="7" customFormat="false" ht="15" hidden="false" customHeight="false" outlineLevel="0" collapsed="false">
      <c r="A7" s="5" t="s">
        <v>41</v>
      </c>
      <c r="B7" s="6" t="n">
        <v>166595</v>
      </c>
      <c r="C7" s="6" t="n">
        <v>264556</v>
      </c>
      <c r="D7" s="6" t="n">
        <f aca="false">C7-B7</f>
        <v>97961</v>
      </c>
      <c r="E7" s="7" t="n">
        <f aca="false">IF(B7=0,IF(C7=0,0,"new"),C7/B7-1)</f>
        <v>0.588018848104685</v>
      </c>
      <c r="F7" s="6" t="n">
        <v>15</v>
      </c>
      <c r="G7" s="6" t="n">
        <v>21</v>
      </c>
      <c r="H7" s="6" t="n">
        <f aca="false">G7-F7</f>
        <v>6</v>
      </c>
    </row>
    <row r="8" customFormat="false" ht="15" hidden="false" customHeight="false" outlineLevel="0" collapsed="false">
      <c r="A8" s="5" t="s">
        <v>43</v>
      </c>
      <c r="B8" s="6" t="n">
        <v>147560</v>
      </c>
      <c r="C8" s="6" t="n">
        <v>135046</v>
      </c>
      <c r="D8" s="6" t="n">
        <f aca="false">C8-B8</f>
        <v>-12514</v>
      </c>
      <c r="E8" s="7" t="n">
        <f aca="false">IF(B8=0,IF(C8=0,0,"new"),C8/B8-1)</f>
        <v>-0.0848061805367308</v>
      </c>
      <c r="F8" s="6" t="n">
        <v>3</v>
      </c>
      <c r="G8" s="6" t="n">
        <v>3</v>
      </c>
      <c r="H8" s="6" t="n">
        <f aca="false">G8-F8</f>
        <v>0</v>
      </c>
    </row>
    <row r="9" customFormat="false" ht="15" hidden="false" customHeight="false" outlineLevel="0" collapsed="false">
      <c r="A9" s="5" t="s">
        <v>83</v>
      </c>
      <c r="B9" s="6" t="n">
        <v>0</v>
      </c>
      <c r="C9" s="6" t="n">
        <v>96300</v>
      </c>
      <c r="D9" s="6" t="n">
        <f aca="false">C9-B9</f>
        <v>96300</v>
      </c>
      <c r="E9" s="7" t="str">
        <f aca="false">IF(B9=0,IF(C9=0,0,"new"),C9/B9-1)</f>
        <v>new</v>
      </c>
      <c r="F9" s="6" t="n">
        <v>0</v>
      </c>
      <c r="G9" s="6" t="n">
        <v>2</v>
      </c>
      <c r="H9" s="6" t="n">
        <f aca="false">G9-F9</f>
        <v>2</v>
      </c>
    </row>
    <row r="10" customFormat="false" ht="15" hidden="false" customHeight="false" outlineLevel="0" collapsed="false">
      <c r="A10" s="5" t="s">
        <v>82</v>
      </c>
      <c r="B10" s="6" t="n">
        <v>23187</v>
      </c>
      <c r="C10" s="6" t="n">
        <v>84591</v>
      </c>
      <c r="D10" s="6" t="n">
        <f aca="false">C10-B10</f>
        <v>61404</v>
      </c>
      <c r="E10" s="7" t="n">
        <f aca="false">IF(B10=0,IF(C10=0,0,"new"),C10/B10-1)</f>
        <v>2.64820804761289</v>
      </c>
      <c r="F10" s="6" t="n">
        <v>77</v>
      </c>
      <c r="G10" s="6" t="n">
        <v>95</v>
      </c>
      <c r="H10" s="6" t="n">
        <f aca="false">G10-F10</f>
        <v>18</v>
      </c>
    </row>
    <row r="11" customFormat="false" ht="15" hidden="false" customHeight="false" outlineLevel="0" collapsed="false">
      <c r="A11" s="5" t="s">
        <v>47</v>
      </c>
      <c r="B11" s="6" t="n">
        <v>57892</v>
      </c>
      <c r="C11" s="6" t="n">
        <v>59790</v>
      </c>
      <c r="D11" s="6" t="n">
        <f aca="false">C11-B11</f>
        <v>1898</v>
      </c>
      <c r="E11" s="7" t="n">
        <f aca="false">IF(B11=0,IF(C11=0,0,"new"),C11/B11-1)</f>
        <v>0.0327851862088027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80</v>
      </c>
      <c r="B12" s="6" t="n">
        <v>42250</v>
      </c>
      <c r="C12" s="6" t="n">
        <v>50173</v>
      </c>
      <c r="D12" s="6" t="n">
        <f aca="false">C12-B12</f>
        <v>7923</v>
      </c>
      <c r="E12" s="7" t="n">
        <f aca="false">IF(B12=0,IF(C12=0,0,"new"),C12/B12-1)</f>
        <v>0.187526627218935</v>
      </c>
      <c r="F12" s="6" t="n">
        <v>4</v>
      </c>
      <c r="G12" s="6" t="n">
        <v>3</v>
      </c>
      <c r="H12" s="6" t="n">
        <f aca="false">G12-F12</f>
        <v>-1</v>
      </c>
    </row>
    <row r="13" customFormat="false" ht="15" hidden="false" customHeight="false" outlineLevel="0" collapsed="false">
      <c r="A13" s="5" t="s">
        <v>50</v>
      </c>
      <c r="B13" s="6" t="n">
        <v>127559</v>
      </c>
      <c r="C13" s="6" t="n">
        <v>43326</v>
      </c>
      <c r="D13" s="6" t="n">
        <f aca="false">C13-B13</f>
        <v>-84233</v>
      </c>
      <c r="E13" s="7" t="n">
        <f aca="false">IF(B13=0,IF(C13=0,0,"new"),C13/B13-1)</f>
        <v>-0.660345408791226</v>
      </c>
      <c r="F13" s="6" t="n">
        <v>2</v>
      </c>
      <c r="G13" s="6" t="n">
        <v>1</v>
      </c>
      <c r="H13" s="6" t="n">
        <f aca="false">G13-F13</f>
        <v>-1</v>
      </c>
    </row>
    <row r="14" customFormat="false" ht="15" hidden="false" customHeight="false" outlineLevel="0" collapsed="false">
      <c r="A14" s="5" t="s">
        <v>48</v>
      </c>
      <c r="B14" s="6" t="n">
        <v>101725</v>
      </c>
      <c r="C14" s="6" t="n">
        <v>28211</v>
      </c>
      <c r="D14" s="6" t="n">
        <f aca="false">C14-B14</f>
        <v>-73514</v>
      </c>
      <c r="E14" s="7" t="n">
        <f aca="false">IF(B14=0,IF(C14=0,0,"new"),C14/B14-1)</f>
        <v>-0.722673875645122</v>
      </c>
      <c r="F14" s="6" t="n">
        <v>101</v>
      </c>
      <c r="G14" s="6" t="n">
        <v>84</v>
      </c>
      <c r="H14" s="6" t="n">
        <f aca="false">G14-F14</f>
        <v>-17</v>
      </c>
    </row>
    <row r="15" customFormat="false" ht="15" hidden="false" customHeight="false" outlineLevel="0" collapsed="false">
      <c r="A15" s="5" t="s">
        <v>81</v>
      </c>
      <c r="B15" s="6" t="n">
        <v>0</v>
      </c>
      <c r="C15" s="6" t="n">
        <v>20913</v>
      </c>
      <c r="D15" s="6" t="n">
        <f aca="false">C15-B15</f>
        <v>20913</v>
      </c>
      <c r="E15" s="7" t="str">
        <f aca="false">IF(B15=0,IF(C15=0,0,"new"),C15/B15-1)</f>
        <v>new</v>
      </c>
      <c r="F15" s="6" t="n">
        <v>0</v>
      </c>
      <c r="G15" s="6" t="n">
        <v>1</v>
      </c>
      <c r="H15" s="6" t="n">
        <f aca="false">G15-F15</f>
        <v>1</v>
      </c>
    </row>
    <row r="16" customFormat="false" ht="15" hidden="false" customHeight="false" outlineLevel="0" collapsed="false">
      <c r="A16" s="5" t="s">
        <v>52</v>
      </c>
      <c r="B16" s="6" t="n">
        <v>53820</v>
      </c>
      <c r="C16" s="6" t="n">
        <v>17265</v>
      </c>
      <c r="D16" s="6" t="n">
        <f aca="false">C16-B16</f>
        <v>-36555</v>
      </c>
      <c r="E16" s="7" t="n">
        <f aca="false">IF(B16=0,IF(C16=0,0,"new"),C16/B16-1)</f>
        <v>-0.679208472686734</v>
      </c>
      <c r="F16" s="6" t="n">
        <v>158</v>
      </c>
      <c r="G16" s="6" t="n">
        <v>53</v>
      </c>
      <c r="H16" s="6" t="n">
        <f aca="false">G16-F16</f>
        <v>-105</v>
      </c>
    </row>
    <row r="17" customFormat="false" ht="15" hidden="false" customHeight="false" outlineLevel="0" collapsed="false">
      <c r="A17" s="5" t="s">
        <v>64</v>
      </c>
      <c r="B17" s="6" t="n">
        <v>10019</v>
      </c>
      <c r="C17" s="6" t="n">
        <v>9626</v>
      </c>
      <c r="D17" s="6" t="n">
        <f aca="false">C17-B17</f>
        <v>-393</v>
      </c>
      <c r="E17" s="7" t="n">
        <f aca="false">IF(B17=0,IF(C17=0,0,"new"),C17/B17-1)</f>
        <v>-0.0392254716039525</v>
      </c>
      <c r="F17" s="6" t="n">
        <v>25</v>
      </c>
      <c r="G17" s="6" t="n">
        <v>23</v>
      </c>
      <c r="H17" s="6" t="n">
        <f aca="false">G17-F17</f>
        <v>-2</v>
      </c>
    </row>
    <row r="18" customFormat="false" ht="15" hidden="false" customHeight="false" outlineLevel="0" collapsed="false">
      <c r="A18" s="5" t="s">
        <v>57</v>
      </c>
      <c r="B18" s="6" t="n">
        <v>9894</v>
      </c>
      <c r="C18" s="6" t="n">
        <v>5337</v>
      </c>
      <c r="D18" s="6" t="n">
        <f aca="false">C18-B18</f>
        <v>-4557</v>
      </c>
      <c r="E18" s="7" t="n">
        <f aca="false">IF(B18=0,IF(C18=0,0,"new"),C18/B18-1)</f>
        <v>-0.460582171012735</v>
      </c>
      <c r="F18" s="6" t="n">
        <v>27</v>
      </c>
      <c r="G18" s="6" t="n">
        <v>15</v>
      </c>
      <c r="H18" s="6" t="n">
        <f aca="false">G18-F18</f>
        <v>-12</v>
      </c>
    </row>
    <row r="19" customFormat="false" ht="15" hidden="false" customHeight="false" outlineLevel="0" collapsed="false">
      <c r="A19" s="5" t="s">
        <v>68</v>
      </c>
      <c r="B19" s="6" t="n">
        <v>7101</v>
      </c>
      <c r="C19" s="6" t="n">
        <v>4238</v>
      </c>
      <c r="D19" s="6" t="n">
        <f aca="false">C19-B19</f>
        <v>-2863</v>
      </c>
      <c r="E19" s="7" t="n">
        <f aca="false">IF(B19=0,IF(C19=0,0,"new"),C19/B19-1)</f>
        <v>-0.403182650330939</v>
      </c>
      <c r="F19" s="6" t="n">
        <v>18</v>
      </c>
      <c r="G19" s="6" t="n">
        <v>9</v>
      </c>
      <c r="H19" s="6" t="n">
        <f aca="false">G19-F19</f>
        <v>-9</v>
      </c>
    </row>
    <row r="20" customFormat="false" ht="15" hidden="false" customHeight="false" outlineLevel="0" collapsed="false">
      <c r="A20" s="5" t="s">
        <v>77</v>
      </c>
      <c r="B20" s="6" t="n">
        <v>0</v>
      </c>
      <c r="C20" s="6" t="n">
        <v>3500</v>
      </c>
      <c r="D20" s="6" t="n">
        <f aca="false">C20-B20</f>
        <v>3500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69</v>
      </c>
      <c r="B21" s="6" t="n">
        <v>2838</v>
      </c>
      <c r="C21" s="6" t="n">
        <v>1298</v>
      </c>
      <c r="D21" s="6" t="n">
        <f aca="false">C21-B21</f>
        <v>-1540</v>
      </c>
      <c r="E21" s="7" t="n">
        <f aca="false">IF(B21=0,IF(C21=0,0,"new"),C21/B21-1)</f>
        <v>-0.542635658914729</v>
      </c>
      <c r="F21" s="6" t="n">
        <v>11</v>
      </c>
      <c r="G21" s="6" t="n">
        <v>4</v>
      </c>
      <c r="H21" s="6" t="n">
        <f aca="false">G21-F21</f>
        <v>-7</v>
      </c>
    </row>
    <row r="22" customFormat="false" ht="15" hidden="false" customHeight="false" outlineLevel="0" collapsed="false">
      <c r="A22" s="5" t="s">
        <v>55</v>
      </c>
      <c r="B22" s="6" t="n">
        <v>60006</v>
      </c>
      <c r="C22" s="6" t="n">
        <v>196</v>
      </c>
      <c r="D22" s="6" t="n">
        <f aca="false">C22-B22</f>
        <v>-59810</v>
      </c>
      <c r="E22" s="7" t="n">
        <f aca="false">IF(B22=0,IF(C22=0,0,"new"),C22/B22-1)</f>
        <v>-0.996733659967337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74</v>
      </c>
      <c r="B23" s="6" t="n">
        <v>0</v>
      </c>
      <c r="C23" s="6" t="n">
        <v>147</v>
      </c>
      <c r="D23" s="6" t="n">
        <f aca="false">C23-B23</f>
        <v>147</v>
      </c>
      <c r="E23" s="7" t="str">
        <f aca="false">IF(B23=0,IF(C23=0,0,"new"),C23/B23-1)</f>
        <v>new</v>
      </c>
      <c r="F23" s="6" t="n">
        <v>0</v>
      </c>
      <c r="G23" s="6" t="n">
        <v>1</v>
      </c>
      <c r="H23" s="6" t="n">
        <f aca="false">G23-F23</f>
        <v>1</v>
      </c>
    </row>
    <row r="24" customFormat="false" ht="15" hidden="false" customHeight="false" outlineLevel="0" collapsed="false">
      <c r="A24" s="5" t="s">
        <v>39</v>
      </c>
      <c r="B24" s="6" t="n">
        <v>125506</v>
      </c>
      <c r="C24" s="6" t="n">
        <v>0</v>
      </c>
      <c r="D24" s="6" t="n">
        <f aca="false">C24-B24</f>
        <v>-125506</v>
      </c>
      <c r="E24" s="7" t="n">
        <f aca="false">IF(B24=0,IF(C24=0,0,"new"),C24/B24-1)</f>
        <v>-1</v>
      </c>
      <c r="F24" s="6" t="n">
        <v>2</v>
      </c>
      <c r="G24" s="6" t="n">
        <v>0</v>
      </c>
      <c r="H24" s="6" t="n">
        <f aca="false">G24-F24</f>
        <v>-2</v>
      </c>
    </row>
    <row r="25" customFormat="false" ht="15" hidden="false" customHeight="false" outlineLevel="0" collapsed="false">
      <c r="A25" s="5" t="s">
        <v>51</v>
      </c>
      <c r="B25" s="6" t="n">
        <v>122946</v>
      </c>
      <c r="C25" s="6" t="n">
        <v>0</v>
      </c>
      <c r="D25" s="6" t="n">
        <f aca="false">C25-B25</f>
        <v>-122946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60</v>
      </c>
      <c r="B26" s="6" t="n">
        <v>30646</v>
      </c>
      <c r="C26" s="6" t="n">
        <v>0</v>
      </c>
      <c r="D26" s="6" t="n">
        <f aca="false">C26-B26</f>
        <v>-30646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63</v>
      </c>
      <c r="B27" s="6" t="n">
        <v>30590</v>
      </c>
      <c r="C27" s="6" t="n">
        <v>0</v>
      </c>
      <c r="D27" s="6" t="n">
        <f aca="false">C27-B27</f>
        <v>-30590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61</v>
      </c>
      <c r="B28" s="6" t="n">
        <v>29604</v>
      </c>
      <c r="C28" s="6" t="n">
        <v>0</v>
      </c>
      <c r="D28" s="6" t="n">
        <f aca="false">C28-B28</f>
        <v>-29604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66</v>
      </c>
      <c r="B29" s="6" t="n">
        <v>11000</v>
      </c>
      <c r="C29" s="6" t="n">
        <v>0</v>
      </c>
      <c r="D29" s="6" t="n">
        <f aca="false">C29-B29</f>
        <v>-11000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71</v>
      </c>
      <c r="B30" s="6" t="n">
        <v>367</v>
      </c>
      <c r="C30" s="6" t="n">
        <v>0</v>
      </c>
      <c r="D30" s="6" t="n">
        <f aca="false">C30-B30</f>
        <v>-367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84</v>
      </c>
      <c r="B31" s="10" t="n">
        <f aca="false">SUM(B6:B30)</f>
        <v>1161105</v>
      </c>
      <c r="C31" s="10" t="n">
        <f aca="false">SUM(C6:C30)</f>
        <v>2476453</v>
      </c>
      <c r="D31" s="10" t="n">
        <f aca="false">C31-B31</f>
        <v>1315348</v>
      </c>
      <c r="E31" s="11" t="n">
        <f aca="false">IF(B31=0,IF(C31=0,0,"new"),C31/B31-1)</f>
        <v>1.13284156041013</v>
      </c>
      <c r="F31" s="10" t="n">
        <f aca="false">SUM(F6:F30)</f>
        <v>454</v>
      </c>
      <c r="G31" s="10" t="n">
        <f aca="false">SUM(G6:G30)</f>
        <v>343</v>
      </c>
      <c r="H31" s="10" t="n">
        <f aca="false">G31-F31</f>
        <v>-111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1651940</v>
      </c>
      <c r="D32" s="16" t="n">
        <f aca="false">C32-B32</f>
        <v>1651940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25</v>
      </c>
      <c r="H32" s="16" t="n">
        <f aca="false">G32-F32</f>
        <v>25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1161105</v>
      </c>
      <c r="C33" s="16" t="n">
        <f aca="false">C31-C32</f>
        <v>824513</v>
      </c>
      <c r="D33" s="16" t="n">
        <f aca="false">C33-B33</f>
        <v>-336592</v>
      </c>
      <c r="E33" s="17" t="n">
        <f aca="false">IF(B33=0,IF(C33=0,0,"new"),C33/B33-1)</f>
        <v>-0.289889372623492</v>
      </c>
      <c r="F33" s="16" t="n">
        <f aca="false">F31-F32</f>
        <v>454</v>
      </c>
      <c r="G33" s="16" t="n">
        <f aca="false">G31-G32</f>
        <v>318</v>
      </c>
      <c r="H33" s="16" t="n">
        <f aca="false">G33-F33</f>
        <v>-136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2026-10-26T15:53:46Z</dcterms:created>
  <dc:creator>openpyxl</dc:creator>
  <dc:description/>
  <dc:language>en-US</dc:language>
  <cp:lastModifiedBy/>
  <dcterms:modified xsi:type="dcterms:W3CDTF">2026-10-26T15:53:46Z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